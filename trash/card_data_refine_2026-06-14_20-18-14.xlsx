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ffinity" sheetId="1" state="visible" r:id="rId1"/>
    <sheet name="Unit" sheetId="2" state="visible" r:id="rId2"/>
    <sheet name="Union" sheetId="3" state="visible" r:id="rId3"/>
    <sheet name="Trap" sheetId="4" state="visible" r:id="rId4"/>
    <sheet name="Tech" sheetId="5" state="visible" r:id="rId5"/>
    <sheet name="Count" sheetId="6" state="visible" r:id="rId6"/>
    <sheet name="Rul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"&amp;COUNTIF(N3:N568,"Yes")</f>
        <v/>
      </c>
      <c r="Q2" s="3">
        <f>"Booster Pack - Unseen Presence / "&amp;COUNTIF(O3:O568,"Yes")</f>
        <v/>
      </c>
      <c r="R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+30 ATK vs Nature Affinity</t>
        </is>
      </c>
      <c r="J3" t="inlineStr">
        <is>
          <t>dropped redundant Affinity</t>
        </is>
      </c>
      <c r="K3" s="14" t="n"/>
      <c r="L3" s="15" t="inlineStr">
        <is>
          <t>Yes</t>
        </is>
      </c>
      <c r="M3" s="14">
        <f>(D3*6)+(E3*4)</f>
        <v/>
      </c>
      <c r="N3" s="15" t="inlineStr">
        <is>
          <t>Yes</t>
        </is>
      </c>
      <c r="O3" s="14" t="n"/>
      <c r="P3" s="14" t="n"/>
      <c r="Q3" s="14" t="n"/>
      <c r="R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+50 ATK vs Chaos Affinity</t>
        </is>
      </c>
      <c r="J4" t="inlineStr">
        <is>
          <t>dropped redundant Affinity</t>
        </is>
      </c>
      <c r="K4" s="16" t="n"/>
      <c r="L4" s="17" t="inlineStr">
        <is>
          <t>Yes</t>
        </is>
      </c>
      <c r="M4" s="16">
        <f>(D4*6)+(E4*4)</f>
        <v/>
      </c>
      <c r="N4" s="17" t="inlineStr">
        <is>
          <t>Yes</t>
        </is>
      </c>
      <c r="O4" s="16" t="n"/>
      <c r="P4" s="17" t="inlineStr">
        <is>
          <t>Yes</t>
        </is>
      </c>
      <c r="Q4" s="16" t="n"/>
      <c r="R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K5" s="16" t="n"/>
      <c r="L5" s="17" t="inlineStr">
        <is>
          <t>Yes</t>
        </is>
      </c>
      <c r="M5" s="16">
        <f>(D5*6)+(E5*4)</f>
        <v/>
      </c>
      <c r="N5" s="17" t="inlineStr">
        <is>
          <t>Yes</t>
        </is>
      </c>
      <c r="O5" s="16" t="n"/>
      <c r="P5" s="17" t="inlineStr">
        <is>
          <t>Yes</t>
        </is>
      </c>
      <c r="Q5" s="16" t="n"/>
      <c r="R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Immune to 0-cost Traps</t>
        </is>
      </c>
      <c r="J6" t="inlineStr">
        <is>
          <t>wording polish</t>
        </is>
      </c>
      <c r="K6" s="16" t="n"/>
      <c r="L6" s="17" t="inlineStr">
        <is>
          <t>Yes</t>
        </is>
      </c>
      <c r="M6" s="16">
        <f>(D6*6)+(E6*4)</f>
        <v/>
      </c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I7" t="inlineStr">
        <is>
          <t>+500 Crystal on successful defend</t>
        </is>
      </c>
      <c r="K7" s="16" t="n"/>
      <c r="L7" s="17" t="inlineStr">
        <is>
          <t>Yes</t>
        </is>
      </c>
      <c r="M7" s="16">
        <f>(D7*6)+(E7*4)</f>
        <v/>
      </c>
      <c r="N7" s="16" t="n"/>
      <c r="O7" s="16" t="n"/>
      <c r="P7" s="16" t="n"/>
      <c r="Q7" s="16" t="n"/>
      <c r="R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K8" s="16" t="n"/>
      <c r="L8" s="17" t="inlineStr">
        <is>
          <t>Yes</t>
        </is>
      </c>
      <c r="M8" s="16">
        <f>(D8*6)+(E8*4)</f>
        <v/>
      </c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I9" t="inlineStr">
        <is>
          <t>+60 DEF until the end of that turn once</t>
        </is>
      </c>
      <c r="K9" s="16" t="n"/>
      <c r="L9" s="17" t="inlineStr">
        <is>
          <t>Yes</t>
        </is>
      </c>
      <c r="M9" s="16">
        <f>(D9*6)+(E9*4)</f>
        <v/>
      </c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K10" s="16" t="n"/>
      <c r="L10" s="17" t="inlineStr">
        <is>
          <t>Yes</t>
        </is>
      </c>
      <c r="M10" s="16">
        <f>(D10*6)+(E10*4)</f>
        <v/>
      </c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+100 DEF vs Chaos Affinity</t>
        </is>
      </c>
      <c r="J11" t="inlineStr">
        <is>
          <t>dropped redundant Affinity</t>
        </is>
      </c>
      <c r="K11" s="16" t="n"/>
      <c r="L11" s="17" t="inlineStr">
        <is>
          <t>Yes</t>
        </is>
      </c>
      <c r="M11" s="16">
        <f>(D11*6)+(E11*4)</f>
        <v/>
      </c>
      <c r="N11" s="16" t="n"/>
      <c r="O11" s="16" t="n"/>
      <c r="P11" s="16" t="n"/>
      <c r="Q11" s="16" t="n"/>
      <c r="R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K12" s="16" t="n"/>
      <c r="L12" s="17" t="inlineStr">
        <is>
          <t>Yes</t>
        </is>
      </c>
      <c r="M12" s="16">
        <f>(D12*6)+(E12*4)</f>
        <v/>
      </c>
      <c r="N12" s="17" t="inlineStr">
        <is>
          <t>Yes</t>
        </is>
      </c>
      <c r="O12" s="16" t="n"/>
      <c r="P12" s="17" t="inlineStr">
        <is>
          <t>Yes</t>
        </is>
      </c>
      <c r="Q12" s="16" t="n"/>
      <c r="R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K13" s="16" t="n"/>
      <c r="L13" s="17" t="inlineStr">
        <is>
          <t>Yes</t>
        </is>
      </c>
      <c r="M13" s="16">
        <f>(D13*6)+(E13*4)</f>
        <v/>
      </c>
      <c r="N13" s="17" t="inlineStr">
        <is>
          <t>Yes</t>
        </is>
      </c>
      <c r="O13" s="16" t="n"/>
      <c r="P13" s="17" t="inlineStr">
        <is>
          <t>Yes</t>
        </is>
      </c>
      <c r="Q13" s="16" t="n"/>
      <c r="R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K14" s="16" t="n"/>
      <c r="L14" s="17" t="inlineStr">
        <is>
          <t>Yes</t>
        </is>
      </c>
      <c r="M14" s="16">
        <f>(D14*6)+(E14*4)</f>
        <v/>
      </c>
      <c r="N14" s="17" t="inlineStr">
        <is>
          <t>Yes</t>
        </is>
      </c>
      <c r="O14" s="16" t="n"/>
      <c r="P14" s="17" t="inlineStr">
        <is>
          <t>Yes</t>
        </is>
      </c>
      <c r="Q14" s="16" t="n"/>
      <c r="R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+30 ATK&amp;DEF for each exposed ‘wisp’ card on its side</t>
        </is>
      </c>
      <c r="J15" t="inlineStr">
        <is>
          <t>ATK&amp;DEF→ATK and DEF</t>
        </is>
      </c>
      <c r="K15" s="16" t="n"/>
      <c r="L15" s="17" t="inlineStr">
        <is>
          <t>Yes</t>
        </is>
      </c>
      <c r="M15" s="16">
        <f>(D15*6)+(E15*4)</f>
        <v/>
      </c>
      <c r="N15" s="17" t="inlineStr">
        <is>
          <t>Yes</t>
        </is>
      </c>
      <c r="O15" s="16" t="n"/>
      <c r="P15" s="16" t="n"/>
      <c r="Q15" s="17" t="inlineStr">
        <is>
          <t>Yes</t>
        </is>
      </c>
      <c r="R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+20 ATK&amp;DEF for each other exposed Anima card on its side</t>
        </is>
      </c>
      <c r="J16" t="inlineStr">
        <is>
          <t>ATK&amp;DEF→ATK and DEF</t>
        </is>
      </c>
      <c r="K16" s="16" t="n"/>
      <c r="L16" s="17" t="inlineStr">
        <is>
          <t>Yes</t>
        </is>
      </c>
      <c r="M16" s="16">
        <f>(D16*6)+(E16*4)</f>
        <v/>
      </c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I17" t="inlineStr">
        <is>
          <t>In Reckoning if it defends, attacker loses 300 Crystals</t>
        </is>
      </c>
      <c r="K17" s="16" t="n"/>
      <c r="L17" s="17" t="inlineStr">
        <is>
          <t>Yes</t>
        </is>
      </c>
      <c r="M17" s="16">
        <f>(D17*6)+(E17*4)</f>
        <v/>
      </c>
      <c r="N17" s="16" t="n"/>
      <c r="O17" s="16" t="n"/>
      <c r="P17" s="16" t="n"/>
      <c r="Q17" s="16" t="n"/>
      <c r="R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+20 ATK if it attack an exposed card.</t>
        </is>
      </c>
      <c r="J18" t="inlineStr">
        <is>
          <t>wording polish</t>
        </is>
      </c>
      <c r="K18" s="16" t="n"/>
      <c r="L18" s="17" t="inlineStr">
        <is>
          <t>Yes</t>
        </is>
      </c>
      <c r="M18" s="16">
        <f>(D18*6)+(E18*4)</f>
        <v/>
      </c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+15 ATK&amp;DEF for each other exposed Nature card on its side</t>
        </is>
      </c>
      <c r="J19" t="inlineStr">
        <is>
          <t>ATK&amp;DEF→ATK and DEF</t>
        </is>
      </c>
      <c r="K19" s="16" t="n"/>
      <c r="L19" s="17" t="inlineStr">
        <is>
          <t>Yes</t>
        </is>
      </c>
      <c r="M19" s="16">
        <f>(D19*6)+(E19*4)</f>
        <v/>
      </c>
      <c r="N19" s="17" t="inlineStr">
        <is>
          <t>Yes</t>
        </is>
      </c>
      <c r="O19" s="16" t="n"/>
      <c r="P19" s="17" t="inlineStr">
        <is>
          <t>Yes</t>
        </is>
      </c>
      <c r="Q19" s="16" t="n"/>
      <c r="R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Immune to 0-cost Traps. This Unit cannot be destroyed by Tech Cards.</t>
        </is>
      </c>
      <c r="J20" t="inlineStr">
        <is>
          <t>Shortened immunity wording.</t>
        </is>
      </c>
      <c r="K20" s="16" t="n"/>
      <c r="L20" s="17" t="inlineStr">
        <is>
          <t>Yes</t>
        </is>
      </c>
      <c r="M20" s="16">
        <f>(D20*6)+(E20*4)</f>
        <v/>
      </c>
      <c r="N20" s="16" t="n"/>
      <c r="O20" s="16" t="n"/>
      <c r="P20" s="16" t="n"/>
      <c r="Q20" s="16" t="n"/>
      <c r="R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This Unit cannot be destroyed by Traps.</t>
        </is>
      </c>
      <c r="J21" t="inlineStr">
        <is>
          <t>Shortened immunity wording.</t>
        </is>
      </c>
      <c r="K21" s="16" t="n"/>
      <c r="L21" s="17" t="inlineStr">
        <is>
          <t>Yes</t>
        </is>
      </c>
      <c r="M21" s="16">
        <f>(D21*6)+(E21*4)</f>
        <v/>
      </c>
      <c r="N21" s="17" t="inlineStr">
        <is>
          <t>Yes</t>
        </is>
      </c>
      <c r="O21" s="16" t="n"/>
      <c r="P21" s="16" t="n"/>
      <c r="Q21" s="16" t="n"/>
      <c r="R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Choose and reveal any adjacent square after it attacked.</t>
        </is>
      </c>
      <c r="J22" t="inlineStr">
        <is>
          <t>square→cell</t>
        </is>
      </c>
      <c r="K22" s="16" t="n"/>
      <c r="L22" s="17" t="inlineStr">
        <is>
          <t>Yes</t>
        </is>
      </c>
      <c r="M22" s="16">
        <f>(D22*6)+(E22*4)</f>
        <v/>
      </c>
      <c r="N22" s="17" t="inlineStr">
        <is>
          <t>Yes</t>
        </is>
      </c>
      <c r="O22" s="16" t="n"/>
      <c r="P22" s="17" t="inlineStr">
        <is>
          <t>Yes</t>
        </is>
      </c>
      <c r="Q22" s="16" t="n"/>
      <c r="R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With Mutagen Flag: +45 ATK vs Nature or Anima.</t>
        </is>
      </c>
      <c r="J23" t="inlineStr">
        <is>
          <t>wording polish</t>
        </is>
      </c>
      <c r="K23" s="16" t="n"/>
      <c r="L23" s="17" t="inlineStr">
        <is>
          <t>Yes</t>
        </is>
      </c>
      <c r="M23" s="16">
        <f>(D23*6)+(E23*4)</f>
        <v/>
      </c>
      <c r="N23" s="17" t="inlineStr">
        <is>
          <t>Yes</t>
        </is>
      </c>
      <c r="O23" s="16" t="n"/>
      <c r="P23" s="16" t="n"/>
      <c r="Q23" s="17" t="inlineStr">
        <is>
          <t>Yes</t>
        </is>
      </c>
      <c r="R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With Mutagen Flag: owner can destroy both units in Reckoning. Both players pay no cost.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>
        <f>(D24*6)+(E24*4)</f>
        <v/>
      </c>
      <c r="N24" s="17" t="inlineStr">
        <is>
          <t>Yes</t>
        </is>
      </c>
      <c r="O24" s="16" t="n"/>
      <c r="P24" s="16" t="n"/>
      <c r="Q24" s="17" t="inlineStr">
        <is>
          <t>Yes</t>
        </is>
      </c>
      <c r="R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With Mutagen Flag: this card can target 3 cards</t>
        </is>
      </c>
      <c r="J25" t="inlineStr">
        <is>
          <t>wording polish</t>
        </is>
      </c>
      <c r="K25" s="16" t="n"/>
      <c r="L25" s="17" t="inlineStr">
        <is>
          <t>Yes</t>
        </is>
      </c>
      <c r="M25" s="16">
        <f>(D25*6)+(E25*4)</f>
        <v/>
      </c>
      <c r="N25" s="17" t="inlineStr">
        <is>
          <t>Yes</t>
        </is>
      </c>
      <c r="O25" s="16" t="n"/>
      <c r="P25" s="17" t="inlineStr">
        <is>
          <t>Yes</t>
        </is>
      </c>
      <c r="Q25" s="16" t="n"/>
      <c r="R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Destroy this card after Reckoning with Divine Unit. After this card attacked, halve its ATK&amp;DEF permanently</t>
        </is>
      </c>
      <c r="J26" t="inlineStr">
        <is>
          <t>ATK&amp;DEF→ATK and DEF</t>
        </is>
      </c>
      <c r="K26" s="16" t="n"/>
      <c r="L26" s="17" t="inlineStr">
        <is>
          <t>Yes</t>
        </is>
      </c>
      <c r="M26" s="16">
        <f>(D26*6)+(E26*4)</f>
        <v/>
      </c>
      <c r="N26" s="17" t="inlineStr">
        <is>
          <t>Yes</t>
        </is>
      </c>
      <c r="O26" s="16" t="n"/>
      <c r="P26" s="16" t="n"/>
      <c r="Q26" s="17" t="inlineStr">
        <is>
          <t>Yes</t>
        </is>
      </c>
      <c r="R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This card is unaffected by Tech cards.</t>
        </is>
      </c>
      <c r="J27" t="inlineStr">
        <is>
          <t>Shortened immunity wording.</t>
        </is>
      </c>
      <c r="K27" s="16" t="n"/>
      <c r="L27" s="17" t="inlineStr">
        <is>
          <t>Yes</t>
        </is>
      </c>
      <c r="M27" s="16">
        <f>(D27*6)+(E27*4)</f>
        <v/>
      </c>
      <c r="N27" s="16" t="n"/>
      <c r="O27" s="16" t="n"/>
      <c r="P27" s="16" t="n"/>
      <c r="Q27" s="16" t="n"/>
      <c r="R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Permanently increase this card's ATK&amp;DEF by 10 at the end of each of their turn</t>
        </is>
      </c>
      <c r="J28" t="inlineStr">
        <is>
          <t>ATK&amp;DEF→ATK and DEF</t>
        </is>
      </c>
      <c r="K28" s="16" t="n"/>
      <c r="L28" s="17" t="inlineStr">
        <is>
          <t>Yes</t>
        </is>
      </c>
      <c r="M28" s="16">
        <f>(D28*6)+(E28*4)</f>
        <v/>
      </c>
      <c r="N28" s="16" t="n"/>
      <c r="O28" s="16" t="n"/>
      <c r="P28" s="16" t="n"/>
      <c r="Q28" s="16" t="n"/>
      <c r="R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I29" t="inlineStr">
        <is>
          <t>Double effect of Tech card applied to this unit</t>
        </is>
      </c>
      <c r="K29" s="16" t="n"/>
      <c r="L29" s="17" t="inlineStr">
        <is>
          <t>Yes</t>
        </is>
      </c>
      <c r="M29" s="16">
        <f>(D29*6)+(E29*4)</f>
        <v/>
      </c>
      <c r="N29" s="16" t="n"/>
      <c r="O29" s="16" t="n"/>
      <c r="P29" s="16" t="n"/>
      <c r="Q29" s="16" t="n"/>
      <c r="R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I30" t="inlineStr">
        <is>
          <t>-10 ATK permanently after it attacked</t>
        </is>
      </c>
      <c r="K30" s="16" t="n"/>
      <c r="L30" s="17" t="inlineStr">
        <is>
          <t>Yes</t>
        </is>
      </c>
      <c r="M30" s="16">
        <f>(D30*6)+(E30*4)</f>
        <v/>
      </c>
      <c r="N30" s="17" t="inlineStr">
        <is>
          <t>Yes</t>
        </is>
      </c>
      <c r="O30" s="16" t="n"/>
      <c r="P30" s="16" t="n"/>
      <c r="Q30" s="16" t="n"/>
      <c r="R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In Reckoning, flip a coin. Head: +30 ATK&amp;DEF until this turn’s end</t>
        </is>
      </c>
      <c r="J31" t="inlineStr">
        <is>
          <t>ATK&amp;DEF→ATK and DEF; Head→Heads</t>
        </is>
      </c>
      <c r="K31" s="16" t="n"/>
      <c r="L31" s="17" t="inlineStr">
        <is>
          <t>Yes</t>
        </is>
      </c>
      <c r="M31" s="16">
        <f>(D31*6)+(E31*4)</f>
        <v/>
      </c>
      <c r="N31" s="16" t="n"/>
      <c r="O31" s="16" t="n"/>
      <c r="P31" s="16" t="n"/>
      <c r="Q31" s="16" t="n"/>
      <c r="R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I32" t="inlineStr">
        <is>
          <t>If this card would be destroyed, the owner can destroy 1 other Divine card on their side instead</t>
        </is>
      </c>
      <c r="K32" s="16" t="n"/>
      <c r="L32" s="17" t="inlineStr">
        <is>
          <t>Yes</t>
        </is>
      </c>
      <c r="M32" s="16">
        <f>(D32*6)+(E32*4)</f>
        <v/>
      </c>
      <c r="N32" s="17" t="inlineStr">
        <is>
          <t>Yes</t>
        </is>
      </c>
      <c r="O32" s="16" t="n"/>
      <c r="P32" s="16" t="n"/>
      <c r="Q32" s="16" t="n"/>
      <c r="R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K33" s="16" t="n"/>
      <c r="L33" s="17" t="inlineStr">
        <is>
          <t>Yes</t>
        </is>
      </c>
      <c r="M33" s="16">
        <f>(D33*6)+(E33*4)</f>
        <v/>
      </c>
      <c r="N33" s="17" t="inlineStr">
        <is>
          <t>Yes</t>
        </is>
      </c>
      <c r="O33" s="16" t="n"/>
      <c r="P33" s="16" t="n"/>
      <c r="Q33" s="17" t="inlineStr">
        <is>
          <t>Yes</t>
        </is>
      </c>
      <c r="R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+30 ATK&amp;DEF if 10 or more cells on its side is revealed</t>
        </is>
      </c>
      <c r="J34" t="inlineStr">
        <is>
          <t>ATK&amp;DEF→ATK and DEF</t>
        </is>
      </c>
      <c r="K34" s="16" t="n"/>
      <c r="L34" s="17" t="inlineStr">
        <is>
          <t>Yes</t>
        </is>
      </c>
      <c r="M34" s="16">
        <f>(D34*6)+(E34*4)</f>
        <v/>
      </c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I35" t="inlineStr">
        <is>
          <t>After successfully attack, flip 3 coins. It can attack again equal to number of head.</t>
        </is>
      </c>
      <c r="K35" s="16" t="n"/>
      <c r="L35" s="17" t="inlineStr">
        <is>
          <t>Yes</t>
        </is>
      </c>
      <c r="M35" s="16">
        <f>(D35*6)+(E35*4)</f>
        <v/>
      </c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I36" t="inlineStr">
        <is>
          <t>After successfully attack, this card cannot attack on the next of their turn.</t>
        </is>
      </c>
      <c r="K36" s="16" t="n"/>
      <c r="L36" s="17" t="inlineStr">
        <is>
          <t>Yes</t>
        </is>
      </c>
      <c r="M36" s="16">
        <f>(D36*6)+(E36*4)</f>
        <v/>
      </c>
      <c r="N36" s="16" t="n"/>
      <c r="O36" s="16" t="n"/>
      <c r="P36" s="16" t="n"/>
      <c r="Q36" s="16" t="n"/>
      <c r="R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If this card performs an attack, flip a coin. Tail: it stops attacking.</t>
        </is>
      </c>
      <c r="J37" t="inlineStr">
        <is>
          <t>Tail→Tails</t>
        </is>
      </c>
      <c r="K37" s="16" t="n"/>
      <c r="L37" s="17" t="inlineStr">
        <is>
          <t>Yes</t>
        </is>
      </c>
      <c r="M37" s="16">
        <f>(D37*6)+(E37*4)</f>
        <v/>
      </c>
      <c r="N37" s="17" t="inlineStr">
        <is>
          <t>Yes</t>
        </is>
      </c>
      <c r="O37" s="16" t="n"/>
      <c r="P37" s="17" t="inlineStr">
        <is>
          <t>Yes</t>
        </is>
      </c>
      <c r="Q37" s="16" t="n"/>
      <c r="R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I38" t="inlineStr">
        <is>
          <t>+10 DEF permanently after it performed attack on unit. Also +10 ATK with mutagen flag</t>
        </is>
      </c>
      <c r="K38" s="16" t="n"/>
      <c r="L38" s="17" t="inlineStr">
        <is>
          <t>Yes</t>
        </is>
      </c>
      <c r="M38" s="16">
        <f>(D38*6)+(E38*4)</f>
        <v/>
      </c>
      <c r="N38" s="17" t="inlineStr">
        <is>
          <t>Yes</t>
        </is>
      </c>
      <c r="O38" s="16" t="n"/>
      <c r="P38" s="16" t="n"/>
      <c r="Q38" s="17" t="inlineStr">
        <is>
          <t>Yes</t>
        </is>
      </c>
      <c r="R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I39" t="inlineStr">
        <is>
          <t>+50 ATK for each other exposed Chaos card on its side. In Reckoning with Divine, destroy this card.</t>
        </is>
      </c>
      <c r="K39" s="16" t="n"/>
      <c r="L39" s="17" t="inlineStr">
        <is>
          <t>Yes</t>
        </is>
      </c>
      <c r="M39" s="16">
        <f>(D39*6)+(E39*4)</f>
        <v/>
      </c>
      <c r="N39" s="17" t="inlineStr">
        <is>
          <t>Yes</t>
        </is>
      </c>
      <c r="O39" s="16" t="n"/>
      <c r="P39" s="17" t="inlineStr">
        <is>
          <t>Yes</t>
        </is>
      </c>
      <c r="Q39" s="17" t="inlineStr">
        <is>
          <t>Yes</t>
        </is>
      </c>
      <c r="R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I40" t="inlineStr">
        <is>
          <t>If a 'Vampire' card will be destroyed, destroy this card instead. Usable face-down.</t>
        </is>
      </c>
      <c r="K40" s="16" t="n"/>
      <c r="L40" s="17" t="inlineStr">
        <is>
          <t>Yes</t>
        </is>
      </c>
      <c r="M40" s="16">
        <f>(D40*6)+(E40*4)</f>
        <v/>
      </c>
      <c r="N40" s="17" t="inlineStr">
        <is>
          <t>Yes</t>
        </is>
      </c>
      <c r="O40" s="16" t="n"/>
      <c r="P40" s="16" t="n"/>
      <c r="Q40" s="17" t="inlineStr">
        <is>
          <t>Yes</t>
        </is>
      </c>
      <c r="R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I41" t="inlineStr">
        <is>
          <t>If a Chaos card is being attacked, they can swap this card’s position with that card. Usable face-down.</t>
        </is>
      </c>
      <c r="K41" s="16" t="n"/>
      <c r="L41" s="17" t="inlineStr">
        <is>
          <t>Yes</t>
        </is>
      </c>
      <c r="M41" s="16">
        <f>(D41*6)+(E41*4)</f>
        <v/>
      </c>
      <c r="N41" s="17" t="inlineStr">
        <is>
          <t>Yes</t>
        </is>
      </c>
      <c r="O41" s="16" t="n"/>
      <c r="P41" s="17" t="inlineStr">
        <is>
          <t>Yes</t>
        </is>
      </c>
      <c r="Q41" s="16" t="n"/>
      <c r="R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If this card performs an attack, switch this card’s ATK&amp;DEF</t>
        </is>
      </c>
      <c r="J42" t="inlineStr">
        <is>
          <t>ATK&amp;DEF→ATK and DEF</t>
        </is>
      </c>
      <c r="K42" s="16" t="n"/>
      <c r="L42" s="17" t="inlineStr">
        <is>
          <t>Yes</t>
        </is>
      </c>
      <c r="M42" s="16">
        <f>(D42*6)+(E42*4)</f>
        <v/>
      </c>
      <c r="N42" s="17" t="inlineStr">
        <is>
          <t>Yes</t>
        </is>
      </c>
      <c r="O42" s="16" t="n"/>
      <c r="P42" s="17" t="inlineStr">
        <is>
          <t>Yes</t>
        </is>
      </c>
      <c r="Q42" s="16" t="n"/>
      <c r="R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I43" t="inlineStr">
        <is>
          <t>If this card performs an attack, +ATK equal to half of target’s ATK until the end of this turn</t>
        </is>
      </c>
      <c r="K43" s="16" t="n"/>
      <c r="L43" s="17" t="inlineStr">
        <is>
          <t>Yes</t>
        </is>
      </c>
      <c r="M43" s="16">
        <f>(D43*6)+(E43*4)</f>
        <v/>
      </c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I44" t="inlineStr">
        <is>
          <t>+20 ATK against Anima card</t>
        </is>
      </c>
      <c r="K44" s="16" t="n"/>
      <c r="L44" s="17" t="inlineStr">
        <is>
          <t>Yes</t>
        </is>
      </c>
      <c r="M44" s="16">
        <f>(D44*6)+(E44*4)</f>
        <v/>
      </c>
      <c r="N44" s="17" t="inlineStr">
        <is>
          <t>Yes</t>
        </is>
      </c>
      <c r="O44" s="16" t="n"/>
      <c r="P44" s="17" t="inlineStr">
        <is>
          <t>Yes</t>
        </is>
      </c>
      <c r="Q44" s="16" t="n"/>
      <c r="R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K45" s="16" t="n"/>
      <c r="L45" s="17" t="inlineStr">
        <is>
          <t>Yes</t>
        </is>
      </c>
      <c r="M45" s="16">
        <f>(D45*6)+(E45*4)</f>
        <v/>
      </c>
      <c r="N45" s="17" t="inlineStr">
        <is>
          <t>Yes</t>
        </is>
      </c>
      <c r="O45" s="16" t="n"/>
      <c r="P45" s="17" t="inlineStr">
        <is>
          <t>Yes</t>
        </is>
      </c>
      <c r="Q45" s="16" t="n"/>
      <c r="R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K46" s="16" t="n"/>
      <c r="L46" s="17" t="inlineStr">
        <is>
          <t>Yes</t>
        </is>
      </c>
      <c r="M46" s="16">
        <f>(D46*6)+(E46*4)</f>
        <v/>
      </c>
      <c r="N46" s="17" t="inlineStr">
        <is>
          <t>Yes</t>
        </is>
      </c>
      <c r="O46" s="16" t="n"/>
      <c r="P46" s="16" t="n"/>
      <c r="Q46" s="16" t="n"/>
      <c r="R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After it is destroy in Reckoning, revive 1 owned unit, but ability becomes None. Repeat the Reckoning.</t>
        </is>
      </c>
      <c r="J47" t="inlineStr">
        <is>
          <t>User confirmed repeat same battle once; grammar.</t>
        </is>
      </c>
      <c r="K47" s="16" t="n"/>
      <c r="L47" s="17" t="inlineStr">
        <is>
          <t>Yes</t>
        </is>
      </c>
      <c r="M47" s="16">
        <f>(D47*6)+(E47*4)</f>
        <v/>
      </c>
      <c r="N47" s="16" t="n"/>
      <c r="O47" s="16" t="n"/>
      <c r="P47" s="16" t="n"/>
      <c r="Q47" s="16" t="n"/>
      <c r="R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K48" s="16" t="n"/>
      <c r="L48" s="17" t="inlineStr">
        <is>
          <t>Yes</t>
        </is>
      </c>
      <c r="M48" s="16">
        <f>(D48*6)+(E48*4)</f>
        <v/>
      </c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+10 ATK permanently if it destroyed a unit. This bonus do not exceed 30</t>
        </is>
      </c>
      <c r="J49" t="inlineStr">
        <is>
          <t>wording polish</t>
        </is>
      </c>
      <c r="K49" s="16" t="n"/>
      <c r="L49" s="17" t="inlineStr">
        <is>
          <t>Yes</t>
        </is>
      </c>
      <c r="M49" s="16">
        <f>(D49*6)+(E49*4)</f>
        <v/>
      </c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I50" t="inlineStr">
        <is>
          <t>Half its DEF permanently at the end of that turn</t>
        </is>
      </c>
      <c r="K50" s="16" t="n"/>
      <c r="L50" s="17" t="inlineStr">
        <is>
          <t>Yes</t>
        </is>
      </c>
      <c r="M50" s="16">
        <f>(D50*6)+(E50*4)</f>
        <v/>
      </c>
      <c r="N50" s="17" t="inlineStr">
        <is>
          <t>Yes</t>
        </is>
      </c>
      <c r="O50" s="16" t="n"/>
      <c r="P50" s="17" t="inlineStr">
        <is>
          <t>Yes</t>
        </is>
      </c>
      <c r="Q50" s="16" t="n"/>
      <c r="R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I51" t="inlineStr">
        <is>
          <t>If this card successfully defended, +10 DEF permanently</t>
        </is>
      </c>
      <c r="K51" s="16" t="n"/>
      <c r="L51" s="17" t="inlineStr">
        <is>
          <t>Yes</t>
        </is>
      </c>
      <c r="M51" s="16">
        <f>(D51*6)+(E51*4)</f>
        <v/>
      </c>
      <c r="N51" s="17" t="inlineStr">
        <is>
          <t>Yes</t>
        </is>
      </c>
      <c r="O51" s="16" t="n"/>
      <c r="P51" s="16" t="n"/>
      <c r="Q51" s="17" t="inlineStr">
        <is>
          <t>Yes</t>
        </is>
      </c>
      <c r="R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K52" s="16" t="n"/>
      <c r="L52" s="17" t="inlineStr">
        <is>
          <t>Yes</t>
        </is>
      </c>
      <c r="M52" s="16">
        <f>(D52*6)+(E52*4)</f>
        <v/>
      </c>
      <c r="N52" s="17" t="inlineStr">
        <is>
          <t>Yes</t>
        </is>
      </c>
      <c r="O52" s="16" t="n"/>
      <c r="P52" s="16" t="n"/>
      <c r="Q52" s="16" t="n"/>
      <c r="R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K53" s="16" t="n"/>
      <c r="L53" s="17" t="inlineStr">
        <is>
          <t>Yes</t>
        </is>
      </c>
      <c r="M53" s="16">
        <f>(D53*6)+(E53*4)</f>
        <v/>
      </c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+10 ATK/DEF per revealed cell on its side</t>
        </is>
      </c>
      <c r="J54" t="inlineStr">
        <is>
          <t>ATK/DEF→ATK and DEF</t>
        </is>
      </c>
      <c r="K54" s="16" t="n"/>
      <c r="L54" s="17" t="inlineStr">
        <is>
          <t>Yes</t>
        </is>
      </c>
      <c r="M54" s="16">
        <f>(D54*6)+(E54*4)</f>
        <v/>
      </c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I55" t="inlineStr">
        <is>
          <t>At the end of the turn that it’s been exposed, its defense becomes 0</t>
        </is>
      </c>
      <c r="K55" s="16" t="n"/>
      <c r="L55" s="17" t="inlineStr">
        <is>
          <t>Yes</t>
        </is>
      </c>
      <c r="M55" s="16">
        <f>(D55*6)+(E55*4)</f>
        <v/>
      </c>
      <c r="N55" s="17" t="inlineStr">
        <is>
          <t>Yes</t>
        </is>
      </c>
      <c r="O55" s="16" t="n"/>
      <c r="P55" s="16" t="n"/>
      <c r="Q55" s="16" t="n"/>
      <c r="R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I56" t="inlineStr">
        <is>
          <t>Pay 1000 Crystal tax to command this card for attack</t>
        </is>
      </c>
      <c r="K56" s="16" t="n"/>
      <c r="L56" s="17" t="inlineStr">
        <is>
          <t>Yes</t>
        </is>
      </c>
      <c r="M56" s="16">
        <f>(D56*6)+(E56*4)</f>
        <v/>
      </c>
      <c r="N56" s="16" t="n"/>
      <c r="O56" s="16" t="n"/>
      <c r="P56" s="16" t="n"/>
      <c r="Q56" s="16" t="n"/>
      <c r="R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K57" s="16" t="n"/>
      <c r="L57" s="17" t="inlineStr">
        <is>
          <t>Yes</t>
        </is>
      </c>
      <c r="M57" s="16">
        <f>(D57*6)+(E57*4)</f>
        <v/>
      </c>
      <c r="N57" s="16" t="n"/>
      <c r="O57" s="16" t="n"/>
      <c r="P57" s="16" t="n"/>
      <c r="Q57" s="16" t="n"/>
      <c r="R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K58" s="16" t="n"/>
      <c r="L58" s="17" t="inlineStr">
        <is>
          <t>Yes</t>
        </is>
      </c>
      <c r="M58" s="16">
        <f>(D58*6)+(E58*4)</f>
        <v/>
      </c>
      <c r="N58" s="16" t="n"/>
      <c r="O58" s="16" t="n"/>
      <c r="P58" s="16" t="n"/>
      <c r="Q58" s="16" t="n"/>
      <c r="R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In Reckoning, flip a coin. Head: +20 ATK&amp;DEF. Tail -20 ATK&amp;DEF</t>
        </is>
      </c>
      <c r="J59" t="inlineStr">
        <is>
          <t>ATK&amp;DEF→ATK and DEF; Head→Heads</t>
        </is>
      </c>
      <c r="K59" s="16" t="n"/>
      <c r="L59" s="17" t="inlineStr">
        <is>
          <t>Yes</t>
        </is>
      </c>
      <c r="M59" s="16">
        <f>(D59*6)+(E59*4)</f>
        <v/>
      </c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Once in Reckoning, the owner can choose to grant +50 ATK and -50 ATK to it permanently</t>
        </is>
      </c>
      <c r="J60" t="inlineStr">
        <is>
          <t>User confirmed -50 ATK was typo for -50 DEF.</t>
        </is>
      </c>
      <c r="K60" s="16" t="n"/>
      <c r="L60" s="17" t="inlineStr">
        <is>
          <t>Yes</t>
        </is>
      </c>
      <c r="M60" s="16">
        <f>(D60*6)+(E60*4)</f>
        <v/>
      </c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Once, at their turn end, -35 ATK</t>
        </is>
      </c>
      <c r="J61" t="inlineStr">
        <is>
          <t>wording polish</t>
        </is>
      </c>
      <c r="K61" s="16" t="n"/>
      <c r="L61" s="17" t="inlineStr">
        <is>
          <t>Yes</t>
        </is>
      </c>
      <c r="M61" s="16">
        <f>(D61*6)+(E61*4)</f>
        <v/>
      </c>
      <c r="N61" s="16" t="n"/>
      <c r="O61" s="16" t="n"/>
      <c r="P61" s="16" t="n"/>
      <c r="Q61" s="16" t="n"/>
      <c r="R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I62" t="inlineStr">
        <is>
          <t>-50 DEF for each successful defense</t>
        </is>
      </c>
      <c r="K62" s="16" t="n"/>
      <c r="L62" s="17" t="inlineStr">
        <is>
          <t>Yes</t>
        </is>
      </c>
      <c r="M62" s="16">
        <f>(D62*6)+(E62*4)</f>
        <v/>
      </c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I63" t="inlineStr">
        <is>
          <t>+15 ATK until the end of that turn, once.</t>
        </is>
      </c>
      <c r="K63" s="16" t="n"/>
      <c r="L63" s="16" t="n"/>
      <c r="M63" s="16">
        <f>(D63*6)+(E63*4)</f>
        <v/>
      </c>
      <c r="N63" s="16" t="n"/>
      <c r="O63" s="16" t="n"/>
      <c r="P63" s="16" t="n"/>
      <c r="Q63" s="16" t="n"/>
      <c r="R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K64" s="16" t="n"/>
      <c r="L64" s="16" t="n"/>
      <c r="M64" s="16">
        <f>(D64*6)+(E64*4)</f>
        <v/>
      </c>
      <c r="N64" s="16" t="n"/>
      <c r="O64" s="16" t="n"/>
      <c r="P64" s="16" t="n"/>
      <c r="Q64" s="16" t="n"/>
      <c r="R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K65" s="16" t="n"/>
      <c r="L65" s="17" t="inlineStr">
        <is>
          <t>Yes</t>
        </is>
      </c>
      <c r="M65" s="16">
        <f>(D65*6)+(E65*4)</f>
        <v/>
      </c>
      <c r="N65" s="17" t="inlineStr">
        <is>
          <t>Yes</t>
        </is>
      </c>
      <c r="O65" s="16" t="n"/>
      <c r="P65" s="16" t="n"/>
      <c r="Q65" s="17" t="inlineStr">
        <is>
          <t>Yes</t>
        </is>
      </c>
      <c r="R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K66" s="16" t="n"/>
      <c r="L66" s="16" t="n"/>
      <c r="M66" s="16">
        <f>(D66*6)+(E66*4)</f>
        <v/>
      </c>
      <c r="N66" s="16" t="n"/>
      <c r="O66" s="16" t="n"/>
      <c r="P66" s="16" t="n"/>
      <c r="Q66" s="16" t="n"/>
      <c r="R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Once, if survived Reckoning: +ATK&amp;DEF equal to half of that foe’s card</t>
        </is>
      </c>
      <c r="J67" t="inlineStr">
        <is>
          <t>ATK&amp;DEF→ATK and DEF</t>
        </is>
      </c>
      <c r="K67" s="16" t="n"/>
      <c r="L67" s="17" t="inlineStr">
        <is>
          <t>Yes</t>
        </is>
      </c>
      <c r="M67" s="16">
        <f>(D67*6)+(E67*4)</f>
        <v/>
      </c>
      <c r="N67" s="17" t="inlineStr">
        <is>
          <t>Yes</t>
        </is>
      </c>
      <c r="O67" s="16" t="n"/>
      <c r="P67" s="16" t="n"/>
      <c r="Q67" s="17" t="inlineStr">
        <is>
          <t>Yes</t>
        </is>
      </c>
      <c r="R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K68" s="16" t="n"/>
      <c r="L68" s="16" t="n"/>
      <c r="M68" s="16">
        <f>(D68*6)+(E68*4)</f>
        <v/>
      </c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Before Reckoning, flip a coin. If head, swap position with any of own unit. Repeat Reckoning.</t>
        </is>
      </c>
      <c r="J69" t="inlineStr">
        <is>
          <t>Head→Heads</t>
        </is>
      </c>
      <c r="K69" s="16" t="n"/>
      <c r="L69" s="17" t="inlineStr">
        <is>
          <t>Yes</t>
        </is>
      </c>
      <c r="M69" s="16">
        <f>(D69*6)+(E69*4)</f>
        <v/>
      </c>
      <c r="N69" s="17" t="inlineStr">
        <is>
          <t>Yes</t>
        </is>
      </c>
      <c r="O69" s="16" t="n"/>
      <c r="P69" s="16" t="n"/>
      <c r="Q69" s="16" t="n"/>
      <c r="R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Once, this card is not destroyed</t>
        </is>
      </c>
      <c r="J70" t="inlineStr">
        <is>
          <t>wording polish</t>
        </is>
      </c>
      <c r="K70" s="16" t="n"/>
      <c r="L70" s="17" t="inlineStr">
        <is>
          <t>Yes</t>
        </is>
      </c>
      <c r="M70" s="16">
        <f>(D70*6)+(E70*4)</f>
        <v/>
      </c>
      <c r="N70" s="17" t="inlineStr">
        <is>
          <t>Yes</t>
        </is>
      </c>
      <c r="O70" s="16" t="n"/>
      <c r="P70" s="17" t="inlineStr">
        <is>
          <t>Yes</t>
        </is>
      </c>
      <c r="Q70" s="16" t="n"/>
      <c r="R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I71" t="inlineStr">
        <is>
          <t>If the owner lose 500 or more Crystals, they recover 300 Crystals</t>
        </is>
      </c>
      <c r="K71" s="16" t="n"/>
      <c r="L71" s="17" t="inlineStr">
        <is>
          <t>Yes</t>
        </is>
      </c>
      <c r="M71" s="16">
        <f>(D71*6)+(E71*4)</f>
        <v/>
      </c>
      <c r="N71" s="17" t="inlineStr">
        <is>
          <t>Yes</t>
        </is>
      </c>
      <c r="O71" s="16" t="n"/>
      <c r="P71" s="17" t="inlineStr">
        <is>
          <t>Yes</t>
        </is>
      </c>
      <c r="Q71" s="16" t="n"/>
      <c r="R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K72" s="16" t="n"/>
      <c r="L72" s="17" t="inlineStr">
        <is>
          <t>Yes</t>
        </is>
      </c>
      <c r="M72" s="16">
        <f>(D72*6)+(E72*4)</f>
        <v/>
      </c>
      <c r="N72" s="17" t="inlineStr">
        <is>
          <t>Yes</t>
        </is>
      </c>
      <c r="O72" s="16" t="n"/>
      <c r="P72" s="16" t="n"/>
      <c r="Q72" s="16" t="n"/>
      <c r="R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I73" t="inlineStr">
        <is>
          <t>+10 ATK vs Chaos</t>
        </is>
      </c>
      <c r="K73" s="16" t="n"/>
      <c r="L73" s="16" t="n"/>
      <c r="M73" s="16">
        <f>(D73*6)+(E73*4)</f>
        <v/>
      </c>
      <c r="N73" s="16" t="n"/>
      <c r="O73" s="16" t="n"/>
      <c r="P73" s="16" t="n"/>
      <c r="Q73" s="16" t="n"/>
      <c r="R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K74" s="16" t="n"/>
      <c r="L74" s="16" t="n"/>
      <c r="M74" s="16">
        <f>(D74*6)+(E74*4)</f>
        <v/>
      </c>
      <c r="N74" s="16" t="n"/>
      <c r="O74" s="16" t="n"/>
      <c r="P74" s="16" t="n"/>
      <c r="Q74" s="16" t="n"/>
      <c r="R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I75" t="inlineStr">
        <is>
          <t>+25 ATK permanently</t>
        </is>
      </c>
      <c r="K75" s="16" t="n"/>
      <c r="L75" s="16" t="n"/>
      <c r="M75" s="16">
        <f>(D75*6)+(E75*4)</f>
        <v/>
      </c>
      <c r="N75" s="16" t="n"/>
      <c r="O75" s="16" t="n"/>
      <c r="P75" s="16" t="n"/>
      <c r="Q75" s="16" t="n"/>
      <c r="R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K76" s="16" t="n"/>
      <c r="L76" s="17" t="inlineStr">
        <is>
          <t>Yes</t>
        </is>
      </c>
      <c r="M76" s="16">
        <f>(D76*6)+(E76*4)</f>
        <v/>
      </c>
      <c r="N76" s="17" t="inlineStr">
        <is>
          <t>Yes</t>
        </is>
      </c>
      <c r="O76" s="16" t="n"/>
      <c r="P76" s="17" t="inlineStr">
        <is>
          <t>Yes</t>
        </is>
      </c>
      <c r="Q76" s="16" t="n"/>
      <c r="R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+ 5 ATK&amp;DEF vs Chaos card</t>
        </is>
      </c>
      <c r="J77" t="inlineStr">
        <is>
          <t>ATK&amp;DEF→ATK and DEF</t>
        </is>
      </c>
      <c r="K77" s="16" t="n"/>
      <c r="L77" s="16" t="n"/>
      <c r="M77" s="16">
        <f>(D77*6)+(E77*4)</f>
        <v/>
      </c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I78" t="inlineStr">
        <is>
          <t>If at least 1 exposed Divine unit is on the field, this card gain 35 DEF</t>
        </is>
      </c>
      <c r="K78" s="16" t="n"/>
      <c r="L78" s="17" t="inlineStr">
        <is>
          <t>Yes</t>
        </is>
      </c>
      <c r="M78" s="16">
        <f>(D78*6)+(E78*4)</f>
        <v/>
      </c>
      <c r="N78" s="17" t="inlineStr">
        <is>
          <t>Yes</t>
        </is>
      </c>
      <c r="O78" s="16" t="n"/>
      <c r="P78" s="16" t="n"/>
      <c r="Q78" s="17" t="inlineStr">
        <is>
          <t>Yes</t>
        </is>
      </c>
      <c r="R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K79" s="16" t="n"/>
      <c r="L79" s="17" t="inlineStr">
        <is>
          <t>Yes</t>
        </is>
      </c>
      <c r="M79" s="16">
        <f>(D79*6)+(E79*4)</f>
        <v/>
      </c>
      <c r="N79" s="17" t="inlineStr">
        <is>
          <t>Yes</t>
        </is>
      </c>
      <c r="O79" s="16" t="n"/>
      <c r="P79" s="16" t="n"/>
      <c r="Q79" s="17" t="inlineStr">
        <is>
          <t>Yes</t>
        </is>
      </c>
      <c r="R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K80" s="16" t="n"/>
      <c r="L80" s="17" t="inlineStr">
        <is>
          <t>Yes</t>
        </is>
      </c>
      <c r="M80" s="16">
        <f>(D80*6)+(E80*4)</f>
        <v/>
      </c>
      <c r="N80" s="17" t="inlineStr">
        <is>
          <t>Yes</t>
        </is>
      </c>
      <c r="O80" s="16" t="n"/>
      <c r="P80" s="16" t="n"/>
      <c r="Q80" s="17" t="inlineStr">
        <is>
          <t>Yes</t>
        </is>
      </c>
      <c r="R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K81" s="16" t="n"/>
      <c r="L81" s="17" t="inlineStr">
        <is>
          <t>Yes</t>
        </is>
      </c>
      <c r="M81" s="16">
        <f>(D81*6)+(E81*4)</f>
        <v/>
      </c>
      <c r="N81" s="17" t="inlineStr">
        <is>
          <t>Yes</t>
        </is>
      </c>
      <c r="O81" s="16" t="n"/>
      <c r="P81" s="16" t="n"/>
      <c r="Q81" s="17" t="inlineStr">
        <is>
          <t>Yes</t>
        </is>
      </c>
      <c r="R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K82" s="16" t="n"/>
      <c r="L82" s="17" t="inlineStr">
        <is>
          <t>Yes</t>
        </is>
      </c>
      <c r="M82" s="16">
        <f>(D82*6)+(E82*4)</f>
        <v/>
      </c>
      <c r="N82" s="17" t="inlineStr">
        <is>
          <t>Yes</t>
        </is>
      </c>
      <c r="O82" s="16" t="n"/>
      <c r="P82" s="16" t="n"/>
      <c r="Q82" s="16" t="n"/>
      <c r="R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I83" t="inlineStr">
        <is>
          <t>After it becomes exposed, -20 ATK at that turn’s end.</t>
        </is>
      </c>
      <c r="K83" s="16" t="n"/>
      <c r="L83" s="17" t="inlineStr">
        <is>
          <t>Yes</t>
        </is>
      </c>
      <c r="M83" s="16">
        <f>(D83*6)+(E83*4)</f>
        <v/>
      </c>
      <c r="N83" s="17" t="inlineStr">
        <is>
          <t>Yes</t>
        </is>
      </c>
      <c r="O83" s="16" t="n"/>
      <c r="P83" s="17" t="inlineStr">
        <is>
          <t>Yes</t>
        </is>
      </c>
      <c r="Q83" s="16" t="n"/>
      <c r="R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Once, after destroyed a unit, this card can attack 1 more time.</t>
        </is>
      </c>
      <c r="J84" t="inlineStr">
        <is>
          <t>wording polish</t>
        </is>
      </c>
      <c r="K84" s="16" t="n"/>
      <c r="L84" s="17" t="inlineStr">
        <is>
          <t>Yes</t>
        </is>
      </c>
      <c r="M84" s="16">
        <f>(D84*6)+(E84*4)</f>
        <v/>
      </c>
      <c r="N84" s="17" t="inlineStr">
        <is>
          <t>Yes</t>
        </is>
      </c>
      <c r="O84" s="16" t="n"/>
      <c r="P84" s="17" t="inlineStr">
        <is>
          <t>Yes</t>
        </is>
      </c>
      <c r="Q84" s="16" t="n"/>
      <c r="R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I85" t="inlineStr">
        <is>
          <t>+30 DEF vs Nature</t>
        </is>
      </c>
      <c r="K85" s="16" t="n"/>
      <c r="L85" s="16" t="n"/>
      <c r="M85" s="16">
        <f>(D85*6)+(E85*4)</f>
        <v/>
      </c>
      <c r="N85" s="16" t="n"/>
      <c r="O85" s="16" t="n"/>
      <c r="P85" s="16" t="n"/>
      <c r="Q85" s="16" t="n"/>
      <c r="R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Once, after attacked a non-unit cell, this card can attack 1 more time.</t>
        </is>
      </c>
      <c r="J86" t="inlineStr">
        <is>
          <t>wording polish</t>
        </is>
      </c>
      <c r="K86" s="16" t="n"/>
      <c r="L86" s="17" t="inlineStr">
        <is>
          <t>Yes</t>
        </is>
      </c>
      <c r="M86" s="16">
        <f>(D86*6)+(E86*4)</f>
        <v/>
      </c>
      <c r="N86" s="17" t="inlineStr">
        <is>
          <t>Yes</t>
        </is>
      </c>
      <c r="O86" s="16" t="n"/>
      <c r="P86" s="16" t="n"/>
      <c r="Q86" s="17" t="inlineStr">
        <is>
          <t>Yes</t>
        </is>
      </c>
      <c r="R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Once, destroy Anima card during battle calculation</t>
        </is>
      </c>
      <c r="J87" t="inlineStr">
        <is>
          <t>wording polish</t>
        </is>
      </c>
      <c r="K87" s="16" t="n"/>
      <c r="L87" s="16" t="n"/>
      <c r="M87" s="16">
        <f>(D87*6)+(E87*4)</f>
        <v/>
      </c>
      <c r="N87" s="16" t="n"/>
      <c r="O87" s="16" t="n"/>
      <c r="P87" s="16" t="n"/>
      <c r="Q87" s="16" t="n"/>
      <c r="R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In Reckoning if it defends, flip a coin. Head: the attack does nothing.</t>
        </is>
      </c>
      <c r="J88" t="inlineStr">
        <is>
          <t>Head→Heads</t>
        </is>
      </c>
      <c r="K88" s="16" t="n"/>
      <c r="L88" s="16" t="n"/>
      <c r="M88" s="16">
        <f>(D88*6)+(E88*4)</f>
        <v/>
      </c>
      <c r="N88" s="16" t="n"/>
      <c r="O88" s="16" t="n"/>
      <c r="P88" s="16" t="n"/>
      <c r="Q88" s="16" t="n"/>
      <c r="R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In Reckoning if it defends, flip a coin. Head: the attack does nothing.</t>
        </is>
      </c>
      <c r="J89" t="inlineStr">
        <is>
          <t>Head→Heads</t>
        </is>
      </c>
      <c r="K89" s="16" t="n"/>
      <c r="L89" s="16" t="n"/>
      <c r="M89" s="16">
        <f>(D89*6)+(E89*4)</f>
        <v/>
      </c>
      <c r="N89" s="16" t="n"/>
      <c r="O89" s="16" t="n"/>
      <c r="P89" s="16" t="n"/>
      <c r="Q89" s="16" t="n"/>
      <c r="R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I90" t="inlineStr">
        <is>
          <t>+5 ATK at their turn end. This bonus does not exceed 25</t>
        </is>
      </c>
      <c r="K90" s="16" t="n"/>
      <c r="L90" s="16" t="n"/>
      <c r="M90" s="16">
        <f>(D90*6)+(E90*4)</f>
        <v/>
      </c>
      <c r="N90" s="16" t="n"/>
      <c r="O90" s="16" t="n"/>
      <c r="P90" s="16" t="n"/>
      <c r="Q90" s="16" t="n"/>
      <c r="R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I91" t="inlineStr">
        <is>
          <t>If it attacks: +10 ATK,-10 DEF permanently</t>
        </is>
      </c>
      <c r="K91" s="16" t="n"/>
      <c r="L91" s="17" t="inlineStr">
        <is>
          <t>Yes</t>
        </is>
      </c>
      <c r="M91" s="16">
        <f>(D91*6)+(E91*4)</f>
        <v/>
      </c>
      <c r="N91" s="17" t="inlineStr">
        <is>
          <t>Yes</t>
        </is>
      </c>
      <c r="O91" s="16" t="n"/>
      <c r="P91" s="16" t="n"/>
      <c r="Q91" s="16" t="n"/>
      <c r="R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I92" t="inlineStr">
        <is>
          <t>+20 DEF vs Chaos</t>
        </is>
      </c>
      <c r="K92" s="16" t="n"/>
      <c r="L92" s="16" t="n"/>
      <c r="M92" s="16">
        <f>(D92*6)+(E92*4)</f>
        <v/>
      </c>
      <c r="N92" s="16" t="n"/>
      <c r="O92" s="16" t="n"/>
      <c r="P92" s="16" t="n"/>
      <c r="Q92" s="16" t="n"/>
      <c r="R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K93" s="16" t="n"/>
      <c r="L93" s="17" t="inlineStr">
        <is>
          <t>Yes</t>
        </is>
      </c>
      <c r="M93" s="16">
        <f>(D93*6)+(E93*4)</f>
        <v/>
      </c>
      <c r="N93" s="17" t="inlineStr">
        <is>
          <t>Yes</t>
        </is>
      </c>
      <c r="O93" s="16" t="n"/>
      <c r="P93" s="16" t="n"/>
      <c r="Q93" s="17" t="inlineStr">
        <is>
          <t>Yes</t>
        </is>
      </c>
      <c r="R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+5 ATK&amp;DEF for each exposed Chaos unit on foe’s field</t>
        </is>
      </c>
      <c r="J94" t="inlineStr">
        <is>
          <t>ATK&amp;DEF→ATK and DEF</t>
        </is>
      </c>
      <c r="K94" s="16" t="n"/>
      <c r="L94" s="16" t="n"/>
      <c r="M94" s="16">
        <f>(D94*6)+(E94*4)</f>
        <v/>
      </c>
      <c r="N94" s="16" t="n"/>
      <c r="O94" s="16" t="n"/>
      <c r="P94" s="16" t="n"/>
      <c r="Q94" s="16" t="n"/>
      <c r="R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+10 ATK&amp;DEF to other Divine card on its side</t>
        </is>
      </c>
      <c r="J95" t="inlineStr">
        <is>
          <t>ATK&amp;DEF→ATK and DEF</t>
        </is>
      </c>
      <c r="K95" s="16" t="n"/>
      <c r="L95" s="16" t="n"/>
      <c r="M95" s="16">
        <f>(D95*6)+(E95*4)</f>
        <v/>
      </c>
      <c r="N95" s="16" t="n"/>
      <c r="O95" s="16" t="n"/>
      <c r="P95" s="16" t="n"/>
      <c r="Q95" s="16" t="n"/>
      <c r="R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K96" s="16" t="n"/>
      <c r="L96" s="17" t="inlineStr">
        <is>
          <t>Yes</t>
        </is>
      </c>
      <c r="M96" s="16">
        <f>(D96*6)+(E96*4)</f>
        <v/>
      </c>
      <c r="N96" s="17" t="inlineStr">
        <is>
          <t>Yes</t>
        </is>
      </c>
      <c r="O96" s="16" t="n"/>
      <c r="P96" s="17" t="inlineStr">
        <is>
          <t>Yes</t>
        </is>
      </c>
      <c r="Q96" s="16" t="n"/>
      <c r="R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I97" t="inlineStr">
        <is>
          <t>If it defends: +10 DEF,-10 ATK</t>
        </is>
      </c>
      <c r="K97" s="16" t="n"/>
      <c r="L97" s="17" t="inlineStr">
        <is>
          <t>Yes</t>
        </is>
      </c>
      <c r="M97" s="16">
        <f>(D97*6)+(E97*4)</f>
        <v/>
      </c>
      <c r="N97" s="17" t="inlineStr">
        <is>
          <t>Yes</t>
        </is>
      </c>
      <c r="O97" s="16" t="n"/>
      <c r="P97" s="16" t="n"/>
      <c r="Q97" s="16" t="n"/>
      <c r="R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K98" s="16" t="n"/>
      <c r="L98" s="17" t="inlineStr">
        <is>
          <t>Yes</t>
        </is>
      </c>
      <c r="M98" s="16">
        <f>(D98*6)+(E98*4)</f>
        <v/>
      </c>
      <c r="N98" s="17" t="inlineStr">
        <is>
          <t>Yes</t>
        </is>
      </c>
      <c r="O98" s="16" t="n"/>
      <c r="P98" s="17" t="inlineStr">
        <is>
          <t>Yes</t>
        </is>
      </c>
      <c r="Q98" s="16" t="n"/>
      <c r="R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I99" t="inlineStr">
        <is>
          <t>-10 ATK permanently at the end of that turn if this card has not performed attack.</t>
        </is>
      </c>
      <c r="K99" s="16" t="n"/>
      <c r="L99" s="16" t="n"/>
      <c r="M99" s="16">
        <f>(D99*6)+(E99*4)</f>
        <v/>
      </c>
      <c r="N99" s="16" t="n"/>
      <c r="O99" s="16" t="n"/>
      <c r="P99" s="16" t="n"/>
      <c r="Q99" s="16" t="n"/>
      <c r="R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I100" t="inlineStr">
        <is>
          <t>This card is not destroyed by Chaos cards</t>
        </is>
      </c>
      <c r="K100" s="16" t="n"/>
      <c r="L100" s="16" t="n"/>
      <c r="M100" s="16">
        <f>(D100*6)+(E100*4)</f>
        <v/>
      </c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I101" t="inlineStr">
        <is>
          <t>At the end of this turn, +5 ATK permanently. This bonus does not exceed maximum of 25</t>
        </is>
      </c>
      <c r="K101" s="16" t="n"/>
      <c r="L101" s="16" t="n"/>
      <c r="M101" s="16">
        <f>(D101*6)+(E101*4)</f>
        <v/>
      </c>
      <c r="N101" s="16" t="n"/>
      <c r="O101" s="16" t="n"/>
      <c r="P101" s="16" t="n"/>
      <c r="Q101" s="16" t="n"/>
      <c r="R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Once, this card is not destroyed with unsuccessful attack</t>
        </is>
      </c>
      <c r="J102" t="inlineStr">
        <is>
          <t>wording polish</t>
        </is>
      </c>
      <c r="K102" s="16" t="n"/>
      <c r="L102" s="16" t="n"/>
      <c r="M102" s="16">
        <f>(D102*6)+(E102*4)</f>
        <v/>
      </c>
      <c r="N102" s="16" t="n"/>
      <c r="O102" s="16" t="n"/>
      <c r="P102" s="16" t="n"/>
      <c r="Q102" s="16" t="n"/>
      <c r="R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Swap this card’s ATK&amp;DEF if performs attack on Chaos</t>
        </is>
      </c>
      <c r="J103" t="inlineStr">
        <is>
          <t>ATK&amp;DEF→ATK and DEF</t>
        </is>
      </c>
      <c r="K103" s="16" t="n"/>
      <c r="L103" s="16" t="n"/>
      <c r="M103" s="16">
        <f>(D103*6)+(E103*4)</f>
        <v/>
      </c>
      <c r="N103" s="16" t="n"/>
      <c r="O103" s="16" t="n"/>
      <c r="P103" s="16" t="n"/>
      <c r="Q103" s="16" t="n"/>
      <c r="R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+20 ATK&amp;DEF to Anima unit</t>
        </is>
      </c>
      <c r="J104" t="inlineStr">
        <is>
          <t>ATK&amp;DEF→ATK and DEF</t>
        </is>
      </c>
      <c r="K104" s="16" t="n"/>
      <c r="L104" s="16" t="n"/>
      <c r="M104" s="16">
        <f>(D104*6)+(E104*4)</f>
        <v/>
      </c>
      <c r="N104" s="16" t="n"/>
      <c r="O104" s="16" t="n"/>
      <c r="P104" s="16" t="n"/>
      <c r="Q104" s="16" t="n"/>
      <c r="R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K105" s="16" t="n"/>
      <c r="L105" s="16" t="n"/>
      <c r="M105" s="16">
        <f>(D105*6)+(E105*4)</f>
        <v/>
      </c>
      <c r="N105" s="16" t="n"/>
      <c r="O105" s="16" t="n"/>
      <c r="P105" s="16" t="n"/>
      <c r="Q105" s="16" t="n"/>
      <c r="R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+20 ATK&amp;DEF for each exposed Divine cards on its side</t>
        </is>
      </c>
      <c r="J106" t="inlineStr">
        <is>
          <t>ATK&amp;DEF→ATK and DEF</t>
        </is>
      </c>
      <c r="K106" s="16" t="n"/>
      <c r="L106" s="16" t="n"/>
      <c r="M106" s="16">
        <f>(D106*6)+(E106*4)</f>
        <v/>
      </c>
      <c r="N106" s="16" t="n"/>
      <c r="O106" s="16" t="n"/>
      <c r="P106" s="16" t="n"/>
      <c r="Q106" s="16" t="n"/>
      <c r="R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I107" t="inlineStr">
        <is>
          <t>After this card attacked unit successfully, its ATK becomes 0 permanently</t>
        </is>
      </c>
      <c r="K107" s="16" t="n"/>
      <c r="L107" s="17" t="inlineStr">
        <is>
          <t>Yes</t>
        </is>
      </c>
      <c r="M107" s="16">
        <f>(D107*6)+(E107*4)</f>
        <v/>
      </c>
      <c r="N107" s="17" t="inlineStr">
        <is>
          <t>Yes</t>
        </is>
      </c>
      <c r="O107" s="16" t="n"/>
      <c r="P107" s="16" t="n"/>
      <c r="Q107" s="17" t="inlineStr">
        <is>
          <t>Yes</t>
        </is>
      </c>
      <c r="R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In Reckoning, flip a coin. If head, +10 ATK</t>
        </is>
      </c>
      <c r="J108" t="inlineStr">
        <is>
          <t>Head→Heads</t>
        </is>
      </c>
      <c r="K108" s="16" t="n"/>
      <c r="L108" s="17" t="inlineStr">
        <is>
          <t>Yes</t>
        </is>
      </c>
      <c r="M108" s="16">
        <f>(D108*6)+(E108*4)</f>
        <v/>
      </c>
      <c r="N108" s="17" t="inlineStr">
        <is>
          <t>Yes</t>
        </is>
      </c>
      <c r="O108" s="16" t="n"/>
      <c r="P108" s="16" t="n"/>
      <c r="Q108" s="17" t="inlineStr">
        <is>
          <t>Yes</t>
        </is>
      </c>
      <c r="R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I109" t="inlineStr">
        <is>
          <t>Once per turn, if it attacked Dead End, it can attack again</t>
        </is>
      </c>
      <c r="K109" s="16" t="n"/>
      <c r="L109" s="17" t="inlineStr">
        <is>
          <t>Yes</t>
        </is>
      </c>
      <c r="M109" s="16">
        <f>(D109*6)+(E109*4)</f>
        <v/>
      </c>
      <c r="N109" s="17" t="inlineStr">
        <is>
          <t>Yes</t>
        </is>
      </c>
      <c r="O109" s="16" t="n"/>
      <c r="P109" s="16" t="n"/>
      <c r="Q109" s="17" t="inlineStr">
        <is>
          <t>Yes</t>
        </is>
      </c>
      <c r="R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+25 ATK&amp;DEF vs Arcane and Cosmic</t>
        </is>
      </c>
      <c r="J110" t="inlineStr">
        <is>
          <t>ATK&amp;DEF→ATK and DEF</t>
        </is>
      </c>
      <c r="K110" s="16" t="n"/>
      <c r="L110" s="16" t="n"/>
      <c r="M110" s="16">
        <f>(D110*6)+(E110*4)</f>
        <v/>
      </c>
      <c r="N110" s="16" t="n"/>
      <c r="O110" s="16" t="n"/>
      <c r="P110" s="16" t="n"/>
      <c r="Q110" s="16" t="n"/>
      <c r="R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K111" s="16" t="n"/>
      <c r="L111" s="16" t="n"/>
      <c r="M111" s="16">
        <f>(D111*6)+(E111*4)</f>
        <v/>
      </c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I112" t="inlineStr">
        <is>
          <t>Destroy Chaos card after battle calculation</t>
        </is>
      </c>
      <c r="K112" s="16" t="n"/>
      <c r="L112" s="16" t="n"/>
      <c r="M112" s="16">
        <f>(D112*6)+(E112*4)</f>
        <v/>
      </c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Once, if a exposed Nature card will be destroyed, it cannot be destroyed. Usable face-down.</t>
        </is>
      </c>
      <c r="J113" t="inlineStr">
        <is>
          <t>wording polish</t>
        </is>
      </c>
      <c r="K113" s="16" t="n"/>
      <c r="L113" s="16" t="n"/>
      <c r="M113" s="16">
        <f>(D113*6)+(E113*4)</f>
        <v/>
      </c>
      <c r="N113" s="16" t="n"/>
      <c r="O113" s="16" t="n"/>
      <c r="P113" s="16" t="n"/>
      <c r="Q113" s="16" t="n"/>
      <c r="R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K114" s="16" t="n"/>
      <c r="L114" s="16" t="n"/>
      <c r="M114" s="16">
        <f>(D114*6)+(E114*4)</f>
        <v/>
      </c>
      <c r="N114" s="16" t="n"/>
      <c r="O114" s="16" t="n"/>
      <c r="P114" s="16" t="n"/>
      <c r="Q114" s="16" t="n"/>
      <c r="R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I115" t="inlineStr">
        <is>
          <t>This card is not destroyed by Anima card</t>
        </is>
      </c>
      <c r="K115" s="16" t="n"/>
      <c r="L115" s="16" t="n"/>
      <c r="M115" s="16">
        <f>(D115*6)+(E115*4)</f>
        <v/>
      </c>
      <c r="N115" s="16" t="n"/>
      <c r="O115" s="16" t="n"/>
      <c r="P115" s="16" t="n"/>
      <c r="Q115" s="16" t="n"/>
      <c r="R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+40 ATK if exposed</t>
        </is>
      </c>
      <c r="J116" t="inlineStr">
        <is>
          <t>wording polish</t>
        </is>
      </c>
      <c r="K116" s="16" t="n"/>
      <c r="L116" s="16" t="n"/>
      <c r="M116" s="16">
        <f>(D116*6)+(E116*4)</f>
        <v/>
      </c>
      <c r="N116" s="16" t="n"/>
      <c r="O116" s="16" t="n"/>
      <c r="P116" s="16" t="n"/>
      <c r="Q116" s="16" t="n"/>
      <c r="R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I117" t="inlineStr">
        <is>
          <t>At battle calculation, -20 DEF to the defender</t>
        </is>
      </c>
      <c r="K117" s="16" t="n"/>
      <c r="L117" s="16" t="n"/>
      <c r="M117" s="16">
        <f>(D117*6)+(E117*4)</f>
        <v/>
      </c>
      <c r="N117" s="16" t="n"/>
      <c r="O117" s="16" t="n"/>
      <c r="P117" s="16" t="n"/>
      <c r="Q117" s="16" t="n"/>
      <c r="R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Once, if there is Divine monster on its side, revive itself</t>
        </is>
      </c>
      <c r="J118" t="inlineStr">
        <is>
          <t>wording polish</t>
        </is>
      </c>
      <c r="K118" s="16" t="n"/>
      <c r="L118" s="16" t="n"/>
      <c r="M118" s="16">
        <f>(D118*6)+(E118*4)</f>
        <v/>
      </c>
      <c r="N118" s="16" t="n"/>
      <c r="O118" s="16" t="n"/>
      <c r="P118" s="16" t="n"/>
      <c r="Q118" s="16" t="n"/>
      <c r="R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I119" t="inlineStr">
        <is>
          <t>After this card successfully defended, its cost becomes 1500</t>
        </is>
      </c>
      <c r="K119" s="16" t="n"/>
      <c r="L119" s="16" t="n"/>
      <c r="M119" s="16">
        <f>(D119*6)+(E119*4)</f>
        <v/>
      </c>
      <c r="N119" s="16" t="n"/>
      <c r="O119" s="16" t="n"/>
      <c r="P119" s="16" t="n"/>
      <c r="Q119" s="16" t="n"/>
      <c r="R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I120" t="inlineStr">
        <is>
          <t>After this card performed attack, it cannot attack on their next turn.</t>
        </is>
      </c>
      <c r="K120" s="16" t="n"/>
      <c r="L120" s="16" t="n"/>
      <c r="M120" s="16">
        <f>(D120*6)+(E120*4)</f>
        <v/>
      </c>
      <c r="N120" s="16" t="n"/>
      <c r="O120" s="16" t="n"/>
      <c r="P120" s="16" t="n"/>
      <c r="Q120" s="16" t="n"/>
      <c r="R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In Reckoning, destroy Chaos before any calculation</t>
        </is>
      </c>
      <c r="J121" t="inlineStr">
        <is>
          <t>wording polish</t>
        </is>
      </c>
      <c r="K121" s="16" t="n"/>
      <c r="L121" s="17" t="inlineStr">
        <is>
          <t>Yes</t>
        </is>
      </c>
      <c r="M121" s="16">
        <f>(D121*6)+(E121*4)</f>
        <v/>
      </c>
      <c r="N121" s="17" t="inlineStr">
        <is>
          <t>Yes</t>
        </is>
      </c>
      <c r="O121" s="16" t="n"/>
      <c r="P121" s="16" t="n"/>
      <c r="Q121" s="16" t="n"/>
      <c r="R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-50 DEF after get exposed</t>
        </is>
      </c>
      <c r="J122" t="inlineStr">
        <is>
          <t>wording polish</t>
        </is>
      </c>
      <c r="K122" s="16" t="n"/>
      <c r="L122" s="16" t="n"/>
      <c r="M122" s="16">
        <f>(D122*6)+(E122*4)</f>
        <v/>
      </c>
      <c r="N122" s="16" t="n"/>
      <c r="O122" s="16" t="n"/>
      <c r="P122" s="16" t="n"/>
      <c r="Q122" s="16" t="n"/>
      <c r="R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Start of their turn: while in void, revive with halved ATK&amp;DEF</t>
        </is>
      </c>
      <c r="J123" t="inlineStr">
        <is>
          <t>ATK&amp;DEF→ATK and DEF</t>
        </is>
      </c>
      <c r="K123" s="16" t="n"/>
      <c r="L123" s="16" t="n"/>
      <c r="M123" s="16">
        <f>(D123*6)+(E123*4)</f>
        <v/>
      </c>
      <c r="N123" s="16" t="n"/>
      <c r="O123" s="16" t="n"/>
      <c r="P123" s="16" t="n"/>
      <c r="Q123" s="16" t="n"/>
      <c r="R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I124" t="inlineStr">
        <is>
          <t>At the end of the turn that it’s been exposed, +15 ATK</t>
        </is>
      </c>
      <c r="K124" s="16" t="n"/>
      <c r="L124" s="17" t="inlineStr">
        <is>
          <t>Yes</t>
        </is>
      </c>
      <c r="M124" s="16">
        <f>(D124*6)+(E124*4)</f>
        <v/>
      </c>
      <c r="N124" s="17" t="inlineStr">
        <is>
          <t>Yes</t>
        </is>
      </c>
      <c r="O124" s="16" t="n"/>
      <c r="P124" s="17" t="inlineStr">
        <is>
          <t>Yes</t>
        </is>
      </c>
      <c r="Q124" s="16" t="n"/>
      <c r="R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K125" s="16" t="n"/>
      <c r="L125" s="17" t="inlineStr">
        <is>
          <t>Yes</t>
        </is>
      </c>
      <c r="M125" s="16">
        <f>(D125*6)+(E125*4)</f>
        <v/>
      </c>
      <c r="N125" s="17" t="inlineStr">
        <is>
          <t>Yes</t>
        </is>
      </c>
      <c r="O125" s="16" t="n"/>
      <c r="P125" s="17" t="inlineStr">
        <is>
          <t>Yes</t>
        </is>
      </c>
      <c r="Q125" s="16" t="n"/>
      <c r="R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K126" s="16" t="n"/>
      <c r="L126" s="16" t="n"/>
      <c r="M126" s="16">
        <f>(D126*6)+(E126*4)</f>
        <v/>
      </c>
      <c r="N126" s="16" t="n"/>
      <c r="O126" s="16" t="n"/>
      <c r="P126" s="16" t="n"/>
      <c r="Q126" s="16" t="n"/>
      <c r="R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I127" t="inlineStr">
        <is>
          <t>+10 ATK until Reckoning ends</t>
        </is>
      </c>
      <c r="K127" s="16" t="n"/>
      <c r="L127" s="17" t="inlineStr">
        <is>
          <t>Yes</t>
        </is>
      </c>
      <c r="M127" s="16">
        <f>(D127*6)+(E127*4)</f>
        <v/>
      </c>
      <c r="N127" s="17" t="inlineStr">
        <is>
          <t>Yes</t>
        </is>
      </c>
      <c r="O127" s="16" t="n"/>
      <c r="P127" s="17" t="inlineStr">
        <is>
          <t>Yes</t>
        </is>
      </c>
      <c r="Q127" s="16" t="n"/>
      <c r="R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I128" t="inlineStr">
        <is>
          <t>Gain 20 Crystals upon hitting Dead End</t>
        </is>
      </c>
      <c r="K128" s="16" t="n"/>
      <c r="L128" s="17" t="inlineStr">
        <is>
          <t>Yes</t>
        </is>
      </c>
      <c r="M128" s="16">
        <f>(D128*6)+(E128*4)</f>
        <v/>
      </c>
      <c r="N128" s="17" t="inlineStr">
        <is>
          <t>Yes</t>
        </is>
      </c>
      <c r="O128" s="16" t="n"/>
      <c r="P128" s="17" t="inlineStr">
        <is>
          <t>Yes</t>
        </is>
      </c>
      <c r="Q128" s="16" t="n"/>
      <c r="R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I129" t="inlineStr">
        <is>
          <t>Prevent ‘Miner’ or ‘Mining’ card from being destroyed, but destroy this card instead. Usable face-down</t>
        </is>
      </c>
      <c r="K129" s="16" t="n"/>
      <c r="L129" s="17" t="inlineStr">
        <is>
          <t>Yes</t>
        </is>
      </c>
      <c r="M129" s="16">
        <f>(D129*6)+(E129*4)</f>
        <v/>
      </c>
      <c r="N129" s="17" t="inlineStr">
        <is>
          <t>Yes</t>
        </is>
      </c>
      <c r="O129" s="16" t="n"/>
      <c r="P129" s="16" t="n"/>
      <c r="Q129" s="17" t="inlineStr">
        <is>
          <t>Yes</t>
        </is>
      </c>
      <c r="R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I130" t="inlineStr">
        <is>
          <t>-20 DEF to Chaos defender</t>
        </is>
      </c>
      <c r="K130" s="16" t="n"/>
      <c r="L130" s="16" t="n"/>
      <c r="M130" s="16">
        <f>(D130*6)+(E130*4)</f>
        <v/>
      </c>
      <c r="N130" s="16" t="n"/>
      <c r="O130" s="16" t="n"/>
      <c r="P130" s="16" t="n"/>
      <c r="Q130" s="16" t="n"/>
      <c r="R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K131" s="16" t="n"/>
      <c r="L131" s="16" t="n"/>
      <c r="M131" s="16">
        <f>(D131*6)+(E131*4)</f>
        <v/>
      </c>
      <c r="N131" s="16" t="n"/>
      <c r="O131" s="16" t="n"/>
      <c r="P131" s="16" t="n"/>
      <c r="Q131" s="16" t="n"/>
      <c r="R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I132" t="inlineStr">
        <is>
          <t>+5 ATK vs Anima</t>
        </is>
      </c>
      <c r="K132" s="16" t="n"/>
      <c r="L132" s="17" t="inlineStr">
        <is>
          <t>Yes</t>
        </is>
      </c>
      <c r="M132" s="16">
        <f>(D132*6)+(E132*4)</f>
        <v/>
      </c>
      <c r="N132" s="17" t="inlineStr">
        <is>
          <t>Yes</t>
        </is>
      </c>
      <c r="O132" s="16" t="n"/>
      <c r="P132" s="17" t="inlineStr">
        <is>
          <t>Yes</t>
        </is>
      </c>
      <c r="Q132" s="16" t="n"/>
      <c r="R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K133" s="16" t="n"/>
      <c r="L133" s="16" t="n"/>
      <c r="M133" s="16">
        <f>(D133*6)+(E133*4)</f>
        <v/>
      </c>
      <c r="N133" s="16" t="n"/>
      <c r="O133" s="16" t="n"/>
      <c r="P133" s="16" t="n"/>
      <c r="Q133" s="16" t="n"/>
      <c r="R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K134" s="16" t="n"/>
      <c r="L134" s="16" t="n"/>
      <c r="M134" s="16">
        <f>(D134*6)+(E134*4)</f>
        <v/>
      </c>
      <c r="N134" s="16" t="n"/>
      <c r="O134" s="16" t="n"/>
      <c r="P134" s="16" t="n"/>
      <c r="Q134" s="16" t="n"/>
      <c r="R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I135" t="inlineStr">
        <is>
          <t>+5 ATK to ally, until the end of this turn</t>
        </is>
      </c>
      <c r="K135" s="16" t="n"/>
      <c r="L135" s="16" t="n"/>
      <c r="M135" s="16">
        <f>(D135*6)+(E135*4)</f>
        <v/>
      </c>
      <c r="N135" s="16" t="n"/>
      <c r="O135" s="16" t="n"/>
      <c r="P135" s="16" t="n"/>
      <c r="Q135" s="16" t="n"/>
      <c r="R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I136" t="inlineStr">
        <is>
          <t>-5 ATK once it successfully attacked. -5 DEF once it successfully defended.</t>
        </is>
      </c>
      <c r="K136" s="16" t="n"/>
      <c r="L136" s="17" t="inlineStr">
        <is>
          <t>Yes</t>
        </is>
      </c>
      <c r="M136" s="16">
        <f>(D136*6)+(E136*4)</f>
        <v/>
      </c>
      <c r="N136" s="17" t="inlineStr">
        <is>
          <t>Yes</t>
        </is>
      </c>
      <c r="O136" s="16" t="n"/>
      <c r="P136" s="17" t="inlineStr">
        <is>
          <t>Yes</t>
        </is>
      </c>
      <c r="Q136" s="16" t="n"/>
      <c r="R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K137" s="16" t="n"/>
      <c r="L137" s="16" t="n"/>
      <c r="M137" s="16">
        <f>(D137*6)+(E137*4)</f>
        <v/>
      </c>
      <c r="N137" s="16" t="n"/>
      <c r="O137" s="16" t="n"/>
      <c r="P137" s="16" t="n"/>
      <c r="Q137" s="16" t="n"/>
      <c r="R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This card is unaffected by Trap cards</t>
        </is>
      </c>
      <c r="J138" t="inlineStr">
        <is>
          <t>Shortened immunity wording.</t>
        </is>
      </c>
      <c r="K138" s="16" t="n"/>
      <c r="L138" s="16" t="n"/>
      <c r="M138" s="16">
        <f>(D138*6)+(E138*4)</f>
        <v/>
      </c>
      <c r="N138" s="16" t="n"/>
      <c r="O138" s="16" t="n"/>
      <c r="P138" s="16" t="n"/>
      <c r="Q138" s="16" t="n"/>
      <c r="R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This card is unaffected by Tech cards</t>
        </is>
      </c>
      <c r="J139" t="inlineStr">
        <is>
          <t>Shortened immunity wording.</t>
        </is>
      </c>
      <c r="K139" s="16" t="n"/>
      <c r="L139" s="17" t="inlineStr">
        <is>
          <t>Yes</t>
        </is>
      </c>
      <c r="M139" s="16">
        <f>(D139*6)+(E139*4)</f>
        <v/>
      </c>
      <c r="N139" s="17" t="inlineStr">
        <is>
          <t>Yes</t>
        </is>
      </c>
      <c r="O139" s="16" t="n"/>
      <c r="P139" s="16" t="n"/>
      <c r="Q139" s="16" t="n"/>
      <c r="R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I140" t="inlineStr">
        <is>
          <t>After Reckoning: that foe’s unit must wait until foe’s turn ends</t>
        </is>
      </c>
      <c r="K140" s="16" t="n"/>
      <c r="L140" s="17" t="inlineStr">
        <is>
          <t>Yes</t>
        </is>
      </c>
      <c r="M140" s="16">
        <f>(D140*6)+(E140*4)</f>
        <v/>
      </c>
      <c r="N140" s="17" t="inlineStr">
        <is>
          <t>Yes</t>
        </is>
      </c>
      <c r="O140" s="16" t="n"/>
      <c r="P140" s="17" t="inlineStr">
        <is>
          <t>Yes</t>
        </is>
      </c>
      <c r="Q140" s="16" t="n"/>
      <c r="R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Once, if hitting Dead End: attack again</t>
        </is>
      </c>
      <c r="J141" t="inlineStr">
        <is>
          <t>wording polish</t>
        </is>
      </c>
      <c r="K141" s="16" t="n"/>
      <c r="L141" s="17" t="inlineStr">
        <is>
          <t>Yes</t>
        </is>
      </c>
      <c r="M141" s="16">
        <f>(D141*6)+(E141*4)</f>
        <v/>
      </c>
      <c r="N141" s="17" t="inlineStr">
        <is>
          <t>Yes</t>
        </is>
      </c>
      <c r="O141" s="16" t="n"/>
      <c r="P141" s="17" t="inlineStr">
        <is>
          <t>Yes</t>
        </is>
      </c>
      <c r="Q141" s="16" t="n"/>
      <c r="R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K142" s="16" t="n"/>
      <c r="L142" s="16" t="n"/>
      <c r="M142" s="16">
        <f>(D142*6)+(E142*4)</f>
        <v/>
      </c>
      <c r="N142" s="16" t="n"/>
      <c r="O142" s="16" t="n"/>
      <c r="P142" s="16" t="n"/>
      <c r="Q142" s="16" t="n"/>
      <c r="R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I143" t="inlineStr">
        <is>
          <t>+10 ATK if there is Anima or Nature card on its side</t>
        </is>
      </c>
      <c r="K143" s="16" t="n"/>
      <c r="L143" s="16" t="n"/>
      <c r="M143" s="16">
        <f>(D143*6)+(E143*4)</f>
        <v/>
      </c>
      <c r="N143" s="16" t="n"/>
      <c r="O143" s="16" t="n"/>
      <c r="P143" s="16" t="n"/>
      <c r="Q143" s="16" t="n"/>
      <c r="R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I144" t="inlineStr">
        <is>
          <t>+20 Crystal when it successfully defended</t>
        </is>
      </c>
      <c r="K144" s="16" t="n"/>
      <c r="L144" s="16" t="n"/>
      <c r="M144" s="16">
        <f>(D144*6)+(E144*4)</f>
        <v/>
      </c>
      <c r="N144" s="16" t="n"/>
      <c r="O144" s="16" t="n"/>
      <c r="P144" s="16" t="n"/>
      <c r="Q144" s="16" t="n"/>
      <c r="R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+5 ATK&amp;DEF for each exposed Anima or Nature cards on foe’s side</t>
        </is>
      </c>
      <c r="J145" t="inlineStr">
        <is>
          <t>ATK&amp;DEF→ATK and DEF</t>
        </is>
      </c>
      <c r="K145" s="16" t="n"/>
      <c r="L145" s="16" t="n"/>
      <c r="M145" s="16">
        <f>(D145*6)+(E145*4)</f>
        <v/>
      </c>
      <c r="N145" s="16" t="n"/>
      <c r="O145" s="16" t="n"/>
      <c r="P145" s="16" t="n"/>
      <c r="Q145" s="16" t="n"/>
      <c r="R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K146" s="16" t="n"/>
      <c r="L146" s="17" t="inlineStr">
        <is>
          <t>Yes</t>
        </is>
      </c>
      <c r="M146" s="16">
        <f>(D146*6)+(E146*4)</f>
        <v/>
      </c>
      <c r="N146" s="17" t="inlineStr">
        <is>
          <t>Yes</t>
        </is>
      </c>
      <c r="O146" s="16" t="n"/>
      <c r="P146" s="16" t="n"/>
      <c r="Q146" s="17" t="inlineStr">
        <is>
          <t>Yes</t>
        </is>
      </c>
      <c r="R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K147" s="16" t="n"/>
      <c r="L147" s="17" t="inlineStr">
        <is>
          <t>Yes</t>
        </is>
      </c>
      <c r="M147" s="16">
        <f>(D147*6)+(E147*4)</f>
        <v/>
      </c>
      <c r="N147" s="17" t="inlineStr">
        <is>
          <t>Yes</t>
        </is>
      </c>
      <c r="O147" s="16" t="n"/>
      <c r="P147" s="16" t="n"/>
      <c r="Q147" s="16" t="n"/>
      <c r="R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K148" s="16" t="n"/>
      <c r="L148" s="17" t="inlineStr">
        <is>
          <t>Yes</t>
        </is>
      </c>
      <c r="M148" s="16">
        <f>(D148*6)+(E148*4)</f>
        <v/>
      </c>
      <c r="N148" s="17" t="inlineStr">
        <is>
          <t>Yes</t>
        </is>
      </c>
      <c r="O148" s="16" t="n"/>
      <c r="P148" s="16" t="n"/>
      <c r="Q148" s="17" t="inlineStr">
        <is>
          <t>Yes</t>
        </is>
      </c>
      <c r="R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I149" t="inlineStr">
        <is>
          <t>+5 ATK vs face-down Defender</t>
        </is>
      </c>
      <c r="K149" s="16" t="n"/>
      <c r="L149" s="17" t="inlineStr">
        <is>
          <t>Yes</t>
        </is>
      </c>
      <c r="M149" s="16">
        <f>(D149*6)+(E149*4)</f>
        <v/>
      </c>
      <c r="N149" s="17" t="inlineStr">
        <is>
          <t>Yes</t>
        </is>
      </c>
      <c r="O149" s="16" t="n"/>
      <c r="P149" s="17" t="inlineStr">
        <is>
          <t>Yes</t>
        </is>
      </c>
      <c r="Q149" s="16" t="n"/>
      <c r="R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K150" s="16" t="n"/>
      <c r="L150" s="17" t="inlineStr">
        <is>
          <t>Yes</t>
        </is>
      </c>
      <c r="M150" s="16">
        <f>(D150*6)+(E150*4)</f>
        <v/>
      </c>
      <c r="N150" s="17" t="inlineStr">
        <is>
          <t>Yes</t>
        </is>
      </c>
      <c r="O150" s="16" t="n"/>
      <c r="P150" s="17" t="inlineStr">
        <is>
          <t>Yes</t>
        </is>
      </c>
      <c r="Q150" s="16" t="n"/>
      <c r="R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I151" t="inlineStr">
        <is>
          <t>After Reckoning: +5 ATK at the end of foe’s turn</t>
        </is>
      </c>
      <c r="K151" s="16" t="n"/>
      <c r="L151" s="17" t="inlineStr">
        <is>
          <t>Yes</t>
        </is>
      </c>
      <c r="M151" s="16">
        <f>(D151*6)+(E151*4)</f>
        <v/>
      </c>
      <c r="N151" s="17" t="inlineStr">
        <is>
          <t>Yes</t>
        </is>
      </c>
      <c r="O151" s="16" t="n"/>
      <c r="P151" s="16" t="n"/>
      <c r="Q151" s="17" t="inlineStr">
        <is>
          <t>Yes</t>
        </is>
      </c>
      <c r="R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K152" s="16" t="n"/>
      <c r="L152" s="16" t="n"/>
      <c r="M152" s="16">
        <f>(D152*6)+(E152*4)</f>
        <v/>
      </c>
      <c r="N152" s="16" t="n"/>
      <c r="O152" s="16" t="n"/>
      <c r="P152" s="16" t="n"/>
      <c r="Q152" s="16" t="n"/>
      <c r="R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Each time foe lose Crystal: foe lose 20 more Crystals</t>
        </is>
      </c>
      <c r="J153" t="inlineStr">
        <is>
          <t>wording polish</t>
        </is>
      </c>
      <c r="K153" s="16" t="n"/>
      <c r="L153" s="17" t="inlineStr">
        <is>
          <t>Yes</t>
        </is>
      </c>
      <c r="M153" s="16">
        <f>(D153*6)+(E153*4)</f>
        <v/>
      </c>
      <c r="N153" s="17" t="inlineStr">
        <is>
          <t>Yes</t>
        </is>
      </c>
      <c r="O153" s="16" t="n"/>
      <c r="P153" s="16" t="n"/>
      <c r="Q153" s="17" t="inlineStr">
        <is>
          <t>Yes</t>
        </is>
      </c>
      <c r="R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K154" s="16" t="n"/>
      <c r="L154" s="16" t="n"/>
      <c r="M154" s="16">
        <f>(D154*6)+(E154*4)</f>
        <v/>
      </c>
      <c r="N154" s="16" t="n"/>
      <c r="O154" s="16" t="n"/>
      <c r="P154" s="16" t="n"/>
      <c r="Q154" s="16" t="n"/>
      <c r="R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I155" t="inlineStr">
        <is>
          <t>After attacked: reveal 1 foe’s cell</t>
        </is>
      </c>
      <c r="K155" s="16" t="n"/>
      <c r="L155" s="17" t="inlineStr">
        <is>
          <t>Yes</t>
        </is>
      </c>
      <c r="M155" s="16">
        <f>(D155*6)+(E155*4)</f>
        <v/>
      </c>
      <c r="N155" s="17" t="inlineStr">
        <is>
          <t>Yes</t>
        </is>
      </c>
      <c r="O155" s="16" t="n"/>
      <c r="P155" s="16" t="n"/>
      <c r="Q155" s="16" t="n"/>
      <c r="R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K156" s="16" t="n"/>
      <c r="L156" s="17" t="inlineStr">
        <is>
          <t>Yes</t>
        </is>
      </c>
      <c r="M156" s="16">
        <f>(D156*6)+(E156*4)</f>
        <v/>
      </c>
      <c r="N156" s="17" t="inlineStr">
        <is>
          <t>Yes</t>
        </is>
      </c>
      <c r="O156" s="16" t="n"/>
      <c r="P156" s="16" t="n"/>
      <c r="Q156" s="17" t="inlineStr">
        <is>
          <t>Yes</t>
        </is>
      </c>
      <c r="R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I157" t="inlineStr">
        <is>
          <t>In Reckoning with Divine, destroy this card</t>
        </is>
      </c>
      <c r="K157" s="16" t="n"/>
      <c r="L157" s="17" t="inlineStr">
        <is>
          <t>Yes</t>
        </is>
      </c>
      <c r="M157" s="16">
        <f>(D157*6)+(E157*4)</f>
        <v/>
      </c>
      <c r="N157" s="17" t="inlineStr">
        <is>
          <t>Yes</t>
        </is>
      </c>
      <c r="O157" s="16" t="n"/>
      <c r="P157" s="16" t="n"/>
      <c r="Q157" s="17" t="inlineStr">
        <is>
          <t>Yes</t>
        </is>
      </c>
      <c r="R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I158" t="inlineStr">
        <is>
          <t>Once when defending, +10 DEF until end of turn. Once when attacking, +10 ATK until end of turn</t>
        </is>
      </c>
      <c r="K158" s="16" t="n"/>
      <c r="L158" s="17" t="inlineStr">
        <is>
          <t>Yes</t>
        </is>
      </c>
      <c r="M158" s="16">
        <f>(D158*6)+(E158*4)</f>
        <v/>
      </c>
      <c r="N158" s="17" t="inlineStr">
        <is>
          <t>Yes</t>
        </is>
      </c>
      <c r="O158" s="16" t="n"/>
      <c r="P158" s="17" t="inlineStr">
        <is>
          <t>Yes</t>
        </is>
      </c>
      <c r="Q158" s="16" t="n"/>
      <c r="R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Once, at the end of exposed turn, halve its attack.</t>
        </is>
      </c>
      <c r="J159" t="inlineStr">
        <is>
          <t>wording polish</t>
        </is>
      </c>
      <c r="K159" s="16" t="n"/>
      <c r="L159" s="16" t="n"/>
      <c r="M159" s="16">
        <f>(D159*6)+(E159*4)</f>
        <v/>
      </c>
      <c r="N159" s="16" t="n"/>
      <c r="O159" s="16" t="n"/>
      <c r="P159" s="16" t="n"/>
      <c r="Q159" s="16" t="n"/>
      <c r="R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This card is unaffected by 0 cost traps</t>
        </is>
      </c>
      <c r="J160" t="inlineStr">
        <is>
          <t>0 cost→0-cost</t>
        </is>
      </c>
      <c r="K160" s="16" t="n"/>
      <c r="L160" s="16" t="n"/>
      <c r="M160" s="16">
        <f>(D160*6)+(E160*4)</f>
        <v/>
      </c>
      <c r="N160" s="16" t="n"/>
      <c r="O160" s="16" t="n"/>
      <c r="P160" s="16" t="n"/>
      <c r="Q160" s="16" t="n"/>
      <c r="R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K161" s="16" t="n"/>
      <c r="L161" s="16" t="n"/>
      <c r="M161" s="16">
        <f>(D161*6)+(E161*4)</f>
        <v/>
      </c>
      <c r="N161" s="16" t="n"/>
      <c r="O161" s="16" t="n"/>
      <c r="P161" s="16" t="n"/>
      <c r="Q161" s="16" t="n"/>
      <c r="R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Once, at the end of exposed turn, halve its attack.</t>
        </is>
      </c>
      <c r="J162" t="inlineStr">
        <is>
          <t>wording polish</t>
        </is>
      </c>
      <c r="K162" s="16" t="n"/>
      <c r="L162" s="16" t="n"/>
      <c r="M162" s="16">
        <f>(D162*6)+(E162*4)</f>
        <v/>
      </c>
      <c r="N162" s="16" t="n"/>
      <c r="O162" s="16" t="n"/>
      <c r="P162" s="16" t="n"/>
      <c r="Q162" s="16" t="n"/>
      <c r="R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K163" s="16" t="n"/>
      <c r="L163" s="16" t="n"/>
      <c r="M163" s="16">
        <f>(D163*6)+(E163*4)</f>
        <v/>
      </c>
      <c r="N163" s="16" t="n"/>
      <c r="O163" s="16" t="n"/>
      <c r="P163" s="16" t="n"/>
      <c r="Q163" s="16" t="n"/>
      <c r="R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K164" s="16" t="n"/>
      <c r="L164" s="16" t="n"/>
      <c r="M164" s="16">
        <f>(D164*6)+(E164*4)</f>
        <v/>
      </c>
      <c r="N164" s="16" t="n"/>
      <c r="O164" s="16" t="n"/>
      <c r="P164" s="16" t="n"/>
      <c r="Q164" s="16" t="n"/>
      <c r="R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In Reckoning with Divine, destroy this card. In Reckoning with non-Divine, Drain 5 ATK&amp;DEF permanently</t>
        </is>
      </c>
      <c r="J165" t="inlineStr">
        <is>
          <t>ATK&amp;DEF→ATK and DEF</t>
        </is>
      </c>
      <c r="K165" s="16" t="n"/>
      <c r="L165" s="17" t="inlineStr">
        <is>
          <t>Yes</t>
        </is>
      </c>
      <c r="M165" s="16">
        <f>(D165*6)+(E165*4)</f>
        <v/>
      </c>
      <c r="N165" s="17" t="inlineStr">
        <is>
          <t>Yes</t>
        </is>
      </c>
      <c r="O165" s="16" t="n"/>
      <c r="P165" s="16" t="n"/>
      <c r="Q165" s="16" t="n"/>
      <c r="R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If the owner have 1000 or less Crystals, this card can attack twice.</t>
        </is>
      </c>
      <c r="J166" t="inlineStr">
        <is>
          <t>subject-verb grammar</t>
        </is>
      </c>
      <c r="K166" s="16" t="n"/>
      <c r="L166" s="16" t="n"/>
      <c r="M166" s="16">
        <f>(D166*6)+(E166*4)</f>
        <v/>
      </c>
      <c r="N166" s="16" t="n"/>
      <c r="O166" s="16" t="n"/>
      <c r="P166" s="16" t="n"/>
      <c r="Q166" s="16" t="n"/>
      <c r="R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I167" t="inlineStr">
        <is>
          <t>+50 Crystal whenever any player use Tech card</t>
        </is>
      </c>
      <c r="K167" s="16" t="n"/>
      <c r="L167" s="16" t="n"/>
      <c r="M167" s="16">
        <f>(D167*6)+(E167*4)</f>
        <v/>
      </c>
      <c r="N167" s="16" t="n"/>
      <c r="O167" s="16" t="n"/>
      <c r="P167" s="16" t="n"/>
      <c r="Q167" s="16" t="n"/>
      <c r="R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I168" t="inlineStr">
        <is>
          <t>-25 ATK to the defending foe until the end of foe’s turn</t>
        </is>
      </c>
      <c r="K168" s="16" t="n"/>
      <c r="L168" s="16" t="n"/>
      <c r="M168" s="16">
        <f>(D168*6)+(E168*4)</f>
        <v/>
      </c>
      <c r="N168" s="16" t="n"/>
      <c r="O168" s="16" t="n"/>
      <c r="P168" s="16" t="n"/>
      <c r="Q168" s="16" t="n"/>
      <c r="R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This card is not affected by traps</t>
        </is>
      </c>
      <c r="J169" t="inlineStr">
        <is>
          <t>Shortened immunity wording.</t>
        </is>
      </c>
      <c r="K169" s="16" t="n"/>
      <c r="L169" s="16" t="n"/>
      <c r="M169" s="16">
        <f>(D169*6)+(E169*4)</f>
        <v/>
      </c>
      <c r="N169" s="16" t="n"/>
      <c r="O169" s="16" t="n"/>
      <c r="P169" s="16" t="n"/>
      <c r="Q169" s="16" t="n"/>
      <c r="R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I170" t="inlineStr">
        <is>
          <t>+5 ATK per Chaos unit on their field</t>
        </is>
      </c>
      <c r="K170" s="16" t="n"/>
      <c r="L170" s="17" t="inlineStr">
        <is>
          <t>Yes</t>
        </is>
      </c>
      <c r="M170" s="16">
        <f>(D170*6)+(E170*4)</f>
        <v/>
      </c>
      <c r="N170" s="17" t="inlineStr">
        <is>
          <t>Yes</t>
        </is>
      </c>
      <c r="O170" s="16" t="n"/>
      <c r="P170" s="17" t="inlineStr">
        <is>
          <t>Yes</t>
        </is>
      </c>
      <c r="Q170" s="16" t="n"/>
      <c r="R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K171" s="16" t="n"/>
      <c r="L171" s="16" t="n"/>
      <c r="M171" s="16">
        <f>(D171*6)+(E171*4)</f>
        <v/>
      </c>
      <c r="N171" s="16" t="n"/>
      <c r="O171" s="16" t="n"/>
      <c r="P171" s="16" t="n"/>
      <c r="Q171" s="16" t="n"/>
      <c r="R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Whenever foe lose Crystal, they lose 100 more Crystals</t>
        </is>
      </c>
      <c r="J172" t="inlineStr">
        <is>
          <t>wording polish</t>
        </is>
      </c>
      <c r="K172" s="16" t="n"/>
      <c r="L172" s="16" t="n"/>
      <c r="M172" s="16">
        <f>(D172*6)+(E172*4)</f>
        <v/>
      </c>
      <c r="N172" s="16" t="n"/>
      <c r="O172" s="16" t="n"/>
      <c r="P172" s="16" t="n"/>
      <c r="Q172" s="16" t="n"/>
      <c r="R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Once exposed, foe choose 1 tech card at show it to the owner</t>
        </is>
      </c>
      <c r="J173" t="inlineStr">
        <is>
          <t>Grammar fix; final design.</t>
        </is>
      </c>
      <c r="K173" s="16" t="n"/>
      <c r="L173" s="16" t="n"/>
      <c r="M173" s="16">
        <f>(D173*6)+(E173*4)</f>
        <v/>
      </c>
      <c r="N173" s="16" t="n"/>
      <c r="O173" s="16" t="n"/>
      <c r="P173" s="16" t="n"/>
      <c r="Q173" s="16" t="n"/>
      <c r="R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This card is not affected by tech</t>
        </is>
      </c>
      <c r="J174" t="inlineStr">
        <is>
          <t>wording polish</t>
        </is>
      </c>
      <c r="K174" s="16" t="n"/>
      <c r="L174" s="16" t="n"/>
      <c r="M174" s="16">
        <f>(D174*6)+(E174*4)</f>
        <v/>
      </c>
      <c r="N174" s="16" t="n"/>
      <c r="O174" s="16" t="n"/>
      <c r="P174" s="16" t="n"/>
      <c r="Q174" s="16" t="n"/>
      <c r="R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+15 ATK&amp;DEF for each Arcane card on its side.</t>
        </is>
      </c>
      <c r="J175" t="inlineStr">
        <is>
          <t>ATK&amp;DEF→ATK and DEF</t>
        </is>
      </c>
      <c r="K175" s="16" t="n"/>
      <c r="L175" s="16" t="n"/>
      <c r="M175" s="16">
        <f>(D175*6)+(E175*4)</f>
        <v/>
      </c>
      <c r="N175" s="16" t="n"/>
      <c r="O175" s="16" t="n"/>
      <c r="P175" s="16" t="n"/>
      <c r="Q175" s="16" t="n"/>
      <c r="R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I176" t="inlineStr">
        <is>
          <t>If this card has not performed attack, -20 ATK permanently at the end of their turn</t>
        </is>
      </c>
      <c r="K176" s="16" t="n"/>
      <c r="L176" s="16" t="n"/>
      <c r="M176" s="16">
        <f>(D176*6)+(E176*4)</f>
        <v/>
      </c>
      <c r="N176" s="16" t="n"/>
      <c r="O176" s="16" t="n"/>
      <c r="P176" s="16" t="n"/>
      <c r="Q176" s="16" t="n"/>
      <c r="R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In Reckoning, owner can pay 2000 Crystals to destroy foe unit.</t>
        </is>
      </c>
      <c r="J177" t="inlineStr">
        <is>
          <t>wording polish</t>
        </is>
      </c>
      <c r="K177" s="16" t="n"/>
      <c r="L177" s="16" t="n"/>
      <c r="M177" s="16">
        <f>(D177*6)+(E177*4)</f>
        <v/>
      </c>
      <c r="N177" s="16" t="n"/>
      <c r="O177" s="16" t="n"/>
      <c r="P177" s="16" t="n"/>
      <c r="Q177" s="16" t="n"/>
      <c r="R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K178" s="16" t="n"/>
      <c r="L178" s="16" t="n"/>
      <c r="M178" s="16">
        <f>(D178*6)+(E178*4)</f>
        <v/>
      </c>
      <c r="N178" s="16" t="n"/>
      <c r="O178" s="16" t="n"/>
      <c r="P178" s="16" t="n"/>
      <c r="Q178" s="16" t="n"/>
      <c r="R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Once, whenever an ally unit with 600 or less cost is destroyed, revive that unit. Usable face-down</t>
        </is>
      </c>
      <c r="J179" t="inlineStr">
        <is>
          <t>wording polish</t>
        </is>
      </c>
      <c r="K179" s="16" t="n"/>
      <c r="L179" s="16" t="n"/>
      <c r="M179" s="16">
        <f>(D179*6)+(E179*4)</f>
        <v/>
      </c>
      <c r="N179" s="16" t="n"/>
      <c r="O179" s="16" t="n"/>
      <c r="P179" s="16" t="n"/>
      <c r="Q179" s="16" t="n"/>
      <c r="R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When it’s destroyed, at the end of foe’s turn, flip a coin. If head, revive it.</t>
        </is>
      </c>
      <c r="J180" t="inlineStr">
        <is>
          <t>Head→Heads</t>
        </is>
      </c>
      <c r="K180" s="16" t="n"/>
      <c r="L180" s="16" t="n"/>
      <c r="M180" s="16">
        <f>(D180*6)+(E180*4)</f>
        <v/>
      </c>
      <c r="N180" s="16" t="n"/>
      <c r="O180" s="16" t="n"/>
      <c r="P180" s="16" t="n"/>
      <c r="Q180" s="16" t="n"/>
      <c r="R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I181" t="inlineStr">
        <is>
          <t>+10 ATK for each card in foe’s void</t>
        </is>
      </c>
      <c r="K181" s="16" t="n"/>
      <c r="L181" s="16" t="n"/>
      <c r="M181" s="16">
        <f>(D181*6)+(E181*4)</f>
        <v/>
      </c>
      <c r="N181" s="16" t="n"/>
      <c r="O181" s="16" t="n"/>
      <c r="P181" s="16" t="n"/>
      <c r="Q181" s="16" t="n"/>
      <c r="R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+20 ATK&amp;DEF for each Chaos card on its side.</t>
        </is>
      </c>
      <c r="J182" t="inlineStr">
        <is>
          <t>ATK&amp;DEF→ATK and DEF</t>
        </is>
      </c>
      <c r="K182" s="16" t="n"/>
      <c r="L182" s="16" t="n"/>
      <c r="M182" s="16">
        <f>(D182*6)+(E182*4)</f>
        <v/>
      </c>
      <c r="N182" s="16" t="n"/>
      <c r="O182" s="16" t="n"/>
      <c r="P182" s="16" t="n"/>
      <c r="Q182" s="16" t="n"/>
      <c r="R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Once, this card is not destroyed</t>
        </is>
      </c>
      <c r="J183" t="inlineStr">
        <is>
          <t>wording polish</t>
        </is>
      </c>
      <c r="K183" s="16" t="n"/>
      <c r="L183" s="16" t="n"/>
      <c r="M183" s="16">
        <f>(D183*6)+(E183*4)</f>
        <v/>
      </c>
      <c r="N183" s="16" t="n"/>
      <c r="O183" s="16" t="n"/>
      <c r="P183" s="16" t="n"/>
      <c r="Q183" s="16" t="n"/>
      <c r="R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After Reckoning, add venom flag to the foe’s unit. In Reckoning, destroy foe’s unit with venom flag</t>
        </is>
      </c>
      <c r="J184" t="inlineStr">
        <is>
          <t>wording polish</t>
        </is>
      </c>
      <c r="K184" s="16" t="n"/>
      <c r="L184" s="16" t="n"/>
      <c r="M184" s="16">
        <f>(D184*6)+(E184*4)</f>
        <v/>
      </c>
      <c r="N184" s="16" t="n"/>
      <c r="O184" s="16" t="n"/>
      <c r="P184" s="16" t="n"/>
      <c r="Q184" s="16" t="n"/>
      <c r="R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K185" s="16" t="n"/>
      <c r="L185" s="16" t="n"/>
      <c r="M185" s="16">
        <f>(D185*6)+(E185*4)</f>
        <v/>
      </c>
      <c r="N185" s="16" t="n"/>
      <c r="O185" s="16" t="n"/>
      <c r="P185" s="16" t="n"/>
      <c r="Q185" s="16" t="n"/>
      <c r="R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K186" s="16" t="n"/>
      <c r="L186" s="16" t="n"/>
      <c r="M186" s="16">
        <f>(D186*6)+(E186*4)</f>
        <v/>
      </c>
      <c r="N186" s="16" t="n"/>
      <c r="O186" s="16" t="n"/>
      <c r="P186" s="16" t="n"/>
      <c r="Q186" s="16" t="n"/>
      <c r="R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K187" s="16" t="n"/>
      <c r="L187" s="16" t="n"/>
      <c r="M187" s="16">
        <f>(D187*6)+(E187*4)</f>
        <v/>
      </c>
      <c r="N187" s="16" t="n"/>
      <c r="O187" s="16" t="n"/>
      <c r="P187" s="16" t="n"/>
      <c r="Q187" s="16" t="n"/>
      <c r="R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I188" t="inlineStr">
        <is>
          <t>If this card was commanded to attack while being face-down, it gain 15 ATK until the end of this turn.</t>
        </is>
      </c>
      <c r="K188" s="16" t="n"/>
      <c r="L188" s="16" t="n"/>
      <c r="M188" s="16">
        <f>(D188*6)+(E188*4)</f>
        <v/>
      </c>
      <c r="N188" s="16" t="n"/>
      <c r="O188" s="16" t="n"/>
      <c r="P188" s="16" t="n"/>
      <c r="Q188" s="16" t="n"/>
      <c r="R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Once, when this card ATK and/or DEF will be decreased, gain ATK and/or DEF by that amount instead.</t>
        </is>
      </c>
      <c r="J189" t="inlineStr">
        <is>
          <t>wording polish</t>
        </is>
      </c>
      <c r="K189" s="16" t="n"/>
      <c r="L189" s="17" t="inlineStr">
        <is>
          <t>Yes</t>
        </is>
      </c>
      <c r="M189" s="16">
        <f>(D189*6)+(E189*4)</f>
        <v/>
      </c>
      <c r="N189" s="16" t="n"/>
      <c r="O189" s="16" t="n"/>
      <c r="P189" s="16" t="n"/>
      <c r="Q189" s="16" t="n"/>
      <c r="R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I190" t="inlineStr">
        <is>
          <t>If this card defends, the attacking unit cannot attack until foe’s next turn ends</t>
        </is>
      </c>
      <c r="K190" s="16" t="n"/>
      <c r="L190" s="17" t="inlineStr">
        <is>
          <t>Yes</t>
        </is>
      </c>
      <c r="M190" s="16">
        <f>(D190*6)+(E190*4)</f>
        <v/>
      </c>
      <c r="N190" s="17" t="inlineStr">
        <is>
          <t>Yes</t>
        </is>
      </c>
      <c r="O190" s="16" t="n"/>
      <c r="P190" s="17" t="inlineStr">
        <is>
          <t>Yes</t>
        </is>
      </c>
      <c r="Q190" s="16" t="n"/>
      <c r="R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K191" s="16" t="n"/>
      <c r="L191" s="17" t="inlineStr">
        <is>
          <t>Yes</t>
        </is>
      </c>
      <c r="M191" s="16">
        <f>(D191*6)+(E191*4)</f>
        <v/>
      </c>
      <c r="N191" s="17" t="inlineStr">
        <is>
          <t>Yes</t>
        </is>
      </c>
      <c r="O191" s="16" t="n"/>
      <c r="P191" s="17" t="inlineStr">
        <is>
          <t>Yes</t>
        </is>
      </c>
      <c r="Q191" s="16" t="n"/>
      <c r="R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I192" t="inlineStr">
        <is>
          <t>+10 ATK if there is another exposed Nature card</t>
        </is>
      </c>
      <c r="K192" s="16" t="n"/>
      <c r="L192" s="17" t="inlineStr">
        <is>
          <t>Yes</t>
        </is>
      </c>
      <c r="M192" s="16">
        <f>(D192*6)+(E192*4)</f>
        <v/>
      </c>
      <c r="N192" s="17" t="inlineStr">
        <is>
          <t>Yes</t>
        </is>
      </c>
      <c r="O192" s="16" t="n"/>
      <c r="P192" s="17" t="inlineStr">
        <is>
          <t>Yes</t>
        </is>
      </c>
      <c r="Q192" s="16" t="n"/>
      <c r="R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Whenever foe’s tech card is activated, +10 ATK&amp;DEF permanently. Usable face-down</t>
        </is>
      </c>
      <c r="J193" t="inlineStr">
        <is>
          <t>ATK&amp;DEF→ATK and DEF</t>
        </is>
      </c>
      <c r="K193" s="16" t="n"/>
      <c r="L193" s="17" t="inlineStr">
        <is>
          <t>Yes</t>
        </is>
      </c>
      <c r="M193" s="16">
        <f>(D193*6)+(E193*4)</f>
        <v/>
      </c>
      <c r="N193" s="17" t="inlineStr">
        <is>
          <t>Yes</t>
        </is>
      </c>
      <c r="O193" s="16" t="n"/>
      <c r="P193" s="16" t="n"/>
      <c r="Q193" s="17" t="inlineStr">
        <is>
          <t>Yes</t>
        </is>
      </c>
      <c r="R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I194" t="inlineStr">
        <is>
          <t>+10 ATK per shark card on the field</t>
        </is>
      </c>
      <c r="K194" s="16" t="n"/>
      <c r="L194" s="17" t="inlineStr">
        <is>
          <t>Yes</t>
        </is>
      </c>
      <c r="M194" s="16">
        <f>(D194*6)+(E194*4)</f>
        <v/>
      </c>
      <c r="N194" s="17" t="inlineStr">
        <is>
          <t>Yes</t>
        </is>
      </c>
      <c r="O194" s="16" t="n"/>
      <c r="P194" s="17" t="inlineStr">
        <is>
          <t>Yes</t>
        </is>
      </c>
      <c r="Q194" s="17" t="inlineStr">
        <is>
          <t>Yes</t>
        </is>
      </c>
      <c r="R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Once, when this card defends, the attacker permanently loses 5 ATK.</t>
        </is>
      </c>
      <c r="J195" t="inlineStr">
        <is>
          <t>wording polish</t>
        </is>
      </c>
      <c r="K195" s="16" t="n"/>
      <c r="L195" s="17" t="inlineStr">
        <is>
          <t>Yes</t>
        </is>
      </c>
      <c r="M195" s="16">
        <f>(D195*6)+(E195*4)</f>
        <v/>
      </c>
      <c r="N195" s="17" t="inlineStr">
        <is>
          <t>Yes</t>
        </is>
      </c>
      <c r="O195" s="16" t="n"/>
      <c r="P195" s="16" t="n"/>
      <c r="Q195" s="16" t="n"/>
      <c r="R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Once, if a Divine or Anima card is destroy, revived that destroyed card at this turn’s end. Usable face-down.</t>
        </is>
      </c>
      <c r="J196" t="inlineStr">
        <is>
          <t>Grammar fix.</t>
        </is>
      </c>
      <c r="K196" s="16" t="n"/>
      <c r="L196" s="16" t="n"/>
      <c r="M196" s="16">
        <f>(D196*6)+(E196*4)</f>
        <v/>
      </c>
      <c r="N196" s="16" t="n"/>
      <c r="O196" s="16" t="n"/>
      <c r="P196" s="16" t="n"/>
      <c r="Q196" s="16" t="n"/>
      <c r="R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I197" t="inlineStr">
        <is>
          <t>+10 ATK per shark card on the field</t>
        </is>
      </c>
      <c r="K197" s="16" t="n"/>
      <c r="L197" s="17" t="inlineStr">
        <is>
          <t>Yes</t>
        </is>
      </c>
      <c r="M197" s="16">
        <f>(D197*6)+(E197*4)</f>
        <v/>
      </c>
      <c r="N197" s="17" t="inlineStr">
        <is>
          <t>Yes</t>
        </is>
      </c>
      <c r="O197" s="16" t="n"/>
      <c r="P197" s="16" t="n"/>
      <c r="Q197" s="17" t="inlineStr">
        <is>
          <t>Yes</t>
        </is>
      </c>
      <c r="R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I198" t="inlineStr">
        <is>
          <t>This card gain +50 ATK when attacking Union card</t>
        </is>
      </c>
      <c r="K198" s="16" t="n"/>
      <c r="L198" s="17" t="inlineStr">
        <is>
          <t>Yes</t>
        </is>
      </c>
      <c r="M198" s="16">
        <f>(D198*6)+(E198*4)</f>
        <v/>
      </c>
      <c r="N198" s="17" t="inlineStr">
        <is>
          <t>Yes</t>
        </is>
      </c>
      <c r="O198" s="16" t="n"/>
      <c r="P198" s="16" t="n"/>
      <c r="Q198" s="16" t="n"/>
      <c r="R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Once upon revealed +20 ATK&amp;DEF to Arcane card.</t>
        </is>
      </c>
      <c r="J199" t="inlineStr">
        <is>
          <t>ATK&amp;DEF→ATK and DEF</t>
        </is>
      </c>
      <c r="K199" s="16" t="n"/>
      <c r="L199" s="16" t="n"/>
      <c r="M199" s="16">
        <f>(D199*6)+(E199*4)</f>
        <v/>
      </c>
      <c r="N199" s="16" t="n"/>
      <c r="O199" s="16" t="n"/>
      <c r="P199" s="16" t="n"/>
      <c r="Q199" s="16" t="n"/>
      <c r="R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I200" t="inlineStr">
        <is>
          <t>+10 ATK per shark card on the field</t>
        </is>
      </c>
      <c r="K200" s="16" t="n"/>
      <c r="L200" s="17" t="inlineStr">
        <is>
          <t>Yes</t>
        </is>
      </c>
      <c r="M200" s="16">
        <f>(D200*6)+(E200*4)</f>
        <v/>
      </c>
      <c r="N200" s="17" t="inlineStr">
        <is>
          <t>Yes</t>
        </is>
      </c>
      <c r="O200" s="16" t="n"/>
      <c r="P200" s="16" t="n"/>
      <c r="Q200" s="17" t="inlineStr">
        <is>
          <t>Yes</t>
        </is>
      </c>
      <c r="R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I201" t="inlineStr">
        <is>
          <t>+100 ATK vs cards with venom flag</t>
        </is>
      </c>
      <c r="K201" s="16" t="n"/>
      <c r="L201" s="17" t="inlineStr">
        <is>
          <t>Yes</t>
        </is>
      </c>
      <c r="M201" s="16">
        <f>(D201*6)+(E201*4)</f>
        <v/>
      </c>
      <c r="N201" s="17" t="inlineStr">
        <is>
          <t>Yes</t>
        </is>
      </c>
      <c r="O201" s="16" t="n"/>
      <c r="P201" s="16" t="n"/>
      <c r="Q201" s="16" t="n"/>
      <c r="R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I202" t="inlineStr">
        <is>
          <t>+10 ATK per shark card on the field</t>
        </is>
      </c>
      <c r="K202" s="16" t="n"/>
      <c r="L202" s="17" t="inlineStr">
        <is>
          <t>Yes</t>
        </is>
      </c>
      <c r="M202" s="16">
        <f>(D202*6)+(E202*4)</f>
        <v/>
      </c>
      <c r="N202" s="17" t="inlineStr">
        <is>
          <t>Yes</t>
        </is>
      </c>
      <c r="O202" s="16" t="n"/>
      <c r="P202" s="16" t="n"/>
      <c r="Q202" s="17" t="inlineStr">
        <is>
          <t>Yes</t>
        </is>
      </c>
      <c r="R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owner may set this unit's ATK to 0 to revive it at end of turn. Usable face-down.</t>
        </is>
      </c>
      <c r="I203" t="inlineStr">
        <is>
          <t>Once, whenever ally Nature card is destroyed, owner can make this card’s ATK becomes 0, revive the destroyed unit at this turn’s end. Usable face-down.</t>
        </is>
      </c>
      <c r="J203" t="inlineStr">
        <is>
          <t>Grammar shorten; no You/Your; final design.</t>
        </is>
      </c>
      <c r="K203" s="16" t="n"/>
      <c r="L203" s="16" t="n"/>
      <c r="M203" s="16">
        <f>(D203*6)+(E203*4)</f>
        <v/>
      </c>
      <c r="N203" s="16" t="n"/>
      <c r="O203" s="16" t="n"/>
      <c r="P203" s="16" t="n"/>
      <c r="Q203" s="16" t="n"/>
      <c r="R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In Reckoning, -15 ATK to the attacker</t>
        </is>
      </c>
      <c r="J204" t="inlineStr">
        <is>
          <t>wording polish</t>
        </is>
      </c>
      <c r="K204" s="16" t="n"/>
      <c r="L204" s="17" t="inlineStr">
        <is>
          <t>Yes</t>
        </is>
      </c>
      <c r="M204" s="16">
        <f>(D204*6)+(E204*4)</f>
        <v/>
      </c>
      <c r="N204" s="17" t="inlineStr">
        <is>
          <t>Yes</t>
        </is>
      </c>
      <c r="O204" s="16" t="n"/>
      <c r="P204" s="16" t="n"/>
      <c r="Q204" s="16" t="n"/>
      <c r="R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I205" t="inlineStr">
        <is>
          <t>At battle calculation, -10 DEF to the defender</t>
        </is>
      </c>
      <c r="K205" s="16" t="n"/>
      <c r="L205" s="16" t="n"/>
      <c r="M205" s="16">
        <f>(D205*6)+(E205*4)</f>
        <v/>
      </c>
      <c r="N205" s="16" t="n"/>
      <c r="O205" s="16" t="n"/>
      <c r="P205" s="16" t="n"/>
      <c r="Q205" s="16" t="n"/>
      <c r="R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+20 ATK&amp;DEF vs Nature</t>
        </is>
      </c>
      <c r="J206" t="inlineStr">
        <is>
          <t>ATK&amp;DEF→ATK and DEF</t>
        </is>
      </c>
      <c r="K206" s="16" t="n"/>
      <c r="L206" s="17" t="inlineStr">
        <is>
          <t>Yes</t>
        </is>
      </c>
      <c r="M206" s="16">
        <f>(D206*6)+(E206*4)</f>
        <v/>
      </c>
      <c r="N206" s="17" t="inlineStr">
        <is>
          <t>Yes</t>
        </is>
      </c>
      <c r="O206" s="16" t="n"/>
      <c r="P206" s="16" t="n"/>
      <c r="Q206" s="17" t="inlineStr">
        <is>
          <t>Yes</t>
        </is>
      </c>
      <c r="R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I207" t="inlineStr">
        <is>
          <t>After performed an attack, this card cannot attack during their next turn.</t>
        </is>
      </c>
      <c r="K207" s="16" t="n"/>
      <c r="L207" s="17" t="inlineStr">
        <is>
          <t>Yes</t>
        </is>
      </c>
      <c r="M207" s="16">
        <f>(D207*6)+(E207*4)</f>
        <v/>
      </c>
      <c r="N207" s="17" t="inlineStr">
        <is>
          <t>Yes</t>
        </is>
      </c>
      <c r="O207" s="16" t="n"/>
      <c r="P207" s="16" t="n"/>
      <c r="Q207" s="16" t="n"/>
      <c r="R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I208" t="inlineStr">
        <is>
          <t>+10 ATK per shark card on the field</t>
        </is>
      </c>
      <c r="K208" s="16" t="n"/>
      <c r="L208" s="17" t="inlineStr">
        <is>
          <t>Yes</t>
        </is>
      </c>
      <c r="M208" s="16">
        <f>(D208*6)+(E208*4)</f>
        <v/>
      </c>
      <c r="N208" s="17" t="inlineStr">
        <is>
          <t>Yes</t>
        </is>
      </c>
      <c r="O208" s="16" t="n"/>
      <c r="P208" s="16" t="n"/>
      <c r="Q208" s="16" t="n"/>
      <c r="R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I209" t="inlineStr">
        <is>
          <t>After this card attacked (survived or not), reveal 1 of foe’s face-down cell</t>
        </is>
      </c>
      <c r="K209" s="16" t="n"/>
      <c r="L209" s="16" t="n"/>
      <c r="M209" s="16">
        <f>(D209*6)+(E209*4)</f>
        <v/>
      </c>
      <c r="N209" s="16" t="n"/>
      <c r="O209" s="16" t="n"/>
      <c r="P209" s="16" t="n"/>
      <c r="Q209" s="16" t="n"/>
      <c r="R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I210" t="inlineStr">
        <is>
          <t>+50 ATK vs Anima</t>
        </is>
      </c>
      <c r="K210" s="16" t="n"/>
      <c r="L210" s="16" t="n"/>
      <c r="M210" s="16">
        <f>(D210*6)+(E210*4)</f>
        <v/>
      </c>
      <c r="N210" s="16" t="n"/>
      <c r="O210" s="16" t="n"/>
      <c r="P210" s="16" t="n"/>
      <c r="Q210" s="16" t="n"/>
      <c r="R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K211" s="16" t="n"/>
      <c r="L211" s="16" t="n"/>
      <c r="M211" s="16">
        <f>(D211*6)+(E211*4)</f>
        <v/>
      </c>
      <c r="N211" s="16" t="n"/>
      <c r="O211" s="16" t="n"/>
      <c r="P211" s="16" t="n"/>
      <c r="Q211" s="16" t="n"/>
      <c r="R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I212" t="inlineStr">
        <is>
          <t>If this card defended, foe’s turn ends immediately</t>
        </is>
      </c>
      <c r="K212" s="16" t="n"/>
      <c r="L212" s="16" t="n"/>
      <c r="M212" s="16">
        <f>(D212*6)+(E212*4)</f>
        <v/>
      </c>
      <c r="N212" s="16" t="n"/>
      <c r="O212" s="16" t="n"/>
      <c r="P212" s="16" t="n"/>
      <c r="Q212" s="16" t="n"/>
      <c r="R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I213" t="inlineStr">
        <is>
          <t>Bio card’s attack is cancelled if targeted this card</t>
        </is>
      </c>
      <c r="K213" s="16" t="n"/>
      <c r="L213" s="16" t="n"/>
      <c r="M213" s="16">
        <f>(D213*6)+(E213*4)</f>
        <v/>
      </c>
      <c r="N213" s="16" t="n"/>
      <c r="O213" s="16" t="n"/>
      <c r="P213" s="16" t="n"/>
      <c r="Q213" s="16" t="n"/>
      <c r="R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I214" t="inlineStr">
        <is>
          <t>+10 ATK for each Nature card on its side.</t>
        </is>
      </c>
      <c r="K214" s="16" t="n"/>
      <c r="L214" s="16" t="n"/>
      <c r="M214" s="16">
        <f>(D214*6)+(E214*4)</f>
        <v/>
      </c>
      <c r="N214" s="16" t="n"/>
      <c r="O214" s="16" t="n"/>
      <c r="P214" s="16" t="n"/>
      <c r="Q214" s="16" t="n"/>
      <c r="R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Foe cannot select face-down card as an attack target</t>
        </is>
      </c>
      <c r="J215" t="inlineStr">
        <is>
          <t>wording polish</t>
        </is>
      </c>
      <c r="K215" s="16" t="n"/>
      <c r="L215" s="16" t="n"/>
      <c r="M215" s="16">
        <f>(D215*6)+(E215*4)</f>
        <v/>
      </c>
      <c r="N215" s="16" t="n"/>
      <c r="O215" s="16" t="n"/>
      <c r="P215" s="16" t="n"/>
      <c r="Q215" s="16" t="n"/>
      <c r="R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At the end of this turn, select 1 exposed foe’s card. Put 1 venom flag on it.</t>
        </is>
      </c>
      <c r="J216" t="inlineStr">
        <is>
          <t>Synced to implemented rule; any foe unit (Exposed or face-down flips up).</t>
        </is>
      </c>
      <c r="K216" s="16" t="n"/>
      <c r="L216" s="17" t="inlineStr">
        <is>
          <t>Yes</t>
        </is>
      </c>
      <c r="M216" s="16">
        <f>(D216*6)+(E216*4)</f>
        <v/>
      </c>
      <c r="N216" s="17" t="inlineStr">
        <is>
          <t>Yes</t>
        </is>
      </c>
      <c r="O216" s="16" t="n"/>
      <c r="P216" s="16" t="n"/>
      <c r="Q216" s="17" t="inlineStr">
        <is>
          <t>Yes</t>
        </is>
      </c>
      <c r="R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I217" t="inlineStr">
        <is>
          <t>When foe attacks a Dead End, swap this card with it. Usable face-down.</t>
        </is>
      </c>
      <c r="K217" s="16" t="n"/>
      <c r="L217" s="16" t="n"/>
      <c r="M217" s="16">
        <f>(D217*6)+(E217*4)</f>
        <v/>
      </c>
      <c r="N217" s="16" t="n"/>
      <c r="O217" s="16" t="n"/>
      <c r="P217" s="16" t="n"/>
      <c r="Q217" s="16" t="n"/>
      <c r="R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I218" t="inlineStr">
        <is>
          <t>At battle calculation, pay 1000 Crystals then +20 DEF permanently</t>
        </is>
      </c>
      <c r="K218" s="16" t="n"/>
      <c r="L218" s="16" t="n"/>
      <c r="M218" s="16">
        <f>(D218*6)+(E218*4)</f>
        <v/>
      </c>
      <c r="N218" s="16" t="n"/>
      <c r="O218" s="16" t="n"/>
      <c r="P218" s="16" t="n"/>
      <c r="Q218" s="16" t="n"/>
      <c r="R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While exposed, whenever foe’s card is destroyed, gain 300 Crystals</t>
        </is>
      </c>
      <c r="J219" t="inlineStr">
        <is>
          <t>wording polish</t>
        </is>
      </c>
      <c r="K219" s="16" t="n"/>
      <c r="L219" s="16" t="n"/>
      <c r="M219" s="16">
        <f>(D219*6)+(E219*4)</f>
        <v/>
      </c>
      <c r="N219" s="16" t="n"/>
      <c r="O219" s="16" t="n"/>
      <c r="P219" s="16" t="n"/>
      <c r="Q219" s="16" t="n"/>
      <c r="R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Once exposed, choose either: reveal 1 foe’s cell or put 1 princes flag on ally unit.</t>
        </is>
      </c>
      <c r="J220" t="inlineStr">
        <is>
          <t>Princess flag typo; Exposed terminology.</t>
        </is>
      </c>
      <c r="K220" s="16" t="n"/>
      <c r="L220" s="16" t="n"/>
      <c r="M220" s="16">
        <f>(D220*6)+(E220*4)</f>
        <v/>
      </c>
      <c r="N220" s="16" t="n"/>
      <c r="O220" s="16" t="n"/>
      <c r="P220" s="16" t="n"/>
      <c r="Q220" s="16" t="n"/>
      <c r="R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I221" t="inlineStr">
        <is>
          <t>Nature card that attacked this turn has +10 DEF until the end of foe’s turn.</t>
        </is>
      </c>
      <c r="K221" s="16" t="n"/>
      <c r="L221" s="16" t="n"/>
      <c r="M221" s="16">
        <f>(D221*6)+(E221*4)</f>
        <v/>
      </c>
      <c r="N221" s="16" t="n"/>
      <c r="O221" s="16" t="n"/>
      <c r="P221" s="16" t="n"/>
      <c r="Q221" s="16" t="n"/>
      <c r="R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This player's exposed card with princess flag has +30 ATK</t>
        </is>
      </c>
      <c r="J222" t="inlineStr">
        <is>
          <t>wording polish</t>
        </is>
      </c>
      <c r="K222" s="16" t="n"/>
      <c r="L222" s="16" t="n"/>
      <c r="M222" s="16">
        <f>(D222*6)+(E222*4)</f>
        <v/>
      </c>
      <c r="N222" s="16" t="n"/>
      <c r="O222" s="16" t="n"/>
      <c r="P222" s="16" t="n"/>
      <c r="Q222" s="16" t="n"/>
      <c r="R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I223" t="inlineStr">
        <is>
          <t>During battle, destroy defender if its ATK exceeds foe’s DEF by 30 or more</t>
        </is>
      </c>
      <c r="K223" s="16" t="n"/>
      <c r="L223" s="16" t="n"/>
      <c r="M223" s="16">
        <f>(D223*6)+(E223*4)</f>
        <v/>
      </c>
      <c r="N223" s="16" t="n"/>
      <c r="O223" s="16" t="n"/>
      <c r="P223" s="16" t="n"/>
      <c r="Q223" s="16" t="n"/>
      <c r="R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At the start of each turn, put 1 princess flag on ally unit</t>
        </is>
      </c>
      <c r="J224" t="inlineStr">
        <is>
          <t>wording polish</t>
        </is>
      </c>
      <c r="K224" s="16" t="n"/>
      <c r="L224" s="16" t="n"/>
      <c r="M224" s="16">
        <f>(D224*6)+(E224*4)</f>
        <v/>
      </c>
      <c r="N224" s="16" t="n"/>
      <c r="O224" s="16" t="n"/>
      <c r="P224" s="16" t="n"/>
      <c r="Q224" s="16" t="n"/>
      <c r="R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If this card would be destroyed, remove 1 princess flag from ally unit instead.</t>
        </is>
      </c>
      <c r="J225" t="inlineStr">
        <is>
          <t>wording polish</t>
        </is>
      </c>
      <c r="K225" s="16" t="n"/>
      <c r="L225" s="16" t="n"/>
      <c r="M225" s="16">
        <f>(D225*6)+(E225*4)</f>
        <v/>
      </c>
      <c r="N225" s="16" t="n"/>
      <c r="O225" s="16" t="n"/>
      <c r="P225" s="16" t="n"/>
      <c r="Q225" s="16" t="n"/>
      <c r="R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K226" s="16" t="n"/>
      <c r="L226" s="16" t="n"/>
      <c r="M226" s="16">
        <f>(D226*6)+(E226*4)</f>
        <v/>
      </c>
      <c r="N226" s="16" t="n"/>
      <c r="O226" s="16" t="n"/>
      <c r="P226" s="16" t="n"/>
      <c r="Q226" s="16" t="n"/>
      <c r="R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K227" s="16" t="n"/>
      <c r="L227" s="16" t="n"/>
      <c r="M227" s="16">
        <f>(D227*6)+(E227*4)</f>
        <v/>
      </c>
      <c r="N227" s="16" t="n"/>
      <c r="O227" s="16" t="n"/>
      <c r="P227" s="16" t="n"/>
      <c r="Q227" s="16" t="n"/>
      <c r="R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K228" s="16" t="n"/>
      <c r="L228" s="16" t="n"/>
      <c r="M228" s="16">
        <f>(D228*6)+(E228*4)</f>
        <v/>
      </c>
      <c r="N228" s="16" t="n"/>
      <c r="O228" s="16" t="n"/>
      <c r="P228" s="16" t="n"/>
      <c r="Q228" s="16" t="n"/>
      <c r="R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Once, when this card defends, the attacker permanently loses 15 ATK.</t>
        </is>
      </c>
      <c r="J229" t="inlineStr">
        <is>
          <t>wording polish</t>
        </is>
      </c>
      <c r="K229" s="16" t="n"/>
      <c r="L229" s="16" t="n"/>
      <c r="M229" s="16">
        <f>(D229*6)+(E229*4)</f>
        <v/>
      </c>
      <c r="N229" s="16" t="n"/>
      <c r="O229" s="16" t="n"/>
      <c r="P229" s="16" t="n"/>
      <c r="Q229" s="16" t="n"/>
      <c r="R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K230" s="16" t="n"/>
      <c r="L230" s="16" t="n"/>
      <c r="M230" s="16">
        <f>(D230*6)+(E230*4)</f>
        <v/>
      </c>
      <c r="N230" s="16" t="n"/>
      <c r="O230" s="16" t="n"/>
      <c r="P230" s="16" t="n"/>
      <c r="Q230" s="16" t="n"/>
      <c r="R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Once, this card is not destroyed</t>
        </is>
      </c>
      <c r="J231" t="inlineStr">
        <is>
          <t>wording polish</t>
        </is>
      </c>
      <c r="K231" s="16" t="n"/>
      <c r="L231" s="16" t="n"/>
      <c r="M231" s="16">
        <f>(D231*6)+(E231*4)</f>
        <v/>
      </c>
      <c r="N231" s="16" t="n"/>
      <c r="O231" s="16" t="n"/>
      <c r="P231" s="16" t="n"/>
      <c r="Q231" s="16" t="n"/>
      <c r="R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Can only attack if this is the only exposed card on its side</t>
        </is>
      </c>
      <c r="J232" t="inlineStr">
        <is>
          <t>wording polish</t>
        </is>
      </c>
      <c r="K232" s="16" t="n"/>
      <c r="L232" s="16" t="n"/>
      <c r="M232" s="16">
        <f>(D232*6)+(E232*4)</f>
        <v/>
      </c>
      <c r="N232" s="16" t="n"/>
      <c r="O232" s="16" t="n"/>
      <c r="P232" s="16" t="n"/>
      <c r="Q232" s="16" t="n"/>
      <c r="R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K233" s="16" t="n"/>
      <c r="L233" s="16" t="n"/>
      <c r="M233" s="16">
        <f>(D233*6)+(E233*4)</f>
        <v/>
      </c>
      <c r="N233" s="16" t="n"/>
      <c r="O233" s="16" t="n"/>
      <c r="P233" s="16" t="n"/>
      <c r="Q233" s="16" t="n"/>
      <c r="R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I234" t="inlineStr">
        <is>
          <t>+10 ATK vs. Arcane</t>
        </is>
      </c>
      <c r="K234" s="16" t="n"/>
      <c r="L234" s="16" t="n"/>
      <c r="M234" s="16">
        <f>(D234*6)+(E234*4)</f>
        <v/>
      </c>
      <c r="N234" s="16" t="n"/>
      <c r="O234" s="16" t="n"/>
      <c r="P234" s="16" t="n"/>
      <c r="Q234" s="16" t="n"/>
      <c r="R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K235" s="16" t="n"/>
      <c r="L235" s="16" t="n"/>
      <c r="M235" s="16">
        <f>(D235*6)+(E235*4)</f>
        <v/>
      </c>
      <c r="N235" s="16" t="n"/>
      <c r="O235" s="16" t="n"/>
      <c r="P235" s="16" t="n"/>
      <c r="Q235" s="16" t="n"/>
      <c r="R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I236" t="inlineStr">
        <is>
          <t>After this card battled, reveal 1 foe’s cell</t>
        </is>
      </c>
      <c r="K236" s="16" t="n"/>
      <c r="L236" s="16" t="n"/>
      <c r="M236" s="16">
        <f>(D236*6)+(E236*4)</f>
        <v/>
      </c>
      <c r="N236" s="16" t="n"/>
      <c r="O236" s="16" t="n"/>
      <c r="P236" s="16" t="n"/>
      <c r="Q236" s="16" t="n"/>
      <c r="R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This card is unaffected by 0 cost traps</t>
        </is>
      </c>
      <c r="J237" t="inlineStr">
        <is>
          <t>0 cost→0-cost</t>
        </is>
      </c>
      <c r="K237" s="16" t="n"/>
      <c r="L237" s="16" t="n"/>
      <c r="M237" s="16">
        <f>(D237*6)+(E237*4)</f>
        <v/>
      </c>
      <c r="N237" s="16" t="n"/>
      <c r="O237" s="16" t="n"/>
      <c r="P237" s="16" t="n"/>
      <c r="Q237" s="16" t="n"/>
      <c r="R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K238" s="16" t="n"/>
      <c r="L238" s="16" t="n"/>
      <c r="M238" s="16">
        <f>(D238*6)+(E238*4)</f>
        <v/>
      </c>
      <c r="N238" s="16" t="n"/>
      <c r="O238" s="16" t="n"/>
      <c r="P238" s="16" t="n"/>
      <c r="Q238" s="16" t="n"/>
      <c r="R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After it performed attack, once per turn, flip 2 coins, if both of them is head, this card can attack 1 more time.</t>
        </is>
      </c>
      <c r="J239" t="inlineStr">
        <is>
          <t>wording polish</t>
        </is>
      </c>
      <c r="K239" s="16" t="n"/>
      <c r="L239" s="16" t="n"/>
      <c r="M239" s="16">
        <f>(D239*6)+(E239*4)</f>
        <v/>
      </c>
      <c r="N239" s="16" t="n"/>
      <c r="O239" s="16" t="n"/>
      <c r="P239" s="16" t="n"/>
      <c r="Q239" s="16" t="n"/>
      <c r="R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I240" t="inlineStr">
        <is>
          <t>+10 ATK vs Nature</t>
        </is>
      </c>
      <c r="K240" s="16" t="n"/>
      <c r="L240" s="17" t="inlineStr">
        <is>
          <t>Yes</t>
        </is>
      </c>
      <c r="M240" s="16">
        <f>(D240*6)+(E240*4)</f>
        <v/>
      </c>
      <c r="N240" s="17" t="inlineStr">
        <is>
          <t>Yes</t>
        </is>
      </c>
      <c r="O240" s="16" t="n"/>
      <c r="P240" s="17" t="inlineStr">
        <is>
          <t>Yes</t>
        </is>
      </c>
      <c r="Q240" s="16" t="n"/>
      <c r="R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K241" s="16" t="n"/>
      <c r="L241" s="16" t="n"/>
      <c r="M241" s="16">
        <f>(D241*6)+(E241*4)</f>
        <v/>
      </c>
      <c r="N241" s="16" t="n"/>
      <c r="O241" s="16" t="n"/>
      <c r="P241" s="16" t="n"/>
      <c r="Q241" s="16" t="n"/>
      <c r="R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Once, at foe’s turn start, flip a coin. Head: foe can only attack once.</t>
        </is>
      </c>
      <c r="J242" t="inlineStr">
        <is>
          <t>Head→Heads</t>
        </is>
      </c>
      <c r="K242" s="16" t="n"/>
      <c r="L242" s="16" t="n"/>
      <c r="M242" s="16">
        <f>(D242*6)+(E242*4)</f>
        <v/>
      </c>
      <c r="N242" s="16" t="n"/>
      <c r="O242" s="16" t="n"/>
      <c r="P242" s="16" t="n"/>
      <c r="Q242" s="16" t="n"/>
      <c r="R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K243" s="16" t="n"/>
      <c r="L243" s="16" t="n"/>
      <c r="M243" s="16">
        <f>(D243*6)+(E243*4)</f>
        <v/>
      </c>
      <c r="N243" s="16" t="n"/>
      <c r="O243" s="16" t="n"/>
      <c r="P243" s="16" t="n"/>
      <c r="Q243" s="16" t="n"/>
      <c r="R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Whenever the owner gain Crystals from any source, this card gains +10 ATK&amp;DEF permanently, once.</t>
        </is>
      </c>
      <c r="J244" t="inlineStr">
        <is>
          <t>ATK&amp;DEF→ATK and DEF</t>
        </is>
      </c>
      <c r="K244" s="16" t="n"/>
      <c r="L244" s="16" t="n"/>
      <c r="M244" s="16">
        <f>(D244*6)+(E244*4)</f>
        <v/>
      </c>
      <c r="N244" s="16" t="n"/>
      <c r="O244" s="16" t="n"/>
      <c r="P244" s="16" t="n"/>
      <c r="Q244" s="16" t="n"/>
      <c r="R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Once, if this card battles, +5 ATK&amp;DEF until the end of this turn.</t>
        </is>
      </c>
      <c r="J245" t="inlineStr">
        <is>
          <t>ATK&amp;DEF→ATK and DEF</t>
        </is>
      </c>
      <c r="K245" s="16" t="n"/>
      <c r="L245" s="16" t="n"/>
      <c r="M245" s="16">
        <f>(D245*6)+(E245*4)</f>
        <v/>
      </c>
      <c r="N245" s="16" t="n"/>
      <c r="O245" s="16" t="n"/>
      <c r="P245" s="16" t="n"/>
      <c r="Q245" s="16" t="n"/>
      <c r="R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K246" s="16" t="n"/>
      <c r="L246" s="16" t="n"/>
      <c r="M246" s="16">
        <f>(D246*6)+(E246*4)</f>
        <v/>
      </c>
      <c r="N246" s="16" t="n"/>
      <c r="O246" s="16" t="n"/>
      <c r="P246" s="16" t="n"/>
      <c r="Q246" s="16" t="n"/>
      <c r="R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Once, when this card defends, the attacker permanently loses 5 ATK.</t>
        </is>
      </c>
      <c r="J247" t="inlineStr">
        <is>
          <t>wording polish</t>
        </is>
      </c>
      <c r="K247" s="16" t="n"/>
      <c r="L247" s="16" t="n"/>
      <c r="M247" s="16">
        <f>(D247*6)+(E247*4)</f>
        <v/>
      </c>
      <c r="N247" s="16" t="n"/>
      <c r="O247" s="16" t="n"/>
      <c r="P247" s="16" t="n"/>
      <c r="Q247" s="16" t="n"/>
      <c r="R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K248" s="16" t="n"/>
      <c r="L248" s="16" t="n"/>
      <c r="M248" s="16">
        <f>(D248*6)+(E248*4)</f>
        <v/>
      </c>
      <c r="N248" s="16" t="n"/>
      <c r="O248" s="16" t="n"/>
      <c r="P248" s="16" t="n"/>
      <c r="Q248" s="16" t="n"/>
      <c r="R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+5 ATK&amp;DEF vs Non-Arcane</t>
        </is>
      </c>
      <c r="J249" t="inlineStr">
        <is>
          <t>ATK&amp;DEF→ATK and DEF</t>
        </is>
      </c>
      <c r="K249" s="16" t="n"/>
      <c r="L249" s="16" t="n"/>
      <c r="M249" s="16">
        <f>(D249*6)+(E249*4)</f>
        <v/>
      </c>
      <c r="N249" s="16" t="n"/>
      <c r="O249" s="16" t="n"/>
      <c r="P249" s="16" t="n"/>
      <c r="Q249" s="16" t="n"/>
      <c r="R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I250" t="inlineStr">
        <is>
          <t>+10 ATK vs Arcane</t>
        </is>
      </c>
      <c r="K250" s="16" t="n"/>
      <c r="L250" s="16" t="n"/>
      <c r="M250" s="16">
        <f>(D250*6)+(E250*4)</f>
        <v/>
      </c>
      <c r="N250" s="16" t="n"/>
      <c r="O250" s="16" t="n"/>
      <c r="P250" s="16" t="n"/>
      <c r="Q250" s="16" t="n"/>
      <c r="R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After this card battled, flip a coin. If head, reveal 1 of foe’s cell, if tail, it lose 5 ATK</t>
        </is>
      </c>
      <c r="J251" t="inlineStr">
        <is>
          <t>Head→Heads; Tail→Tails</t>
        </is>
      </c>
      <c r="K251" s="16" t="n"/>
      <c r="L251" s="16" t="n"/>
      <c r="M251" s="16">
        <f>(D251*6)+(E251*4)</f>
        <v/>
      </c>
      <c r="N251" s="16" t="n"/>
      <c r="O251" s="16" t="n"/>
      <c r="P251" s="16" t="n"/>
      <c r="Q251" s="16" t="n"/>
      <c r="R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After this card battled, flip a coin. If 3 coin, reveal foe’s cell up to number of head. If got 3 tail, destroy this card</t>
        </is>
      </c>
      <c r="J252" t="inlineStr">
        <is>
          <t>Fixed typos; confirmed 3-coin intent.</t>
        </is>
      </c>
      <c r="K252" s="16" t="n"/>
      <c r="L252" s="16" t="n"/>
      <c r="M252" s="16">
        <f>(D252*6)+(E252*4)</f>
        <v/>
      </c>
      <c r="N252" s="16" t="n"/>
      <c r="O252" s="16" t="n"/>
      <c r="P252" s="16" t="n"/>
      <c r="Q252" s="16" t="n"/>
      <c r="R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K253" s="16" t="n"/>
      <c r="L253" s="16" t="n"/>
      <c r="M253" s="16">
        <f>(D253*6)+(E253*4)</f>
        <v/>
      </c>
      <c r="N253" s="16" t="n"/>
      <c r="O253" s="16" t="n"/>
      <c r="P253" s="16" t="n"/>
      <c r="Q253" s="16" t="n"/>
      <c r="R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Whenever the owner uses tech, they receive 20 Crystals</t>
        </is>
      </c>
      <c r="J254" t="inlineStr">
        <is>
          <t>wording polish</t>
        </is>
      </c>
      <c r="K254" s="16" t="n"/>
      <c r="L254" s="16" t="n"/>
      <c r="M254" s="16">
        <f>(D254*6)+(E254*4)</f>
        <v/>
      </c>
      <c r="N254" s="16" t="n"/>
      <c r="O254" s="16" t="n"/>
      <c r="P254" s="16" t="n"/>
      <c r="Q254" s="16" t="n"/>
      <c r="R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When this card defends, the attacker permanently loses 10 ATK&amp;DEF.</t>
        </is>
      </c>
      <c r="J255" t="inlineStr">
        <is>
          <t>ATK&amp;DEF→ATK and DEF</t>
        </is>
      </c>
      <c r="K255" s="16" t="n"/>
      <c r="L255" s="17" t="inlineStr">
        <is>
          <t>Yes</t>
        </is>
      </c>
      <c r="M255" s="16">
        <f>(D255*6)+(E255*4)</f>
        <v/>
      </c>
      <c r="N255" s="17" t="inlineStr">
        <is>
          <t>Yes</t>
        </is>
      </c>
      <c r="O255" s="16" t="n"/>
      <c r="P255" s="16" t="n"/>
      <c r="Q255" s="17" t="inlineStr">
        <is>
          <t>Yes</t>
        </is>
      </c>
      <c r="R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Owner’s turn starts: flip a coin. Head: +5 ATK until their turn ends. Usable face-down.</t>
        </is>
      </c>
      <c r="J256" t="inlineStr">
        <is>
          <t>Head→Heads</t>
        </is>
      </c>
      <c r="K256" s="16" t="n"/>
      <c r="L256" s="16" t="n"/>
      <c r="M256" s="16">
        <f>(D256*6)+(E256*4)</f>
        <v/>
      </c>
      <c r="N256" s="16" t="n"/>
      <c r="O256" s="16" t="n"/>
      <c r="P256" s="16" t="n"/>
      <c r="Q256" s="16" t="n"/>
      <c r="R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K257" s="16" t="n"/>
      <c r="L257" s="16" t="n"/>
      <c r="M257" s="16">
        <f>(D257*6)+(E257*4)</f>
        <v/>
      </c>
      <c r="N257" s="16" t="n"/>
      <c r="O257" s="16" t="n"/>
      <c r="P257" s="16" t="n"/>
      <c r="Q257" s="16" t="n"/>
      <c r="R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I258" t="inlineStr">
        <is>
          <t>+15 DEF vs Cosmic</t>
        </is>
      </c>
      <c r="K258" s="16" t="n"/>
      <c r="L258" s="16" t="n"/>
      <c r="M258" s="16">
        <f>(D258*6)+(E258*4)</f>
        <v/>
      </c>
      <c r="N258" s="16" t="n"/>
      <c r="O258" s="16" t="n"/>
      <c r="P258" s="16" t="n"/>
      <c r="Q258" s="16" t="n"/>
      <c r="R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I259" t="inlineStr">
        <is>
          <t>When ally Arcane unit is targeted, owner can swap it with this card. Usable face-down.</t>
        </is>
      </c>
      <c r="K259" s="16" t="n"/>
      <c r="L259" s="16" t="n"/>
      <c r="M259" s="16">
        <f>(D259*6)+(E259*4)</f>
        <v/>
      </c>
      <c r="N259" s="16" t="n"/>
      <c r="O259" s="16" t="n"/>
      <c r="P259" s="16" t="n"/>
      <c r="Q259" s="16" t="n"/>
      <c r="R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K260" s="16" t="n"/>
      <c r="L260" s="16" t="n"/>
      <c r="M260" s="16">
        <f>(D260*6)+(E260*4)</f>
        <v/>
      </c>
      <c r="N260" s="16" t="n"/>
      <c r="O260" s="16" t="n"/>
      <c r="P260" s="16" t="n"/>
      <c r="Q260" s="16" t="n"/>
      <c r="R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K261" s="16" t="n"/>
      <c r="L261" s="16" t="n"/>
      <c r="M261" s="16">
        <f>(D261*6)+(E261*4)</f>
        <v/>
      </c>
      <c r="N261" s="16" t="n"/>
      <c r="O261" s="16" t="n"/>
      <c r="P261" s="16" t="n"/>
      <c r="Q261" s="16" t="n"/>
      <c r="R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K262" s="16" t="n"/>
      <c r="L262" s="16" t="n"/>
      <c r="M262" s="16">
        <f>(D262*6)+(E262*4)</f>
        <v/>
      </c>
      <c r="N262" s="16" t="n"/>
      <c r="O262" s="16" t="n"/>
      <c r="P262" s="16" t="n"/>
      <c r="Q262" s="16" t="n"/>
      <c r="R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K263" s="16" t="n"/>
      <c r="L263" s="16" t="n"/>
      <c r="M263" s="16">
        <f>(D263*6)+(E263*4)</f>
        <v/>
      </c>
      <c r="N263" s="16" t="n"/>
      <c r="O263" s="16" t="n"/>
      <c r="P263" s="16" t="n"/>
      <c r="Q263" s="16" t="n"/>
      <c r="R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K264" s="16" t="n"/>
      <c r="L264" s="16" t="n"/>
      <c r="M264" s="16">
        <f>(D264*6)+(E264*4)</f>
        <v/>
      </c>
      <c r="N264" s="16" t="n"/>
      <c r="O264" s="16" t="n"/>
      <c r="P264" s="16" t="n"/>
      <c r="Q264" s="16" t="n"/>
      <c r="R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Once, if a dwarven card will be destroyed, it is not destroyed.</t>
        </is>
      </c>
      <c r="J265" t="inlineStr">
        <is>
          <t>wording polish</t>
        </is>
      </c>
      <c r="K265" s="16" t="n"/>
      <c r="L265" s="16" t="n"/>
      <c r="M265" s="16">
        <f>(D265*6)+(E265*4)</f>
        <v/>
      </c>
      <c r="N265" s="16" t="n"/>
      <c r="O265" s="16" t="n"/>
      <c r="P265" s="16" t="n"/>
      <c r="Q265" s="16" t="n"/>
      <c r="R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If this card battles non-Arcane card, flip two coins. If both are head, destroy it.</t>
        </is>
      </c>
      <c r="J266" t="inlineStr">
        <is>
          <t>wording polish</t>
        </is>
      </c>
      <c r="K266" s="16" t="n"/>
      <c r="L266" s="17" t="inlineStr">
        <is>
          <t>Yes</t>
        </is>
      </c>
      <c r="M266" s="16">
        <f>(D266*6)+(E266*4)</f>
        <v/>
      </c>
      <c r="N266" s="17" t="inlineStr">
        <is>
          <t>Yes</t>
        </is>
      </c>
      <c r="O266" s="16" t="n"/>
      <c r="P266" s="16" t="n"/>
      <c r="Q266" s="16" t="n"/>
      <c r="R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+50 ATK vs face-down card</t>
        </is>
      </c>
      <c r="J267" t="inlineStr">
        <is>
          <t>wording polish</t>
        </is>
      </c>
      <c r="K267" s="16" t="n"/>
      <c r="L267" s="16" t="n"/>
      <c r="M267" s="16">
        <f>(D267*6)+(E267*4)</f>
        <v/>
      </c>
      <c r="N267" s="16" t="n"/>
      <c r="O267" s="16" t="n"/>
      <c r="P267" s="16" t="n"/>
      <c r="Q267" s="16" t="n"/>
      <c r="R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+20 ATK&amp;DEF if there is Union card on its side</t>
        </is>
      </c>
      <c r="J268" t="inlineStr">
        <is>
          <t>ATK&amp;DEF→ATK and DEF</t>
        </is>
      </c>
      <c r="K268" s="16" t="n"/>
      <c r="L268" s="17" t="inlineStr">
        <is>
          <t>Yes</t>
        </is>
      </c>
      <c r="M268" s="16">
        <f>(D268*6)+(E268*4)</f>
        <v/>
      </c>
      <c r="N268" s="17" t="inlineStr">
        <is>
          <t>Yes</t>
        </is>
      </c>
      <c r="O268" s="16" t="n"/>
      <c r="P268" s="16" t="n"/>
      <c r="Q268" s="17" t="inlineStr">
        <is>
          <t>Yes</t>
        </is>
      </c>
      <c r="R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K269" s="16" t="n"/>
      <c r="L269" s="16" t="n"/>
      <c r="M269" s="16">
        <f>(D269*6)+(E269*4)</f>
        <v/>
      </c>
      <c r="N269" s="16" t="n"/>
      <c r="O269" s="16" t="n"/>
      <c r="P269" s="16" t="n"/>
      <c r="Q269" s="16" t="n"/>
      <c r="R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Once, when this card defends, the attacker attack is negated.</t>
        </is>
      </c>
      <c r="J270" t="inlineStr">
        <is>
          <t>wording polish</t>
        </is>
      </c>
      <c r="K270" s="16" t="n"/>
      <c r="L270" s="16" t="n"/>
      <c r="M270" s="16">
        <f>(D270*6)+(E270*4)</f>
        <v/>
      </c>
      <c r="N270" s="16" t="n"/>
      <c r="O270" s="16" t="n"/>
      <c r="P270" s="16" t="n"/>
      <c r="Q270" s="16" t="n"/>
      <c r="R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+30 ATK&amp;DEF vs Arcane</t>
        </is>
      </c>
      <c r="J271" t="inlineStr">
        <is>
          <t>ATK&amp;DEF→ATK and DEF</t>
        </is>
      </c>
      <c r="K271" s="16" t="n"/>
      <c r="L271" s="17" t="inlineStr">
        <is>
          <t>Yes</t>
        </is>
      </c>
      <c r="M271" s="16">
        <f>(D271*6)+(E271*4)</f>
        <v/>
      </c>
      <c r="N271" s="17" t="inlineStr">
        <is>
          <t>Yes</t>
        </is>
      </c>
      <c r="O271" s="16" t="n"/>
      <c r="P271" s="16" t="n"/>
      <c r="Q271" s="17" t="inlineStr">
        <is>
          <t>Yes</t>
        </is>
      </c>
      <c r="R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K272" s="16" t="n"/>
      <c r="L272" s="16" t="n"/>
      <c r="M272" s="16">
        <f>(D272*6)+(E272*4)</f>
        <v/>
      </c>
      <c r="N272" s="16" t="n"/>
      <c r="O272" s="16" t="n"/>
      <c r="P272" s="16" t="n"/>
      <c r="Q272" s="16" t="n"/>
      <c r="R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Whenever the owner use tech, this card gain 50 ATK&amp;DEF until the end of foe’s turn</t>
        </is>
      </c>
      <c r="J273" t="inlineStr">
        <is>
          <t>ATK&amp;DEF→ATK and DEF</t>
        </is>
      </c>
      <c r="K273" s="16" t="n"/>
      <c r="L273" s="16" t="n"/>
      <c r="M273" s="16">
        <f>(D273*6)+(E273*4)</f>
        <v/>
      </c>
      <c r="N273" s="16" t="n"/>
      <c r="O273" s="16" t="n"/>
      <c r="P273" s="16" t="n"/>
      <c r="Q273" s="16" t="n"/>
      <c r="R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K274" s="16" t="n"/>
      <c r="L274" s="16" t="n"/>
      <c r="M274" s="16">
        <f>(D274*6)+(E274*4)</f>
        <v/>
      </c>
      <c r="N274" s="16" t="n"/>
      <c r="O274" s="16" t="n"/>
      <c r="P274" s="16" t="n"/>
      <c r="Q274" s="16" t="n"/>
      <c r="R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I275" t="inlineStr">
        <is>
          <t>If ally Arcane card would be destroyed by Non-Arcane unit, pay 500 Crystals, it is not destroyed. Can be use face-down.</t>
        </is>
      </c>
      <c r="K275" s="16" t="n"/>
      <c r="L275" s="16" t="n"/>
      <c r="M275" s="16">
        <f>(D275*6)+(E275*4)</f>
        <v/>
      </c>
      <c r="N275" s="16" t="n"/>
      <c r="O275" s="16" t="n"/>
      <c r="P275" s="16" t="n"/>
      <c r="Q275" s="16" t="n"/>
      <c r="R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Whenever the owner gain Crystals from any source, this card gains +10 ATK permanently (max +50).</t>
        </is>
      </c>
      <c r="J276" t="inlineStr">
        <is>
          <t>wording polish</t>
        </is>
      </c>
      <c r="K276" s="16" t="n"/>
      <c r="L276" s="16" t="n"/>
      <c r="M276" s="16">
        <f>(D276*6)+(E276*4)</f>
        <v/>
      </c>
      <c r="N276" s="16" t="n"/>
      <c r="O276" s="16" t="n"/>
      <c r="P276" s="16" t="n"/>
      <c r="Q276" s="16" t="n"/>
      <c r="R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I277" t="inlineStr">
        <is>
          <t>At the end of their turn: create a token copy of Leviathan on an empty cell on its side</t>
        </is>
      </c>
      <c r="K277" s="16" t="n"/>
      <c r="L277" s="16" t="n"/>
      <c r="M277" s="16">
        <f>(D277*6)+(E277*4)</f>
        <v/>
      </c>
      <c r="N277" s="16" t="n"/>
      <c r="O277" s="16" t="n"/>
      <c r="P277" s="16" t="n"/>
      <c r="Q277" s="16" t="n"/>
      <c r="R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I278" t="inlineStr">
        <is>
          <t>Once per turn, this card cannot be destroyed vs Non-Arcane</t>
        </is>
      </c>
      <c r="K278" s="16" t="n"/>
      <c r="L278" s="16" t="n"/>
      <c r="M278" s="16">
        <f>(D278*6)+(E278*4)</f>
        <v/>
      </c>
      <c r="N278" s="16" t="n"/>
      <c r="O278" s="16" t="n"/>
      <c r="P278" s="16" t="n"/>
      <c r="Q278" s="16" t="n"/>
      <c r="R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I279" t="inlineStr">
        <is>
          <t>If this card battles and survived, pay 500 Crystal cost</t>
        </is>
      </c>
      <c r="K279" s="16" t="n"/>
      <c r="L279" s="16" t="n"/>
      <c r="M279" s="16">
        <f>(D279*6)+(E279*4)</f>
        <v/>
      </c>
      <c r="N279" s="16" t="n"/>
      <c r="O279" s="16" t="n"/>
      <c r="P279" s="16" t="n"/>
      <c r="Q279" s="16" t="n"/>
      <c r="R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I280" t="inlineStr">
        <is>
          <t>This card can only attack Arcane card</t>
        </is>
      </c>
      <c r="K280" s="16" t="n"/>
      <c r="L280" s="16" t="n"/>
      <c r="M280" s="16">
        <f>(D280*6)+(E280*4)</f>
        <v/>
      </c>
      <c r="N280" s="16" t="n"/>
      <c r="O280" s="16" t="n"/>
      <c r="P280" s="16" t="n"/>
      <c r="Q280" s="16" t="n"/>
      <c r="R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I281" t="inlineStr">
        <is>
          <t>Foe cannot use Tech cards while this card is exposed.</t>
        </is>
      </c>
      <c r="K281" s="16" t="n"/>
      <c r="L281" s="16" t="n"/>
      <c r="M281" s="16">
        <f>(D281*6)+(E281*4)</f>
        <v/>
      </c>
      <c r="N281" s="16" t="n"/>
      <c r="O281" s="16" t="n"/>
      <c r="P281" s="16" t="n"/>
      <c r="Q281" s="16" t="n"/>
      <c r="R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I282" t="inlineStr">
        <is>
          <t>After exposed, the owner can only command this card (and not any card else) for an attack.</t>
        </is>
      </c>
      <c r="K282" s="16" t="n"/>
      <c r="L282" s="16" t="n"/>
      <c r="M282" s="16">
        <f>(D282*6)+(E282*4)</f>
        <v/>
      </c>
      <c r="N282" s="16" t="n"/>
      <c r="O282" s="16" t="n"/>
      <c r="P282" s="16" t="n"/>
      <c r="Q282" s="16" t="n"/>
      <c r="R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+50 ATK&amp;DEF against Anima</t>
        </is>
      </c>
      <c r="J283" t="inlineStr">
        <is>
          <t>ATK&amp;DEF→ATK and DEF</t>
        </is>
      </c>
      <c r="K283" s="16" t="n"/>
      <c r="L283" s="17" t="inlineStr">
        <is>
          <t>Yes</t>
        </is>
      </c>
      <c r="M283" s="16">
        <f>(D283*6)+(E283*4)</f>
        <v/>
      </c>
      <c r="N283" s="17" t="inlineStr">
        <is>
          <t>Yes</t>
        </is>
      </c>
      <c r="O283" s="16" t="n"/>
      <c r="P283" s="16" t="n"/>
      <c r="Q283" s="16" t="n"/>
      <c r="R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I284" t="inlineStr">
        <is>
          <t>+10 ATK vs Anima</t>
        </is>
      </c>
      <c r="K284" s="16" t="n"/>
      <c r="L284" s="16" t="n"/>
      <c r="M284" s="16">
        <f>(D284*6)+(E284*4)</f>
        <v/>
      </c>
      <c r="N284" s="16" t="n"/>
      <c r="O284" s="16" t="n"/>
      <c r="P284" s="16" t="n"/>
      <c r="Q284" s="16" t="n"/>
      <c r="R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K285" s="16" t="n"/>
      <c r="L285" s="16" t="n"/>
      <c r="M285" s="16">
        <f>(D285*6)+(E285*4)</f>
        <v/>
      </c>
      <c r="N285" s="16" t="n"/>
      <c r="O285" s="16" t="n"/>
      <c r="P285" s="16" t="n"/>
      <c r="Q285" s="16" t="n"/>
      <c r="R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I286" t="inlineStr">
        <is>
          <t>+10 ATK if it has mutagen flag</t>
        </is>
      </c>
      <c r="K286" s="16" t="n"/>
      <c r="L286" s="17" t="inlineStr">
        <is>
          <t>Yes</t>
        </is>
      </c>
      <c r="M286" s="16">
        <f>(D286*6)+(E286*4)</f>
        <v/>
      </c>
      <c r="N286" s="17" t="inlineStr">
        <is>
          <t>Yes</t>
        </is>
      </c>
      <c r="O286" s="16" t="n"/>
      <c r="P286" s="16" t="n"/>
      <c r="Q286" s="17" t="inlineStr">
        <is>
          <t>Yes</t>
        </is>
      </c>
      <c r="R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K287" s="16" t="n"/>
      <c r="L287" s="16" t="n"/>
      <c r="M287" s="16">
        <f>(D287*6)+(E287*4)</f>
        <v/>
      </c>
      <c r="N287" s="16" t="n"/>
      <c r="O287" s="16" t="n"/>
      <c r="P287" s="16" t="n"/>
      <c r="Q287" s="16" t="n"/>
      <c r="R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While this card is exposed, at foe’s turn end, swap its ATK&amp;DEF</t>
        </is>
      </c>
      <c r="J288" t="inlineStr">
        <is>
          <t>ATK&amp;DEF→ATK and DEF</t>
        </is>
      </c>
      <c r="K288" s="16" t="n"/>
      <c r="L288" s="17" t="inlineStr">
        <is>
          <t>Yes</t>
        </is>
      </c>
      <c r="M288" s="16">
        <f>(D288*6)+(E288*4)</f>
        <v/>
      </c>
      <c r="N288" s="17" t="inlineStr">
        <is>
          <t>Yes</t>
        </is>
      </c>
      <c r="O288" s="16" t="n"/>
      <c r="P288" s="16" t="n"/>
      <c r="Q288" s="16" t="n"/>
      <c r="R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K289" s="16" t="n"/>
      <c r="L289" s="16" t="n"/>
      <c r="M289" s="16">
        <f>(D289*6)+(E289*4)</f>
        <v/>
      </c>
      <c r="N289" s="16" t="n"/>
      <c r="O289" s="16" t="n"/>
      <c r="P289" s="16" t="n"/>
      <c r="Q289" s="16" t="n"/>
      <c r="R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I290" t="inlineStr">
        <is>
          <t>+20 ATK vs Bio</t>
        </is>
      </c>
      <c r="K290" s="16" t="n"/>
      <c r="L290" s="17" t="inlineStr">
        <is>
          <t>Yes</t>
        </is>
      </c>
      <c r="M290" s="16">
        <f>(D290*6)+(E290*4)</f>
        <v/>
      </c>
      <c r="N290" s="17" t="inlineStr">
        <is>
          <t>Yes</t>
        </is>
      </c>
      <c r="O290" s="16" t="n"/>
      <c r="P290" s="17" t="inlineStr">
        <is>
          <t>Yes</t>
        </is>
      </c>
      <c r="Q290" s="16" t="n"/>
      <c r="R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K291" s="16" t="n"/>
      <c r="L291" s="16" t="n"/>
      <c r="M291" s="16">
        <f>(D291*6)+(E291*4)</f>
        <v/>
      </c>
      <c r="N291" s="16" t="n"/>
      <c r="O291" s="16" t="n"/>
      <c r="P291" s="16" t="n"/>
      <c r="Q291" s="16" t="n"/>
      <c r="R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This turn, foe can only target this card for an attack.</t>
        </is>
      </c>
      <c r="J292" t="inlineStr">
        <is>
          <t>User confirmed targeting restriction while unit survives.</t>
        </is>
      </c>
      <c r="K292" s="16" t="n"/>
      <c r="L292" s="16" t="n"/>
      <c r="M292" s="16">
        <f>(D292*6)+(E292*4)</f>
        <v/>
      </c>
      <c r="N292" s="16" t="n"/>
      <c r="O292" s="16" t="n"/>
      <c r="P292" s="16" t="n"/>
      <c r="Q292" s="16" t="n"/>
      <c r="R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K293" s="16" t="n"/>
      <c r="L293" s="16" t="n"/>
      <c r="M293" s="16">
        <f>(D293*6)+(E293*4)</f>
        <v/>
      </c>
      <c r="N293" s="16" t="n"/>
      <c r="O293" s="16" t="n"/>
      <c r="P293" s="16" t="n"/>
      <c r="Q293" s="16" t="n"/>
      <c r="R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+10 ATK&amp;DEF vs Nature</t>
        </is>
      </c>
      <c r="J294" t="inlineStr">
        <is>
          <t>ATK&amp;DEF→ATK and DEF</t>
        </is>
      </c>
      <c r="K294" s="16" t="n"/>
      <c r="L294" s="17" t="inlineStr">
        <is>
          <t>Yes</t>
        </is>
      </c>
      <c r="M294" s="16">
        <f>(D294*6)+(E294*4)</f>
        <v/>
      </c>
      <c r="N294" s="17" t="inlineStr">
        <is>
          <t>Yes</t>
        </is>
      </c>
      <c r="O294" s="16" t="n"/>
      <c r="P294" s="16" t="n"/>
      <c r="Q294" s="16" t="n"/>
      <c r="R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K295" s="16" t="n"/>
      <c r="L295" s="16" t="n"/>
      <c r="M295" s="16">
        <f>(D295*6)+(E295*4)</f>
        <v/>
      </c>
      <c r="N295" s="16" t="n"/>
      <c r="O295" s="16" t="n"/>
      <c r="P295" s="16" t="n"/>
      <c r="Q295" s="16" t="n"/>
      <c r="R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I296" t="inlineStr">
        <is>
          <t>Attacker loses 400 Crystals. The owner gain the same amount.</t>
        </is>
      </c>
      <c r="K296" s="16" t="n"/>
      <c r="L296" s="16" t="n"/>
      <c r="M296" s="16">
        <f>(D296*6)+(E296*4)</f>
        <v/>
      </c>
      <c r="N296" s="16" t="n"/>
      <c r="O296" s="16" t="n"/>
      <c r="P296" s="16" t="n"/>
      <c r="Q296" s="16" t="n"/>
      <c r="R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K297" s="16" t="n"/>
      <c r="L297" s="16" t="n"/>
      <c r="M297" s="16">
        <f>(D297*6)+(E297*4)</f>
        <v/>
      </c>
      <c r="N297" s="16" t="n"/>
      <c r="O297" s="16" t="n"/>
      <c r="P297" s="16" t="n"/>
      <c r="Q297" s="16" t="n"/>
      <c r="R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K298" s="16" t="n"/>
      <c r="L298" s="16" t="n"/>
      <c r="M298" s="16">
        <f>(D298*6)+(E298*4)</f>
        <v/>
      </c>
      <c r="N298" s="16" t="n"/>
      <c r="O298" s="16" t="n"/>
      <c r="P298" s="16" t="n"/>
      <c r="Q298" s="16" t="n"/>
      <c r="R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If this card battles, foe’s next attack must target a face-down card</t>
        </is>
      </c>
      <c r="J299" t="inlineStr">
        <is>
          <t>wording polish</t>
        </is>
      </c>
      <c r="K299" s="16" t="n"/>
      <c r="L299" s="16" t="n"/>
      <c r="M299" s="16">
        <f>(D299*6)+(E299*4)</f>
        <v/>
      </c>
      <c r="N299" s="16" t="n"/>
      <c r="O299" s="16" t="n"/>
      <c r="P299" s="16" t="n"/>
      <c r="Q299" s="16" t="n"/>
      <c r="R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If this card defended, flip a coin. If head, turn ends immediately</t>
        </is>
      </c>
      <c r="J300" t="inlineStr">
        <is>
          <t>Head→Heads</t>
        </is>
      </c>
      <c r="K300" s="16" t="n"/>
      <c r="L300" s="16" t="n"/>
      <c r="M300" s="16">
        <f>(D300*6)+(E300*4)</f>
        <v/>
      </c>
      <c r="N300" s="16" t="n"/>
      <c r="O300" s="16" t="n"/>
      <c r="P300" s="16" t="n"/>
      <c r="Q300" s="16" t="n"/>
      <c r="R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K301" s="16" t="n"/>
      <c r="L301" s="16" t="n"/>
      <c r="M301" s="16">
        <f>(D301*6)+(E301*4)</f>
        <v/>
      </c>
      <c r="N301" s="16" t="n"/>
      <c r="O301" s="16" t="n"/>
      <c r="P301" s="16" t="n"/>
      <c r="Q301" s="16" t="n"/>
      <c r="R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K302" s="16" t="n"/>
      <c r="L302" s="17" t="inlineStr">
        <is>
          <t>Yes</t>
        </is>
      </c>
      <c r="M302" s="16">
        <f>(D302*6)+(E302*4)</f>
        <v/>
      </c>
      <c r="N302" s="17" t="inlineStr">
        <is>
          <t>Yes</t>
        </is>
      </c>
      <c r="O302" s="16" t="n"/>
      <c r="P302" s="16" t="n"/>
      <c r="Q302" s="16" t="n"/>
      <c r="R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Once, after defended: -40 DEF,+40 ATK permanently.</t>
        </is>
      </c>
      <c r="J303" t="inlineStr">
        <is>
          <t>wording polish</t>
        </is>
      </c>
      <c r="K303" s="16" t="n"/>
      <c r="L303" s="17" t="inlineStr">
        <is>
          <t>Yes</t>
        </is>
      </c>
      <c r="M303" s="16">
        <f>(D303*6)+(E303*4)</f>
        <v/>
      </c>
      <c r="N303" s="17" t="inlineStr">
        <is>
          <t>Yes</t>
        </is>
      </c>
      <c r="O303" s="16" t="n"/>
      <c r="P303" s="16" t="n"/>
      <c r="Q303" s="17" t="inlineStr">
        <is>
          <t>Yes</t>
        </is>
      </c>
      <c r="R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K304" s="16" t="n"/>
      <c r="L304" s="16" t="n"/>
      <c r="M304" s="16">
        <f>(D304*6)+(E304*4)</f>
        <v/>
      </c>
      <c r="N304" s="16" t="n"/>
      <c r="O304" s="16" t="n"/>
      <c r="P304" s="16" t="n"/>
      <c r="Q304" s="16" t="n"/>
      <c r="R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Without Mutagen Flag : -10 ATK permanently at the end of their turn.</t>
        </is>
      </c>
      <c r="J305" t="inlineStr">
        <is>
          <t>wording polish</t>
        </is>
      </c>
      <c r="K305" s="16" t="n"/>
      <c r="L305" s="17" t="inlineStr">
        <is>
          <t>Yes</t>
        </is>
      </c>
      <c r="M305" s="16">
        <f>(D305*6)+(E305*4)</f>
        <v/>
      </c>
      <c r="N305" s="17" t="inlineStr">
        <is>
          <t>Yes</t>
        </is>
      </c>
      <c r="O305" s="16" t="n"/>
      <c r="P305" s="16" t="n"/>
      <c r="Q305" s="17" t="inlineStr">
        <is>
          <t>Yes</t>
        </is>
      </c>
      <c r="R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K306" s="16" t="n"/>
      <c r="L306" s="16" t="n"/>
      <c r="M306" s="16">
        <f>(D306*6)+(E306*4)</f>
        <v/>
      </c>
      <c r="N306" s="16" t="n"/>
      <c r="O306" s="16" t="n"/>
      <c r="P306" s="16" t="n"/>
      <c r="Q306" s="16" t="n"/>
      <c r="R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K307" s="16" t="n"/>
      <c r="L307" s="16" t="n"/>
      <c r="M307" s="16">
        <f>(D307*6)+(E307*4)</f>
        <v/>
      </c>
      <c r="N307" s="16" t="n"/>
      <c r="O307" s="16" t="n"/>
      <c r="P307" s="16" t="n"/>
      <c r="Q307" s="16" t="n"/>
      <c r="R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Start of their turn: Flip a coin. Head: put Venom Flag on 1 exposed card. Tail: put Mutagen Flag on any card.</t>
        </is>
      </c>
      <c r="J308" t="inlineStr">
        <is>
          <t>Synced to implemented rule; choose unit before coin; units only; grammar.</t>
        </is>
      </c>
      <c r="K308" s="16" t="n"/>
      <c r="L308" s="17" t="inlineStr">
        <is>
          <t>Yes</t>
        </is>
      </c>
      <c r="M308" s="16">
        <f>(D308*6)+(E308*4)</f>
        <v/>
      </c>
      <c r="N308" s="17" t="inlineStr">
        <is>
          <t>Yes</t>
        </is>
      </c>
      <c r="O308" s="16" t="n"/>
      <c r="P308" s="16" t="n"/>
      <c r="Q308" s="17" t="inlineStr">
        <is>
          <t>Yes</t>
        </is>
      </c>
      <c r="R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K309" s="16" t="n"/>
      <c r="L309" s="16" t="n"/>
      <c r="M309" s="16">
        <f>(D309*6)+(E309*4)</f>
        <v/>
      </c>
      <c r="N309" s="16" t="n"/>
      <c r="O309" s="16" t="n"/>
      <c r="P309" s="16" t="n"/>
      <c r="Q309" s="16" t="n"/>
      <c r="R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K310" s="16" t="n"/>
      <c r="L310" s="16" t="n"/>
      <c r="M310" s="16">
        <f>(D310*6)+(E310*4)</f>
        <v/>
      </c>
      <c r="N310" s="16" t="n"/>
      <c r="O310" s="16" t="n"/>
      <c r="P310" s="16" t="n"/>
      <c r="Q310" s="16" t="n"/>
      <c r="R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K311" s="16" t="n"/>
      <c r="L311" s="16" t="n"/>
      <c r="M311" s="16">
        <f>(D311*6)+(E311*4)</f>
        <v/>
      </c>
      <c r="N311" s="16" t="n"/>
      <c r="O311" s="16" t="n"/>
      <c r="P311" s="16" t="n"/>
      <c r="Q311" s="16" t="n"/>
      <c r="R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Once, this card can attack twice, but lose 30 ATK at the end of turn.</t>
        </is>
      </c>
      <c r="J312" t="inlineStr">
        <is>
          <t>wording polish</t>
        </is>
      </c>
      <c r="K312" s="16" t="n"/>
      <c r="L312" s="16" t="n"/>
      <c r="M312" s="16">
        <f>(D312*6)+(E312*4)</f>
        <v/>
      </c>
      <c r="N312" s="16" t="n"/>
      <c r="O312" s="16" t="n"/>
      <c r="P312" s="16" t="n"/>
      <c r="Q312" s="16" t="n"/>
      <c r="R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K313" s="16" t="n"/>
      <c r="L313" s="16" t="n"/>
      <c r="M313" s="16">
        <f>(D313*6)+(E313*4)</f>
        <v/>
      </c>
      <c r="N313" s="16" t="n"/>
      <c r="O313" s="16" t="n"/>
      <c r="P313" s="16" t="n"/>
      <c r="Q313" s="16" t="n"/>
      <c r="R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K314" s="16" t="n"/>
      <c r="L314" s="16" t="n"/>
      <c r="M314" s="16">
        <f>(D314*6)+(E314*4)</f>
        <v/>
      </c>
      <c r="N314" s="16" t="n"/>
      <c r="O314" s="16" t="n"/>
      <c r="P314" s="16" t="n"/>
      <c r="Q314" s="16" t="n"/>
      <c r="R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K315" s="16" t="n"/>
      <c r="L315" s="16" t="n"/>
      <c r="M315" s="16">
        <f>(D315*6)+(E315*4)</f>
        <v/>
      </c>
      <c r="N315" s="16" t="n"/>
      <c r="O315" s="16" t="n"/>
      <c r="P315" s="16" t="n"/>
      <c r="Q315" s="16" t="n"/>
      <c r="R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After successfully attack, flip a coin, if head, gain 20 Crystal</t>
        </is>
      </c>
      <c r="J316" t="inlineStr">
        <is>
          <t>Head→Heads</t>
        </is>
      </c>
      <c r="K316" s="16" t="n"/>
      <c r="L316" s="16" t="n"/>
      <c r="M316" s="16">
        <f>(D316*6)+(E316*4)</f>
        <v/>
      </c>
      <c r="N316" s="16" t="n"/>
      <c r="O316" s="16" t="n"/>
      <c r="P316" s="16" t="n"/>
      <c r="Q316" s="16" t="n"/>
      <c r="R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 Reckoning, +20 ATK&amp;DEF until this turn ends, but all ally units lose 20 ATK&amp;DEF until this turn ends</t>
        </is>
      </c>
      <c r="J317" t="inlineStr">
        <is>
          <t>ATK&amp;DEF→ATK and DEF</t>
        </is>
      </c>
      <c r="K317" s="16" t="n"/>
      <c r="L317" s="16" t="n"/>
      <c r="M317" s="16">
        <f>(D317*6)+(E317*4)</f>
        <v/>
      </c>
      <c r="N317" s="16" t="n"/>
      <c r="O317" s="16" t="n"/>
      <c r="P317" s="16" t="n"/>
      <c r="Q317" s="16" t="n"/>
      <c r="R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K318" s="16" t="n"/>
      <c r="L318" s="16" t="n"/>
      <c r="M318" s="16">
        <f>(D318*6)+(E318*4)</f>
        <v/>
      </c>
      <c r="N318" s="16" t="n"/>
      <c r="O318" s="16" t="n"/>
      <c r="P318" s="16" t="n"/>
      <c r="Q318" s="16" t="n"/>
      <c r="R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At their turn’s end, foe lose 300 Crystals for each Mutagen flag on the field</t>
        </is>
      </c>
      <c r="J319" t="inlineStr">
        <is>
          <t>wording polish</t>
        </is>
      </c>
      <c r="K319" s="16" t="n"/>
      <c r="L319" s="16" t="n"/>
      <c r="M319" s="16">
        <f>(D319*6)+(E319*4)</f>
        <v/>
      </c>
      <c r="N319" s="16" t="n"/>
      <c r="O319" s="16" t="n"/>
      <c r="P319" s="16" t="n"/>
      <c r="Q319" s="16" t="n"/>
      <c r="R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K320" s="16" t="n"/>
      <c r="L320" s="16" t="n"/>
      <c r="M320" s="16">
        <f>(D320*6)+(E320*4)</f>
        <v/>
      </c>
      <c r="N320" s="16" t="n"/>
      <c r="O320" s="16" t="n"/>
      <c r="P320" s="16" t="n"/>
      <c r="Q320" s="16" t="n"/>
      <c r="R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K321" s="16" t="n"/>
      <c r="L321" s="16" t="n"/>
      <c r="M321" s="16">
        <f>(D321*6)+(E321*4)</f>
        <v/>
      </c>
      <c r="N321" s="16" t="n"/>
      <c r="O321" s="16" t="n"/>
      <c r="P321" s="16" t="n"/>
      <c r="Q321" s="16" t="n"/>
      <c r="R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K322" s="16" t="n"/>
      <c r="L322" s="16" t="n"/>
      <c r="M322" s="16">
        <f>(D322*6)+(E322*4)</f>
        <v/>
      </c>
      <c r="N322" s="16" t="n"/>
      <c r="O322" s="16" t="n"/>
      <c r="P322" s="16" t="n"/>
      <c r="Q322" s="16" t="n"/>
      <c r="R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K323" s="16" t="n"/>
      <c r="L323" s="16" t="n"/>
      <c r="M323" s="16">
        <f>(D323*6)+(E323*4)</f>
        <v/>
      </c>
      <c r="N323" s="16" t="n"/>
      <c r="O323" s="16" t="n"/>
      <c r="P323" s="16" t="n"/>
      <c r="Q323" s="16" t="n"/>
      <c r="R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After this card defended successfully, the defender is not destroyed but also cannot attack ever again.</t>
        </is>
      </c>
      <c r="J324" t="inlineStr">
        <is>
          <t>User confirmed defender→attacker typo.</t>
        </is>
      </c>
      <c r="K324" s="16" t="n"/>
      <c r="L324" s="16" t="n"/>
      <c r="M324" s="16">
        <f>(D324*6)+(E324*4)</f>
        <v/>
      </c>
      <c r="N324" s="16" t="n"/>
      <c r="O324" s="16" t="n"/>
      <c r="P324" s="16" t="n"/>
      <c r="Q324" s="16" t="n"/>
      <c r="R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This card can only attack exposed cards.</t>
        </is>
      </c>
      <c r="J325" t="inlineStr">
        <is>
          <t>wording polish</t>
        </is>
      </c>
      <c r="K325" s="16" t="n"/>
      <c r="L325" s="16" t="n"/>
      <c r="M325" s="16">
        <f>(D325*6)+(E325*4)</f>
        <v/>
      </c>
      <c r="N325" s="16" t="n"/>
      <c r="O325" s="16" t="n"/>
      <c r="P325" s="16" t="n"/>
      <c r="Q325" s="16" t="n"/>
      <c r="R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K326" s="16" t="n"/>
      <c r="L326" s="16" t="n"/>
      <c r="M326" s="16">
        <f>(D326*6)+(E326*4)</f>
        <v/>
      </c>
      <c r="N326" s="16" t="n"/>
      <c r="O326" s="16" t="n"/>
      <c r="P326" s="16" t="n"/>
      <c r="Q326" s="16" t="n"/>
      <c r="R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K327" s="16" t="n"/>
      <c r="L327" s="16" t="n"/>
      <c r="M327" s="16">
        <f>(D327*6)+(E327*4)</f>
        <v/>
      </c>
      <c r="N327" s="16" t="n"/>
      <c r="O327" s="16" t="n"/>
      <c r="P327" s="16" t="n"/>
      <c r="Q327" s="16" t="n"/>
      <c r="R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Once exposed, destroy it and the end of this turn</t>
        </is>
      </c>
      <c r="J328" t="inlineStr">
        <is>
          <t>wording polish</t>
        </is>
      </c>
      <c r="K328" s="16" t="n"/>
      <c r="L328" s="17" t="inlineStr">
        <is>
          <t>Yes</t>
        </is>
      </c>
      <c r="M328" s="16">
        <f>(D328*6)+(E328*4)</f>
        <v/>
      </c>
      <c r="N328" s="17" t="inlineStr">
        <is>
          <t>Yes</t>
        </is>
      </c>
      <c r="O328" s="16" t="n"/>
      <c r="P328" s="16" t="n"/>
      <c r="Q328" s="17" t="inlineStr">
        <is>
          <t>Yes</t>
        </is>
      </c>
      <c r="R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This card is not affected by 0 cost traps</t>
        </is>
      </c>
      <c r="J329" t="inlineStr">
        <is>
          <t>0 cost→0-cost</t>
        </is>
      </c>
      <c r="K329" s="16" t="n"/>
      <c r="L329" s="17" t="inlineStr">
        <is>
          <t>Yes</t>
        </is>
      </c>
      <c r="M329" s="16">
        <f>(D329*6)+(E329*4)</f>
        <v/>
      </c>
      <c r="N329" s="17" t="inlineStr">
        <is>
          <t>Yes</t>
        </is>
      </c>
      <c r="O329" s="16" t="n"/>
      <c r="P329" s="17" t="inlineStr">
        <is>
          <t>Yes</t>
        </is>
      </c>
      <c r="Q329" s="16" t="n"/>
      <c r="R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I330" t="inlineStr">
        <is>
          <t>After hitting a trap : reveal 1 foe’s cell</t>
        </is>
      </c>
      <c r="K330" s="16" t="n"/>
      <c r="L330" s="17" t="inlineStr">
        <is>
          <t>Yes</t>
        </is>
      </c>
      <c r="M330" s="16">
        <f>(D330*6)+(E330*4)</f>
        <v/>
      </c>
      <c r="N330" s="17" t="inlineStr">
        <is>
          <t>Yes</t>
        </is>
      </c>
      <c r="O330" s="16" t="n"/>
      <c r="P330" s="16" t="n"/>
      <c r="Q330" s="16" t="n"/>
      <c r="R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I331" t="inlineStr">
        <is>
          <t>After hitting a Dead End : reveal 1 foe’s cell</t>
        </is>
      </c>
      <c r="K331" s="16" t="n"/>
      <c r="L331" s="17" t="inlineStr">
        <is>
          <t>Yes</t>
        </is>
      </c>
      <c r="M331" s="16">
        <f>(D331*6)+(E331*4)</f>
        <v/>
      </c>
      <c r="N331" s="17" t="inlineStr">
        <is>
          <t>Yes</t>
        </is>
      </c>
      <c r="O331" s="16" t="n"/>
      <c r="P331" s="16" t="n"/>
      <c r="Q331" s="16" t="n"/>
      <c r="R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K332" s="16" t="n"/>
      <c r="L332" s="16" t="n"/>
      <c r="M332" s="16">
        <f>(D332*6)+(E332*4)</f>
        <v/>
      </c>
      <c r="N332" s="16" t="n"/>
      <c r="O332" s="16" t="n"/>
      <c r="P332" s="16" t="n"/>
      <c r="Q332" s="16" t="n"/>
      <c r="R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K333" s="16" t="n"/>
      <c r="L333" s="16" t="n"/>
      <c r="M333" s="16">
        <f>(D333*6)+(E333*4)</f>
        <v/>
      </c>
      <c r="N333" s="16" t="n"/>
      <c r="O333" s="16" t="n"/>
      <c r="P333" s="16" t="n"/>
      <c r="Q333" s="16" t="n"/>
      <c r="R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K334" s="16" t="n"/>
      <c r="L334" s="16" t="n"/>
      <c r="M334" s="16">
        <f>(D334*6)+(E334*4)</f>
        <v/>
      </c>
      <c r="N334" s="16" t="n"/>
      <c r="O334" s="16" t="n"/>
      <c r="P334" s="16" t="n"/>
      <c r="Q334" s="16" t="n"/>
      <c r="R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K335" s="16" t="n"/>
      <c r="L335" s="16" t="n"/>
      <c r="M335" s="16">
        <f>(D335*6)+(E335*4)</f>
        <v/>
      </c>
      <c r="N335" s="16" t="n"/>
      <c r="O335" s="16" t="n"/>
      <c r="P335" s="16" t="n"/>
      <c r="Q335" s="16" t="n"/>
      <c r="R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K336" s="16" t="n"/>
      <c r="L336" s="16" t="n"/>
      <c r="M336" s="16">
        <f>(D336*6)+(E336*4)</f>
        <v/>
      </c>
      <c r="N336" s="16" t="n"/>
      <c r="O336" s="16" t="n"/>
      <c r="P336" s="16" t="n"/>
      <c r="Q336" s="16" t="n"/>
      <c r="R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K337" s="16" t="n"/>
      <c r="L337" s="16" t="n"/>
      <c r="M337" s="16">
        <f>(D337*6)+(E337*4)</f>
        <v/>
      </c>
      <c r="N337" s="16" t="n"/>
      <c r="O337" s="16" t="n"/>
      <c r="P337" s="16" t="n"/>
      <c r="Q337" s="16" t="n"/>
      <c r="R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K338" s="16" t="n"/>
      <c r="L338" s="16" t="n"/>
      <c r="M338" s="16">
        <f>(D338*6)+(E338*4)</f>
        <v/>
      </c>
      <c r="N338" s="16" t="n"/>
      <c r="O338" s="16" t="n"/>
      <c r="P338" s="16" t="n"/>
      <c r="Q338" s="16" t="n"/>
      <c r="R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K339" s="16" t="n"/>
      <c r="L339" s="16" t="n"/>
      <c r="M339" s="16">
        <f>(D339*6)+(E339*4)</f>
        <v/>
      </c>
      <c r="N339" s="16" t="n"/>
      <c r="O339" s="16" t="n"/>
      <c r="P339" s="16" t="n"/>
      <c r="Q339" s="16" t="n"/>
      <c r="R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K340" s="16" t="n"/>
      <c r="L340" s="16" t="n"/>
      <c r="M340" s="16">
        <f>(D340*6)+(E340*4)</f>
        <v/>
      </c>
      <c r="N340" s="16" t="n"/>
      <c r="O340" s="16" t="n"/>
      <c r="P340" s="16" t="n"/>
      <c r="Q340" s="16" t="n"/>
      <c r="R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I341" t="inlineStr">
        <is>
          <t>Each time foe’s cell got revealed: gain 40 Crystals.</t>
        </is>
      </c>
      <c r="K341" s="16" t="n"/>
      <c r="L341" s="17" t="inlineStr">
        <is>
          <t>Yes</t>
        </is>
      </c>
      <c r="M341" s="16">
        <f>(D341*6)+(E341*4)</f>
        <v/>
      </c>
      <c r="N341" s="17" t="inlineStr">
        <is>
          <t>Yes</t>
        </is>
      </c>
      <c r="O341" s="16" t="n"/>
      <c r="P341" s="16" t="n"/>
      <c r="Q341" s="17" t="inlineStr">
        <is>
          <t>Yes</t>
        </is>
      </c>
      <c r="R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If no other exposed ally Moon card, -10 ATK</t>
        </is>
      </c>
      <c r="J342" t="inlineStr">
        <is>
          <t>wording polish</t>
        </is>
      </c>
      <c r="K342" s="16" t="n"/>
      <c r="L342" s="17" t="inlineStr">
        <is>
          <t>Yes</t>
        </is>
      </c>
      <c r="M342" s="16">
        <f>(D342*6)+(E342*4)</f>
        <v/>
      </c>
      <c r="N342" s="17" t="inlineStr">
        <is>
          <t>Yes</t>
        </is>
      </c>
      <c r="O342" s="16" t="n"/>
      <c r="P342" s="17" t="inlineStr">
        <is>
          <t>Yes</t>
        </is>
      </c>
      <c r="Q342" s="16" t="n"/>
      <c r="R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If this card attacks, flip a coin. If head, this card can attack twice.</t>
        </is>
      </c>
      <c r="J343" t="inlineStr">
        <is>
          <t>Head→Heads</t>
        </is>
      </c>
      <c r="K343" s="16" t="n"/>
      <c r="L343" s="17" t="inlineStr">
        <is>
          <t>Yes</t>
        </is>
      </c>
      <c r="M343" s="16">
        <f>(D343*6)+(E343*4)</f>
        <v/>
      </c>
      <c r="N343" s="17" t="inlineStr">
        <is>
          <t>Yes</t>
        </is>
      </c>
      <c r="O343" s="16" t="n"/>
      <c r="P343" s="16" t="n"/>
      <c r="Q343" s="17" t="inlineStr">
        <is>
          <t>Yes</t>
        </is>
      </c>
      <c r="R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K344" s="16" t="n"/>
      <c r="L344" s="16" t="n"/>
      <c r="M344" s="16">
        <f>(D344*6)+(E344*4)</f>
        <v/>
      </c>
      <c r="N344" s="16" t="n"/>
      <c r="O344" s="16" t="n"/>
      <c r="P344" s="16" t="n"/>
      <c r="Q344" s="16" t="n"/>
      <c r="R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K345" s="16" t="n"/>
      <c r="L345" s="16" t="n"/>
      <c r="M345" s="16">
        <f>(D345*6)+(E345*4)</f>
        <v/>
      </c>
      <c r="N345" s="16" t="n"/>
      <c r="O345" s="16" t="n"/>
      <c r="P345" s="16" t="n"/>
      <c r="Q345" s="16" t="n"/>
      <c r="R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K346" s="16" t="n"/>
      <c r="L346" s="16" t="n"/>
      <c r="M346" s="16">
        <f>(D346*6)+(E346*4)</f>
        <v/>
      </c>
      <c r="N346" s="16" t="n"/>
      <c r="O346" s="16" t="n"/>
      <c r="P346" s="16" t="n"/>
      <c r="Q346" s="16" t="n"/>
      <c r="R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K347" s="16" t="n"/>
      <c r="L347" s="16" t="n"/>
      <c r="M347" s="16">
        <f>(D347*6)+(E347*4)</f>
        <v/>
      </c>
      <c r="N347" s="16" t="n"/>
      <c r="O347" s="16" t="n"/>
      <c r="P347" s="16" t="n"/>
      <c r="Q347" s="16" t="n"/>
      <c r="R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This card is not affected by 0 cost traps</t>
        </is>
      </c>
      <c r="J348" t="inlineStr">
        <is>
          <t>0 cost→0-cost</t>
        </is>
      </c>
      <c r="K348" s="16" t="n"/>
      <c r="L348" s="17" t="inlineStr">
        <is>
          <t>Yes</t>
        </is>
      </c>
      <c r="M348" s="16">
        <f>(D348*6)+(E348*4)</f>
        <v/>
      </c>
      <c r="N348" s="17" t="inlineStr">
        <is>
          <t>Yes</t>
        </is>
      </c>
      <c r="O348" s="16" t="n"/>
      <c r="P348" s="16" t="n"/>
      <c r="Q348" s="16" t="n"/>
      <c r="R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K349" s="16" t="n"/>
      <c r="L349" s="16" t="n"/>
      <c r="M349" s="16">
        <f>(D349*6)+(E349*4)</f>
        <v/>
      </c>
      <c r="N349" s="16" t="n"/>
      <c r="O349" s="16" t="n"/>
      <c r="P349" s="16" t="n"/>
      <c r="Q349" s="16" t="n"/>
      <c r="R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K350" s="16" t="n"/>
      <c r="L350" s="16" t="n"/>
      <c r="M350" s="16">
        <f>(D350*6)+(E350*4)</f>
        <v/>
      </c>
      <c r="N350" s="16" t="n"/>
      <c r="O350" s="16" t="n"/>
      <c r="P350" s="16" t="n"/>
      <c r="Q350" s="16" t="n"/>
      <c r="R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I351" t="inlineStr">
        <is>
          <t>When this card attacks a revealed card, it can attack a second time this turn (once per turn).</t>
        </is>
      </c>
      <c r="K351" s="16" t="n"/>
      <c r="L351" s="17" t="inlineStr">
        <is>
          <t>Yes</t>
        </is>
      </c>
      <c r="M351" s="16">
        <f>(D351*6)+(E351*4)</f>
        <v/>
      </c>
      <c r="N351" s="17" t="inlineStr">
        <is>
          <t>Yes</t>
        </is>
      </c>
      <c r="O351" s="16" t="n"/>
      <c r="P351" s="16" t="n"/>
      <c r="Q351" s="16" t="n"/>
      <c r="R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I352" t="inlineStr">
        <is>
          <t>At their turn’s end, if this card survived, reveal one random foe cell.</t>
        </is>
      </c>
      <c r="K352" s="16" t="n"/>
      <c r="L352" s="16" t="n"/>
      <c r="M352" s="16">
        <f>(D352*6)+(E352*4)</f>
        <v/>
      </c>
      <c r="N352" s="16" t="n"/>
      <c r="O352" s="16" t="n"/>
      <c r="P352" s="16" t="n"/>
      <c r="Q352" s="16" t="n"/>
      <c r="R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Once, in battle calculation, destroy the defender. If no another ally Moon card, also destroy this card.</t>
        </is>
      </c>
      <c r="J353" t="inlineStr">
        <is>
          <t>wording polish</t>
        </is>
      </c>
      <c r="K353" s="16" t="n"/>
      <c r="L353" s="16" t="n"/>
      <c r="M353" s="16">
        <f>(D353*6)+(E353*4)</f>
        <v/>
      </c>
      <c r="N353" s="16" t="n"/>
      <c r="O353" s="16" t="n"/>
      <c r="P353" s="16" t="n"/>
      <c r="Q353" s="16" t="n"/>
      <c r="R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K354" s="16" t="n"/>
      <c r="L354" s="16" t="n"/>
      <c r="M354" s="16">
        <f>(D354*6)+(E354*4)</f>
        <v/>
      </c>
      <c r="N354" s="16" t="n"/>
      <c r="O354" s="16" t="n"/>
      <c r="P354" s="16" t="n"/>
      <c r="Q354" s="16" t="n"/>
      <c r="R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K355" s="16" t="n"/>
      <c r="L355" s="16" t="n"/>
      <c r="M355" s="16">
        <f>(D355*6)+(E355*4)</f>
        <v/>
      </c>
      <c r="N355" s="16" t="n"/>
      <c r="O355" s="16" t="n"/>
      <c r="P355" s="16" t="n"/>
      <c r="Q355" s="16" t="n"/>
      <c r="R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K356" s="16" t="n"/>
      <c r="L356" s="16" t="n"/>
      <c r="M356" s="16">
        <f>(D356*6)+(E356*4)</f>
        <v/>
      </c>
      <c r="N356" s="16" t="n"/>
      <c r="O356" s="16" t="n"/>
      <c r="P356" s="16" t="n"/>
      <c r="Q356" s="16" t="n"/>
      <c r="R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Before Reckoning, the owner can choose to destroy 1 trap card on its side to gain +20 ATK&amp;DEF</t>
        </is>
      </c>
      <c r="J357" t="inlineStr">
        <is>
          <t>ATK&amp;DEF→ATK and DEF</t>
        </is>
      </c>
      <c r="K357" s="16" t="n"/>
      <c r="L357" s="16" t="n"/>
      <c r="M357" s="16">
        <f>(D357*6)+(E357*4)</f>
        <v/>
      </c>
      <c r="N357" s="16" t="n"/>
      <c r="O357" s="16" t="n"/>
      <c r="P357" s="16" t="n"/>
      <c r="Q357" s="16" t="n"/>
      <c r="R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Once exposed, gain 50 Crystals per card in their void</t>
        </is>
      </c>
      <c r="J358" t="inlineStr">
        <is>
          <t>wording polish</t>
        </is>
      </c>
      <c r="K358" s="16" t="n"/>
      <c r="L358" s="16" t="n"/>
      <c r="M358" s="16">
        <f>(D358*6)+(E358*4)</f>
        <v/>
      </c>
      <c r="N358" s="16" t="n"/>
      <c r="O358" s="16" t="n"/>
      <c r="P358" s="16" t="n"/>
      <c r="Q358" s="16" t="n"/>
      <c r="R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K359" s="16" t="n"/>
      <c r="L359" s="16" t="n"/>
      <c r="M359" s="16">
        <f>(D359*6)+(E359*4)</f>
        <v/>
      </c>
      <c r="N359" s="16" t="n"/>
      <c r="O359" s="16" t="n"/>
      <c r="P359" s="16" t="n"/>
      <c r="Q359" s="16" t="n"/>
      <c r="R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K360" s="16" t="n"/>
      <c r="L360" s="16" t="n"/>
      <c r="M360" s="16">
        <f>(D360*6)+(E360*4)</f>
        <v/>
      </c>
      <c r="N360" s="16" t="n"/>
      <c r="O360" s="16" t="n"/>
      <c r="P360" s="16" t="n"/>
      <c r="Q360" s="16" t="n"/>
      <c r="R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K361" s="16" t="n"/>
      <c r="L361" s="16" t="n"/>
      <c r="M361" s="16">
        <f>(D361*6)+(E361*4)</f>
        <v/>
      </c>
      <c r="N361" s="16" t="n"/>
      <c r="O361" s="16" t="n"/>
      <c r="P361" s="16" t="n"/>
      <c r="Q361" s="16" t="n"/>
      <c r="R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K362" s="16" t="n"/>
      <c r="L362" s="16" t="n"/>
      <c r="M362" s="16">
        <f>(D362*6)+(E362*4)</f>
        <v/>
      </c>
      <c r="N362" s="16" t="n"/>
      <c r="O362" s="16" t="n"/>
      <c r="P362" s="16" t="n"/>
      <c r="Q362" s="16" t="n"/>
      <c r="R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Negate all zero cost trap on both player’s field</t>
        </is>
      </c>
      <c r="J363" t="inlineStr">
        <is>
          <t>User confirmed negate=disable (not destroy/immune).</t>
        </is>
      </c>
      <c r="K363" s="16" t="n"/>
      <c r="L363" s="17" t="inlineStr">
        <is>
          <t>Yes</t>
        </is>
      </c>
      <c r="M363" s="16">
        <f>(D363*6)+(E363*4)</f>
        <v/>
      </c>
      <c r="N363" s="17" t="inlineStr">
        <is>
          <t>Yes</t>
        </is>
      </c>
      <c r="O363" s="16" t="n"/>
      <c r="P363" s="16" t="n"/>
      <c r="Q363" s="17" t="inlineStr">
        <is>
          <t>Yes</t>
        </is>
      </c>
      <c r="R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K364" s="16" t="n"/>
      <c r="L364" s="16" t="n"/>
      <c r="M364" s="16">
        <f>(D364*6)+(E364*4)</f>
        <v/>
      </c>
      <c r="N364" s="16" t="n"/>
      <c r="O364" s="16" t="n"/>
      <c r="P364" s="16" t="n"/>
      <c r="Q364" s="16" t="n"/>
      <c r="R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K365" s="16" t="n"/>
      <c r="L365" s="16" t="n"/>
      <c r="M365" s="16">
        <f>(D365*6)+(E365*4)</f>
        <v/>
      </c>
      <c r="N365" s="16" t="n"/>
      <c r="O365" s="16" t="n"/>
      <c r="P365" s="16" t="n"/>
      <c r="Q365" s="16" t="n"/>
      <c r="R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K366" s="16" t="n"/>
      <c r="L366" s="16" t="n"/>
      <c r="M366" s="16">
        <f>(D366*6)+(E366*4)</f>
        <v/>
      </c>
      <c r="N366" s="16" t="n"/>
      <c r="O366" s="16" t="n"/>
      <c r="P366" s="16" t="n"/>
      <c r="Q366" s="16" t="n"/>
      <c r="R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I367" t="inlineStr">
        <is>
          <t>+20 ATK if attacking the 3x3 center zone. +40 more ATK if attacking the very center cell.</t>
        </is>
      </c>
      <c r="K367" s="16" t="n"/>
      <c r="L367" s="17" t="inlineStr">
        <is>
          <t>Yes</t>
        </is>
      </c>
      <c r="M367" s="16">
        <f>(D367*6)+(E367*4)</f>
        <v/>
      </c>
      <c r="N367" s="17" t="inlineStr">
        <is>
          <t>Yes</t>
        </is>
      </c>
      <c r="O367" s="16" t="n"/>
      <c r="P367" s="16" t="n"/>
      <c r="Q367" s="16" t="n"/>
      <c r="R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K368" s="16" t="n"/>
      <c r="L368" s="16" t="n"/>
      <c r="M368" s="16">
        <f>(D368*6)+(E368*4)</f>
        <v/>
      </c>
      <c r="N368" s="16" t="n"/>
      <c r="O368" s="16" t="n"/>
      <c r="P368" s="16" t="n"/>
      <c r="Q368" s="16" t="n"/>
      <c r="R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This card is not affected by 0 cost traps</t>
        </is>
      </c>
      <c r="J369" t="inlineStr">
        <is>
          <t>0 cost→0-cost</t>
        </is>
      </c>
      <c r="K369" s="16" t="n"/>
      <c r="L369" s="16" t="n"/>
      <c r="M369" s="16">
        <f>(D369*6)+(E369*4)</f>
        <v/>
      </c>
      <c r="N369" s="16" t="n"/>
      <c r="O369" s="16" t="n"/>
      <c r="P369" s="16" t="n"/>
      <c r="Q369" s="16" t="n"/>
      <c r="R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K370" s="16" t="n"/>
      <c r="L370" s="16" t="n"/>
      <c r="M370" s="16">
        <f>(D370*6)+(E370*4)</f>
        <v/>
      </c>
      <c r="N370" s="16" t="n"/>
      <c r="O370" s="16" t="n"/>
      <c r="P370" s="16" t="n"/>
      <c r="Q370" s="16" t="n"/>
      <c r="R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This card is not affected by  traps</t>
        </is>
      </c>
      <c r="J371" t="inlineStr">
        <is>
          <t>Shortened immunity wording.</t>
        </is>
      </c>
      <c r="K371" s="16" t="n"/>
      <c r="L371" s="16" t="n"/>
      <c r="M371" s="16">
        <f>(D371*6)+(E371*4)</f>
        <v/>
      </c>
      <c r="N371" s="16" t="n"/>
      <c r="O371" s="16" t="n"/>
      <c r="P371" s="16" t="n"/>
      <c r="Q371" s="16" t="n"/>
      <c r="R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K372" s="16" t="n"/>
      <c r="L372" s="17" t="inlineStr">
        <is>
          <t>Yes</t>
        </is>
      </c>
      <c r="M372" s="16">
        <f>(D372*6)+(E372*4)</f>
        <v/>
      </c>
      <c r="N372" s="17" t="inlineStr">
        <is>
          <t>Yes</t>
        </is>
      </c>
      <c r="O372" s="16" t="n"/>
      <c r="P372" s="17" t="inlineStr">
        <is>
          <t>Yes</t>
        </is>
      </c>
      <c r="Q372" s="16" t="n"/>
      <c r="R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K373" s="16" t="n"/>
      <c r="L373" s="16" t="n"/>
      <c r="M373" s="16">
        <f>(D373*6)+(E373*4)</f>
        <v/>
      </c>
      <c r="N373" s="16" t="n"/>
      <c r="O373" s="16" t="n"/>
      <c r="P373" s="16" t="n"/>
      <c r="Q373" s="16" t="n"/>
      <c r="R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K374" s="16" t="n"/>
      <c r="L374" s="16" t="n"/>
      <c r="M374" s="16">
        <f>(D374*6)+(E374*4)</f>
        <v/>
      </c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K375" s="16" t="n"/>
      <c r="L375" s="16" t="n"/>
      <c r="M375" s="16">
        <f>(D375*6)+(E375*4)</f>
        <v/>
      </c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K376" s="16" t="n"/>
      <c r="L376" s="16" t="n"/>
      <c r="M376" s="16">
        <f>(D376*6)+(E376*4)</f>
        <v/>
      </c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K377" s="16" t="n"/>
      <c r="L377" s="16" t="n"/>
      <c r="M377" s="16">
        <f>(D377*6)+(E377*4)</f>
        <v/>
      </c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K378" s="16" t="n"/>
      <c r="L378" s="16" t="n"/>
      <c r="M378" s="16">
        <f>(D378*6)+(E378*4)</f>
        <v/>
      </c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K379" s="16" t="n"/>
      <c r="L379" s="16" t="n"/>
      <c r="M379" s="16">
        <f>(D379*6)+(E379*4)</f>
        <v/>
      </c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K380" s="16" t="n"/>
      <c r="L380" s="16" t="n"/>
      <c r="M380" s="16">
        <f>(D380*6)+(E380*4)</f>
        <v/>
      </c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K381" s="16" t="n"/>
      <c r="L381" s="16" t="n"/>
      <c r="M381" s="16">
        <f>(D381*6)+(E381*4)</f>
        <v/>
      </c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K382" s="16" t="n"/>
      <c r="L382" s="16" t="n"/>
      <c r="M382" s="16">
        <f>(D382*6)+(E382*4)</f>
        <v/>
      </c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K383" s="16" t="n"/>
      <c r="L383" s="16" t="n"/>
      <c r="M383" s="16">
        <f>(D383*6)+(E383*4)</f>
        <v/>
      </c>
      <c r="N383" s="16" t="n"/>
      <c r="O383" s="16" t="n"/>
      <c r="P383" s="16" t="n"/>
      <c r="Q383" s="16" t="n"/>
      <c r="R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K384" s="16" t="n"/>
      <c r="L384" s="16" t="n"/>
      <c r="M384" s="16">
        <f>(D384*6)+(E384*4)</f>
        <v/>
      </c>
      <c r="N384" s="16" t="n"/>
      <c r="O384" s="16" t="n"/>
      <c r="P384" s="16" t="n"/>
      <c r="Q384" s="16" t="n"/>
      <c r="R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K385" s="16" t="n"/>
      <c r="L385" s="16" t="n"/>
      <c r="M385" s="16">
        <f>(D385*6)+(E385*4)</f>
        <v/>
      </c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K386" s="16" t="n"/>
      <c r="L386" s="16" t="n"/>
      <c r="M386" s="16">
        <f>(D386*6)+(E386*4)</f>
        <v/>
      </c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K387" s="16" t="n"/>
      <c r="L387" s="16" t="n"/>
      <c r="M387" s="16">
        <f>(D387*6)+(E387*4)</f>
        <v/>
      </c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K388" s="16" t="n"/>
      <c r="L388" s="16" t="n"/>
      <c r="M388" s="16">
        <f>(D388*6)+(E388*4)</f>
        <v/>
      </c>
      <c r="N388" s="16" t="n"/>
      <c r="O388" s="16" t="n"/>
      <c r="P388" s="16" t="n"/>
      <c r="Q388" s="16" t="n"/>
      <c r="R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In Reckoning, the owner can pay 100 Crystal for +10 ATK bonus</t>
        </is>
      </c>
      <c r="J389" t="inlineStr">
        <is>
          <t>wording polish</t>
        </is>
      </c>
      <c r="K389" s="16" t="n"/>
      <c r="L389" s="17" t="inlineStr">
        <is>
          <t>Yes</t>
        </is>
      </c>
      <c r="M389" s="16">
        <f>(D389*6)+(E389*4)</f>
        <v/>
      </c>
      <c r="N389" s="17" t="inlineStr">
        <is>
          <t>Yes</t>
        </is>
      </c>
      <c r="O389" s="16" t="n"/>
      <c r="P389" s="16" t="n"/>
      <c r="Q389" s="16" t="n"/>
      <c r="R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K390" s="16" t="n"/>
      <c r="L390" s="16" t="n"/>
      <c r="M390" s="16">
        <f>(D390*6)+(E390*4)</f>
        <v/>
      </c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K391" s="16" t="n"/>
      <c r="L391" s="16" t="n"/>
      <c r="M391" s="16">
        <f>(D391*6)+(E391*4)</f>
        <v/>
      </c>
      <c r="N391" s="16" t="n"/>
      <c r="O391" s="16" t="n"/>
      <c r="P391" s="16" t="n"/>
      <c r="Q391" s="16" t="n"/>
      <c r="R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Once, +10 ATK when attack</t>
        </is>
      </c>
      <c r="J392" t="inlineStr">
        <is>
          <t>wording polish</t>
        </is>
      </c>
      <c r="K392" s="16" t="n"/>
      <c r="L392" s="17" t="inlineStr">
        <is>
          <t>Yes</t>
        </is>
      </c>
      <c r="M392" s="16">
        <f>(D392*6)+(E392*4)</f>
        <v/>
      </c>
      <c r="N392" s="17" t="inlineStr">
        <is>
          <t>Yes</t>
        </is>
      </c>
      <c r="O392" s="16" t="n"/>
      <c r="P392" s="17" t="inlineStr">
        <is>
          <t>Yes</t>
        </is>
      </c>
      <c r="Q392" s="16" t="n"/>
      <c r="R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K393" s="16" t="n"/>
      <c r="L393" s="17" t="inlineStr">
        <is>
          <t>Yes</t>
        </is>
      </c>
      <c r="M393" s="16">
        <f>(D393*6)+(E393*4)</f>
        <v/>
      </c>
      <c r="N393" s="17" t="inlineStr">
        <is>
          <t>Yes</t>
        </is>
      </c>
      <c r="O393" s="16" t="n"/>
      <c r="P393" s="16" t="n"/>
      <c r="Q393" s="16" t="n"/>
      <c r="R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+10 ATK&amp;DEF vs Non-Anima</t>
        </is>
      </c>
      <c r="J394" t="inlineStr">
        <is>
          <t>ATK&amp;DEF→ATK and DEF</t>
        </is>
      </c>
      <c r="K394" s="16" t="n"/>
      <c r="L394" s="17" t="inlineStr">
        <is>
          <t>Yes</t>
        </is>
      </c>
      <c r="M394" s="16">
        <f>(D394*6)+(E394*4)</f>
        <v/>
      </c>
      <c r="N394" s="17" t="inlineStr">
        <is>
          <t>Yes</t>
        </is>
      </c>
      <c r="O394" s="16" t="n"/>
      <c r="P394" s="16" t="n"/>
      <c r="Q394" s="17" t="inlineStr">
        <is>
          <t>Yes</t>
        </is>
      </c>
      <c r="R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I395" t="inlineStr">
        <is>
          <t>After performed attack : reveal 1 foe’s cell</t>
        </is>
      </c>
      <c r="K395" s="16" t="n"/>
      <c r="L395" s="17" t="inlineStr">
        <is>
          <t>Yes</t>
        </is>
      </c>
      <c r="M395" s="16">
        <f>(D395*6)+(E395*4)</f>
        <v/>
      </c>
      <c r="N395" s="17" t="inlineStr">
        <is>
          <t>Yes</t>
        </is>
      </c>
      <c r="O395" s="16" t="n"/>
      <c r="P395" s="16" t="n"/>
      <c r="Q395" s="16" t="n"/>
      <c r="R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+5 ATK&amp;DEF vs Arcane</t>
        </is>
      </c>
      <c r="J396" t="inlineStr">
        <is>
          <t>ATK&amp;DEF→ATK and DEF</t>
        </is>
      </c>
      <c r="K396" s="16" t="n"/>
      <c r="L396" s="17" t="inlineStr">
        <is>
          <t>Yes</t>
        </is>
      </c>
      <c r="M396" s="16">
        <f>(D396*6)+(E396*4)</f>
        <v/>
      </c>
      <c r="N396" s="17" t="inlineStr">
        <is>
          <t>Yes</t>
        </is>
      </c>
      <c r="O396" s="16" t="n"/>
      <c r="P396" s="16" t="n"/>
      <c r="Q396" s="16" t="n"/>
      <c r="R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I397" t="inlineStr">
        <is>
          <t>+5 ATK vs Chaos</t>
        </is>
      </c>
      <c r="K397" s="16" t="n"/>
      <c r="L397" s="17" t="inlineStr">
        <is>
          <t>Yes</t>
        </is>
      </c>
      <c r="M397" s="16">
        <f>(D397*6)+(E397*4)</f>
        <v/>
      </c>
      <c r="N397" s="17" t="inlineStr">
        <is>
          <t>Yes</t>
        </is>
      </c>
      <c r="O397" s="16" t="n"/>
      <c r="P397" s="16" t="n"/>
      <c r="Q397" s="16" t="n"/>
      <c r="R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I398" t="inlineStr">
        <is>
          <t>If this card attacks a unit card, the target is unable to attack until the end of their turn.</t>
        </is>
      </c>
      <c r="K398" s="16" t="n"/>
      <c r="L398" s="17" t="inlineStr">
        <is>
          <t>Yes</t>
        </is>
      </c>
      <c r="M398" s="16">
        <f>(D398*6)+(E398*4)</f>
        <v/>
      </c>
      <c r="N398" s="17" t="inlineStr">
        <is>
          <t>Yes</t>
        </is>
      </c>
      <c r="O398" s="16" t="n"/>
      <c r="P398" s="16" t="n"/>
      <c r="Q398" s="16" t="n"/>
      <c r="R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K399" s="16" t="n"/>
      <c r="L399" s="16" t="n"/>
      <c r="M399" s="16">
        <f>(D399*6)+(E399*4)</f>
        <v/>
      </c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K400" s="16" t="n"/>
      <c r="L400" s="16" t="n"/>
      <c r="M400" s="16">
        <f>(D400*6)+(E400*4)</f>
        <v/>
      </c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K401" s="16" t="n"/>
      <c r="L401" s="16" t="n"/>
      <c r="M401" s="16">
        <f>(D401*6)+(E401*4)</f>
        <v/>
      </c>
      <c r="N401" s="16" t="n"/>
      <c r="O401" s="16" t="n"/>
      <c r="P401" s="16" t="n"/>
      <c r="Q401" s="16" t="n"/>
      <c r="R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K402" s="16" t="n"/>
      <c r="L402" s="16" t="n"/>
      <c r="M402" s="16">
        <f>(D402*6)+(E402*4)</f>
        <v/>
      </c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K403" s="16" t="n"/>
      <c r="L403" s="16" t="n"/>
      <c r="M403" s="16">
        <f>(D403*6)+(E403*4)</f>
        <v/>
      </c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K404" s="16" t="n"/>
      <c r="L404" s="16" t="n"/>
      <c r="M404" s="16">
        <f>(D404*6)+(E404*4)</f>
        <v/>
      </c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K405" s="16" t="n"/>
      <c r="L405" s="16" t="n"/>
      <c r="M405" s="16">
        <f>(D405*6)+(E405*4)</f>
        <v/>
      </c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K406" s="16" t="n"/>
      <c r="L406" s="16" t="n"/>
      <c r="M406" s="16">
        <f>(D406*6)+(E406*4)</f>
        <v/>
      </c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K407" s="16" t="n"/>
      <c r="L407" s="16" t="n"/>
      <c r="M407" s="16">
        <f>(D407*6)+(E407*4)</f>
        <v/>
      </c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K408" s="16" t="n"/>
      <c r="L408" s="16" t="n"/>
      <c r="M408" s="16">
        <f>(D408*6)+(E408*4)</f>
        <v/>
      </c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K409" s="16" t="n"/>
      <c r="L409" s="16" t="n"/>
      <c r="M409" s="16">
        <f>(D409*6)+(E409*4)</f>
        <v/>
      </c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K410" s="16" t="n"/>
      <c r="L410" s="16" t="n"/>
      <c r="M410" s="16">
        <f>(D410*6)+(E410*4)</f>
        <v/>
      </c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K411" s="16" t="n"/>
      <c r="L411" s="16" t="n"/>
      <c r="M411" s="16">
        <f>(D411*6)+(E411*4)</f>
        <v/>
      </c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K412" s="16" t="n"/>
      <c r="L412" s="16" t="n"/>
      <c r="M412" s="16">
        <f>(D412*6)+(E412*4)</f>
        <v/>
      </c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K413" s="16" t="n"/>
      <c r="L413" s="16" t="n"/>
      <c r="M413" s="16">
        <f>(D413*6)+(E413*4)</f>
        <v/>
      </c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K414" s="16" t="n"/>
      <c r="L414" s="16" t="n"/>
      <c r="M414" s="16">
        <f>(D414*6)+(E414*4)</f>
        <v/>
      </c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K415" s="16" t="n"/>
      <c r="L415" s="16" t="n"/>
      <c r="M415" s="16">
        <f>(D415*6)+(E415*4)</f>
        <v/>
      </c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K416" s="16" t="n"/>
      <c r="L416" s="16" t="n"/>
      <c r="M416" s="16">
        <f>(D416*6)+(E416*4)</f>
        <v/>
      </c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K417" s="16" t="n"/>
      <c r="L417" s="16" t="n"/>
      <c r="M417" s="16">
        <f>(D417*6)+(E417*4)</f>
        <v/>
      </c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K418" s="16" t="n"/>
      <c r="L418" s="16" t="n"/>
      <c r="M418" s="16">
        <f>(D418*6)+(E418*4)</f>
        <v/>
      </c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K419" s="16" t="n"/>
      <c r="L419" s="16" t="n"/>
      <c r="M419" s="16">
        <f>(D419*6)+(E419*4)</f>
        <v/>
      </c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K420" s="16" t="n"/>
      <c r="L420" s="16" t="n"/>
      <c r="M420" s="16">
        <f>(D420*6)+(E420*4)</f>
        <v/>
      </c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K421" s="16" t="n"/>
      <c r="L421" s="16" t="n"/>
      <c r="M421" s="16">
        <f>(D421*6)+(E421*4)</f>
        <v/>
      </c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K422" s="16" t="n"/>
      <c r="L422" s="16" t="n"/>
      <c r="M422" s="16">
        <f>(D422*6)+(E422*4)</f>
        <v/>
      </c>
      <c r="N422" s="16" t="n"/>
      <c r="O422" s="16" t="n"/>
      <c r="P422" s="16" t="n"/>
      <c r="Q422" s="16" t="n"/>
      <c r="R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If this card is used for Union summon, increase the Union card’s ATK&amp;DEF by 40</t>
        </is>
      </c>
      <c r="J423" t="inlineStr">
        <is>
          <t>ATK&amp;DEF→ATK and DEF</t>
        </is>
      </c>
      <c r="K423" s="16" t="n"/>
      <c r="L423" s="16" t="n"/>
      <c r="M423" s="16">
        <f>(D423*6)+(E423*4)</f>
        <v/>
      </c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K424" s="16" t="n"/>
      <c r="L424" s="16" t="n"/>
      <c r="M424" s="16">
        <f>(D424*6)+(E424*4)</f>
        <v/>
      </c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K425" s="16" t="n"/>
      <c r="L425" s="16" t="n"/>
      <c r="M425" s="16">
        <f>(D425*6)+(E425*4)</f>
        <v/>
      </c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K426" s="16" t="n"/>
      <c r="L426" s="16" t="n"/>
      <c r="M426" s="16">
        <f>(D426*6)+(E426*4)</f>
        <v/>
      </c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K427" s="16" t="n"/>
      <c r="L427" s="16" t="n"/>
      <c r="M427" s="16">
        <f>(D427*6)+(E427*4)</f>
        <v/>
      </c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K428" s="16" t="n"/>
      <c r="L428" s="16" t="n"/>
      <c r="M428" s="16">
        <f>(D428*6)+(E428*4)</f>
        <v/>
      </c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K429" s="16" t="n"/>
      <c r="L429" s="16" t="n"/>
      <c r="M429" s="16">
        <f>(D429*6)+(E429*4)</f>
        <v/>
      </c>
      <c r="N429" s="16" t="n"/>
      <c r="O429" s="16" t="n"/>
      <c r="P429" s="16" t="n"/>
      <c r="Q429" s="16" t="n"/>
      <c r="R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K430" s="16" t="n"/>
      <c r="L430" s="16" t="n"/>
      <c r="M430" s="16">
        <f>(D430*6)+(E430*4)</f>
        <v/>
      </c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K431" s="16" t="n"/>
      <c r="L431" s="16" t="n"/>
      <c r="M431" s="16">
        <f>(D431*6)+(E431*4)</f>
        <v/>
      </c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K432" s="16" t="n"/>
      <c r="L432" s="16" t="n"/>
      <c r="M432" s="16">
        <f>(D432*6)+(E432*4)</f>
        <v/>
      </c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K433" s="16" t="n"/>
      <c r="L433" s="16" t="n"/>
      <c r="M433" s="16">
        <f>(D433*6)+(E433*4)</f>
        <v/>
      </c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K434" s="16" t="n"/>
      <c r="L434" s="16" t="n"/>
      <c r="M434" s="16">
        <f>(D434*6)+(E434*4)</f>
        <v/>
      </c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K435" s="16" t="n"/>
      <c r="L435" s="16" t="n"/>
      <c r="M435" s="16">
        <f>(D435*6)+(E435*4)</f>
        <v/>
      </c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>
        <f>(D436*6)+(E436*4)</f>
        <v/>
      </c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>
        <f>(D437*6)+(E437*4)</f>
        <v/>
      </c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>
        <f>(D438*6)+(E438*4)</f>
        <v/>
      </c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>
        <f>(D439*6)+(E439*4)</f>
        <v/>
      </c>
      <c r="N439" s="16" t="n"/>
      <c r="O439" s="16" t="n"/>
      <c r="P439" s="16" t="n"/>
      <c r="Q439" s="16" t="n"/>
      <c r="R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Cannot select unit with 0 DEF as attack target. Once, if defended, drain 35 ATK&amp;DEF</t>
        </is>
      </c>
      <c r="J440" t="inlineStr">
        <is>
          <t>ATK&amp;DEF→ATK and DEF</t>
        </is>
      </c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Old Partial Ability</t>
        </is>
      </c>
      <c r="K2" t="inlineStr">
        <is>
          <t>Old Full Ability</t>
        </is>
      </c>
      <c r="L2" t="inlineStr">
        <is>
          <t>Comment</t>
        </is>
      </c>
      <c r="M2" s="3" t="inlineStr">
        <is>
          <t>Partial Formula</t>
        </is>
      </c>
      <c r="N2" s="3" t="inlineStr">
        <is>
          <t>Full Formula</t>
        </is>
      </c>
      <c r="O2" s="3" t="inlineStr">
        <is>
          <t>Union Zone</t>
        </is>
      </c>
      <c r="P2" s="3" t="inlineStr">
        <is>
          <t>Have illustration</t>
        </is>
      </c>
      <c r="Q2" s="3" t="inlineStr">
        <is>
          <t>Demo</t>
        </is>
      </c>
      <c r="R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M3" s="15" t="inlineStr">
        <is>
          <t>1 ??? + 1 ??? + 1000 cost</t>
        </is>
      </c>
      <c r="N3" s="15" t="inlineStr">
        <is>
          <t>Gryphon + 1 Divine + 1000 cost</t>
        </is>
      </c>
      <c r="O3" s="15" t="inlineStr">
        <is>
          <t>10000
01000
00100
00010
00001</t>
        </is>
      </c>
      <c r="P3" s="15" t="inlineStr">
        <is>
          <t>Yes</t>
        </is>
      </c>
      <c r="Q3" s="15" t="inlineStr">
        <is>
          <t>Yes</t>
        </is>
      </c>
      <c r="R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Double ATK&amp;DEF against ??? Affinity</t>
        </is>
      </c>
      <c r="K4" t="inlineStr">
        <is>
          <t>Double ATK&amp;DEF against Chaos</t>
        </is>
      </c>
      <c r="L4" t="inlineStr">
        <is>
          <t>Partial: ATK&amp;DEF→ATK and DEF; dropped redundant Affinity | Full: ATK&amp;DEF→ATK and DEF</t>
        </is>
      </c>
      <c r="M4" s="17" t="inlineStr">
        <is>
          <t>1 ??? + 1 ??? + 1500 cost</t>
        </is>
      </c>
      <c r="N4" s="17" t="inlineStr">
        <is>
          <t>1 ‘Seraph’ unit + 1 Divine (≥ 800 cost) + 1500 cost</t>
        </is>
      </c>
      <c r="O4" s="17" t="inlineStr">
        <is>
          <t>11011
10001
00000
10001
11011</t>
        </is>
      </c>
      <c r="P4" s="17" t="inlineStr">
        <is>
          <t>Yes</t>
        </is>
      </c>
      <c r="Q4" s="17" t="inlineStr">
        <is>
          <t>Yes</t>
        </is>
      </c>
      <c r="R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M5" s="17" t="inlineStr">
        <is>
          <t>2 ??? + 2000 cost</t>
        </is>
      </c>
      <c r="N5" s="17" t="inlineStr">
        <is>
          <t>2 any units (≥90 DEF) + 2000 cost</t>
        </is>
      </c>
      <c r="O5" s="17" t="inlineStr">
        <is>
          <t>00000
00000
01110
01110
00000</t>
        </is>
      </c>
      <c r="P5" s="17" t="inlineStr">
        <is>
          <t>Yes</t>
        </is>
      </c>
      <c r="Q5" s="17" t="inlineStr">
        <is>
          <t>Yes</t>
        </is>
      </c>
      <c r="R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M6" s="17" t="inlineStr">
        <is>
          <t>2 ???+ 1500 cost</t>
        </is>
      </c>
      <c r="N6" s="17" t="inlineStr">
        <is>
          <t>2 Nature (≥ 800 cost) + 1500 cost</t>
        </is>
      </c>
      <c r="O6" s="17" t="inlineStr">
        <is>
          <t>00000
01010
00100
01010
00000</t>
        </is>
      </c>
      <c r="P6" s="17" t="inlineStr">
        <is>
          <t>Yes</t>
        </is>
      </c>
      <c r="Q6" s="17" t="inlineStr">
        <is>
          <t>Yes</t>
        </is>
      </c>
      <c r="R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In Reckoning, pay ???, destroy foe’s unit. They pay ???.</t>
        </is>
      </c>
      <c r="K7" t="inlineStr">
        <is>
          <t>In Reckoning, pay 1000, destroy foe’s unit. They pay no cost.</t>
        </is>
      </c>
      <c r="L7" t="inlineStr">
        <is>
          <t>Full: wording polish</t>
        </is>
      </c>
      <c r="M7" s="17" t="inlineStr">
        <is>
          <t>1 ??? + 2 ??? + 800 cost</t>
        </is>
      </c>
      <c r="N7" s="17" t="inlineStr">
        <is>
          <t>1 Anima (≥ 800 cost) + 2 Anima + 800 cost</t>
        </is>
      </c>
      <c r="O7" s="17" t="inlineStr">
        <is>
          <t>10101
00000
10101
00000
10101</t>
        </is>
      </c>
      <c r="P7" s="17" t="inlineStr">
        <is>
          <t>Yes</t>
        </is>
      </c>
      <c r="Q7" s="17" t="inlineStr">
        <is>
          <t>Yes</t>
        </is>
      </c>
      <c r="R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M8" s="17" t="inlineStr">
        <is>
          <t>1 ??? + 1 ??? + 1000 cost</t>
        </is>
      </c>
      <c r="N8" s="17" t="inlineStr">
        <is>
          <t>1 Bio (≥ 800 cost) + 1 Anima (≥ 800 cost) + 1000 cost</t>
        </is>
      </c>
      <c r="O8" s="17" t="inlineStr">
        <is>
          <t>00000
00000
00000
01010
10101</t>
        </is>
      </c>
      <c r="P8" s="17" t="inlineStr">
        <is>
          <t>Yes</t>
        </is>
      </c>
      <c r="Q8" s="17" t="inlineStr">
        <is>
          <t>Yes</t>
        </is>
      </c>
      <c r="R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J9" t="inlineStr">
        <is>
          <t>-50 ATK if ???</t>
        </is>
      </c>
      <c r="K9" t="inlineStr">
        <is>
          <t>-50 ATK if attacks Dead End</t>
        </is>
      </c>
      <c r="M9" s="17" t="inlineStr">
        <is>
          <t>2 ??? + 1500 cost</t>
        </is>
      </c>
      <c r="N9" s="17" t="inlineStr">
        <is>
          <t>2 Chaos (≥ 800 cost) + 1500 cost</t>
        </is>
      </c>
      <c r="O9" s="17" t="inlineStr">
        <is>
          <t>00000
00100
00100
01110
00100</t>
        </is>
      </c>
      <c r="P9" s="17" t="inlineStr">
        <is>
          <t>Yes</t>
        </is>
      </c>
      <c r="Q9" s="17" t="inlineStr">
        <is>
          <t>Yes</t>
        </is>
      </c>
      <c r="R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In Reckoning, pay ??? Crystal cost to +??DEF</t>
        </is>
      </c>
      <c r="K10" t="inlineStr">
        <is>
          <t>In Reckoning, pay 1000 Crystal cost to +60 DEF</t>
        </is>
      </c>
      <c r="L10" t="inlineStr">
        <is>
          <t>Full: wording polish</t>
        </is>
      </c>
      <c r="M10" s="17" t="inlineStr">
        <is>
          <t>1 ??? + 1 ??? + 700 cost</t>
        </is>
      </c>
      <c r="N10" s="17" t="inlineStr">
        <is>
          <t>1 Armored Nature card + 1 Nature (≥ 700 cost) + 800 cost</t>
        </is>
      </c>
      <c r="O10" s="17" t="inlineStr">
        <is>
          <t>00000
01110
11111
00000
00000</t>
        </is>
      </c>
      <c r="P10" s="17" t="inlineStr">
        <is>
          <t>Yes</t>
        </is>
      </c>
      <c r="Q10" s="17" t="inlineStr">
        <is>
          <t>Yes</t>
        </is>
      </c>
      <c r="R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Once, after Reckoning: +ATK&amp;DEF equal to ???</t>
        </is>
      </c>
      <c r="K11" t="inlineStr">
        <is>
          <t>Once, after Reckoning: +ATK&amp;DEF equal to half of that foe’s card</t>
        </is>
      </c>
      <c r="L11" t="inlineStr">
        <is>
          <t>Partial: ATK&amp;DEF→ATK and DEF | Full: ATK&amp;DEF→ATK and DEF</t>
        </is>
      </c>
      <c r="M11" s="17" t="inlineStr">
        <is>
          <t>1 ??? + 1 ??? + 800 cost</t>
        </is>
      </c>
      <c r="N11" s="17" t="inlineStr">
        <is>
          <t>1 Succubus + 1 Chaos + 800 cost</t>
        </is>
      </c>
      <c r="O11" s="17" t="inlineStr">
        <is>
          <t>00100
11111
10001
00000
00000</t>
        </is>
      </c>
      <c r="P11" s="17" t="inlineStr">
        <is>
          <t>Yes</t>
        </is>
      </c>
      <c r="Q11" s="17" t="inlineStr">
        <is>
          <t>Yes</t>
        </is>
      </c>
      <c r="R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J12" t="inlineStr">
        <is>
          <t>+5 ATK for each ????</t>
        </is>
      </c>
      <c r="K12" t="inlineStr">
        <is>
          <t>+5 ATK for each Divine cards on its side</t>
        </is>
      </c>
      <c r="M12" s="17" t="inlineStr">
        <is>
          <t>1 ??? + 1 ??? + 300 cost</t>
        </is>
      </c>
      <c r="N12" s="17" t="inlineStr">
        <is>
          <t>1 Tiny Pixie + 1 Divine+ 300 cost</t>
        </is>
      </c>
      <c r="O12" s="17" t="inlineStr">
        <is>
          <t>00100
00100
10001
10101
01010</t>
        </is>
      </c>
      <c r="P12" s="17" t="inlineStr">
        <is>
          <t>Yes</t>
        </is>
      </c>
      <c r="Q12" s="17" t="inlineStr">
        <is>
          <t>Yes</t>
        </is>
      </c>
      <c r="R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J13" t="inlineStr">
        <is>
          <t>Once Union, ??? until this turn’s end</t>
        </is>
      </c>
      <c r="K13" t="inlineStr">
        <is>
          <t>Once Union, +15 ATK until this turn’s end</t>
        </is>
      </c>
      <c r="M13" s="17" t="inlineStr">
        <is>
          <t>1 ??? + 1 ??? + 500 cost</t>
        </is>
      </c>
      <c r="N13" s="17" t="inlineStr">
        <is>
          <t>1 Ponycorn + 1 Divine card + 500 cost</t>
        </is>
      </c>
      <c r="O13" s="17" t="inlineStr">
        <is>
          <t>00100
01010
10001
01010
00100</t>
        </is>
      </c>
      <c r="P13" s="17" t="inlineStr">
        <is>
          <t>Yes</t>
        </is>
      </c>
      <c r="Q13" s="17" t="inlineStr">
        <is>
          <t>Yes</t>
        </is>
      </c>
      <c r="R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J14" t="inlineStr">
        <is>
          <t>+20 ATK to all ?????</t>
        </is>
      </c>
      <c r="K14" t="inlineStr">
        <is>
          <t>+20 ATK to all Divine units on its side</t>
        </is>
      </c>
      <c r="M14" s="17" t="inlineStr">
        <is>
          <t>3 ??? + 500 cost</t>
        </is>
      </c>
      <c r="N14" s="17" t="inlineStr">
        <is>
          <t>3 Choir Lady cards + 500 cost</t>
        </is>
      </c>
      <c r="O14" s="17" t="inlineStr">
        <is>
          <t>01100
01011
01001
11000
11000</t>
        </is>
      </c>
      <c r="P14" s="17" t="inlineStr">
        <is>
          <t>Yes</t>
        </is>
      </c>
      <c r="Q14" s="17" t="inlineStr">
        <is>
          <t>Yes</t>
        </is>
      </c>
      <c r="R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M15" s="17" t="inlineStr">
        <is>
          <t>1 ??? + 1 ??? + 800 cost</t>
        </is>
      </c>
      <c r="N15" s="17" t="inlineStr">
        <is>
          <t>Raijin + Fujin + 800 cost</t>
        </is>
      </c>
      <c r="O15" s="17" t="inlineStr">
        <is>
          <t>10001
10001
10001
10001
10001</t>
        </is>
      </c>
      <c r="P15" s="17" t="inlineStr">
        <is>
          <t>Yes</t>
        </is>
      </c>
      <c r="Q15" s="17" t="inlineStr">
        <is>
          <t>Yes</t>
        </is>
      </c>
      <c r="R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J16" t="inlineStr">
        <is>
          <t>If this card defends, DEF becomes ???, ATK becomes ???. If this card performs attack, ATK becomes ???, DEF becomes ???.</t>
        </is>
      </c>
      <c r="K16" t="inlineStr">
        <is>
          <t>If this card defends, DEF becomes 60, ATK becomes 0. If this card performs attack, ATK becomes 60, DEF becomes 0.</t>
        </is>
      </c>
      <c r="M16" s="17" t="inlineStr">
        <is>
          <t>1 ??? + 1 ??? + 400 cost</t>
        </is>
      </c>
      <c r="N16" s="17" t="inlineStr">
        <is>
          <t>Sunrise Lady + Moonrise Gentleman + 400 cost</t>
        </is>
      </c>
      <c r="O16" s="17" t="inlineStr">
        <is>
          <t>11111
00000
00000
00000
00000</t>
        </is>
      </c>
      <c r="P16" s="17" t="inlineStr">
        <is>
          <t>Yes</t>
        </is>
      </c>
      <c r="Q16" s="17" t="inlineStr">
        <is>
          <t>Yes</t>
        </is>
      </c>
      <c r="R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J17" t="inlineStr">
        <is>
          <t>If this card attacks a Dead End,  receive ???Crystals</t>
        </is>
      </c>
      <c r="K17" t="inlineStr">
        <is>
          <t>If this card attacks a Dead End, receive 200 Crystals</t>
        </is>
      </c>
      <c r="M17" s="17" t="inlineStr">
        <is>
          <t>1 ??? + 1 ??? + 500 cost</t>
        </is>
      </c>
      <c r="N17" s="17" t="inlineStr">
        <is>
          <t>1 Miner probe + 1 Cosmic + 500 cost</t>
        </is>
      </c>
      <c r="O17" s="17" t="inlineStr">
        <is>
          <t>11111
01110
01110
00100
00000</t>
        </is>
      </c>
      <c r="P17" s="17" t="inlineStr">
        <is>
          <t>Yes</t>
        </is>
      </c>
      <c r="Q17" s="17" t="inlineStr">
        <is>
          <t>Yes</t>
        </is>
      </c>
      <c r="R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M18" s="17" t="inlineStr">
        <is>
          <t>1 ??? + 1 ??? + 300 cost</t>
        </is>
      </c>
      <c r="N18" s="17" t="inlineStr">
        <is>
          <t>Dark Monk + 1 Chaos + 300 cost</t>
        </is>
      </c>
      <c r="O18" s="17" t="inlineStr">
        <is>
          <t>01100
00110
01100
00110
01100</t>
        </is>
      </c>
      <c r="P18" s="17" t="inlineStr">
        <is>
          <t>Yes</t>
        </is>
      </c>
      <c r="Q18" s="17" t="inlineStr">
        <is>
          <t>Yes</t>
        </is>
      </c>
      <c r="R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J19" t="inlineStr">
        <is>
          <t>This card can choose ?? attack targets. -?? ATK for each successful attack.</t>
        </is>
      </c>
      <c r="K19" t="inlineStr">
        <is>
          <t>This card can choose two attack targets. -5 ATK for each successful attack.</t>
        </is>
      </c>
      <c r="M19" s="17" t="inlineStr">
        <is>
          <t>1 ??? + 1 ??? + 600 cost</t>
        </is>
      </c>
      <c r="N19" s="17" t="inlineStr">
        <is>
          <t>Yaksa + 1 Chaos + 600 cost</t>
        </is>
      </c>
      <c r="O19" s="17" t="inlineStr">
        <is>
          <t>11011
00100
00100
01110
01010</t>
        </is>
      </c>
      <c r="P19" s="17" t="inlineStr">
        <is>
          <t>Yes</t>
        </is>
      </c>
      <c r="Q19" s="17" t="inlineStr">
        <is>
          <t>Yes</t>
        </is>
      </c>
      <c r="R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M20" s="17" t="inlineStr">
        <is>
          <t>3 ??? + 400 cost</t>
        </is>
      </c>
      <c r="N20" s="17" t="inlineStr">
        <is>
          <t>3 Skeleton cards + 400 cost</t>
        </is>
      </c>
      <c r="O20" s="17" t="inlineStr">
        <is>
          <t>01110
00000
11111
00000
01110</t>
        </is>
      </c>
      <c r="P20" s="17" t="inlineStr">
        <is>
          <t>Yes</t>
        </is>
      </c>
      <c r="Q20" s="17" t="inlineStr">
        <is>
          <t>Yes</t>
        </is>
      </c>
      <c r="R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M21" s="17" t="inlineStr">
        <is>
          <t>3 ??? + 800 cost</t>
        </is>
      </c>
      <c r="N21" s="17" t="inlineStr">
        <is>
          <t>3 ‘Sharks’ name + 800 cost</t>
        </is>
      </c>
      <c r="O21" s="17" t="inlineStr">
        <is>
          <t>11000
00100
00010
00010
00001</t>
        </is>
      </c>
      <c r="P21" s="17" t="inlineStr">
        <is>
          <t>Yes</t>
        </is>
      </c>
      <c r="Q21" s="17" t="inlineStr">
        <is>
          <t>Yes</t>
        </is>
      </c>
      <c r="R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After this card battles, select 1 foe’s card, flip a coin. Head: ???</t>
        </is>
      </c>
      <c r="K22" t="inlineStr">
        <is>
          <t>After this card battles, select 1 foe’s card, flip a coin. Head: destroy that card</t>
        </is>
      </c>
      <c r="L22" t="inlineStr">
        <is>
          <t>Full: Head→Heads</t>
        </is>
      </c>
      <c r="M22" s="17" t="inlineStr">
        <is>
          <t>1 ??? + 1 ??? + 1500 cost</t>
        </is>
      </c>
      <c r="N22" s="17" t="inlineStr">
        <is>
          <t>Ostrich Cannon + 1 Nature + 1500 cost</t>
        </is>
      </c>
      <c r="O22" s="17" t="inlineStr">
        <is>
          <t>10001
10001
10001
00000
00100</t>
        </is>
      </c>
      <c r="P22" s="17" t="inlineStr">
        <is>
          <t>Yes</t>
        </is>
      </c>
      <c r="Q22" s="17" t="inlineStr">
        <is>
          <t>Yes</t>
        </is>
      </c>
      <c r="R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If ???, put venom flag on all ???.</t>
        </is>
      </c>
      <c r="K23" t="inlineStr">
        <is>
          <t>Once Union, put venom flag on all foe’s exposed card</t>
        </is>
      </c>
      <c r="L23" t="inlineStr">
        <is>
          <t>Full: wording polish</t>
        </is>
      </c>
      <c r="M23" s="17" t="inlineStr">
        <is>
          <t>2 ??? + 500 cost</t>
        </is>
      </c>
      <c r="N23" s="17" t="inlineStr">
        <is>
          <t>2 Nature cards + 500 cost</t>
        </is>
      </c>
      <c r="O23" s="17" t="inlineStr">
        <is>
          <t>11111
00100
00100
00100
00000</t>
        </is>
      </c>
      <c r="P23" s="17" t="inlineStr">
        <is>
          <t>Yes</t>
        </is>
      </c>
      <c r="Q23" s="17" t="inlineStr">
        <is>
          <t>Yes</t>
        </is>
      </c>
      <c r="R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M24" s="17" t="inlineStr">
        <is>
          <t>1 ??? + 1 ???+ 800 cost</t>
        </is>
      </c>
      <c r="N24" s="17" t="inlineStr">
        <is>
          <t>1 Flame Lizard + 1 Nature + 800 cost</t>
        </is>
      </c>
      <c r="O24" s="17" t="inlineStr">
        <is>
          <t>00000
00100
01110
00100
00000</t>
        </is>
      </c>
      <c r="P24" s="17" t="inlineStr">
        <is>
          <t>Yes</t>
        </is>
      </c>
      <c r="Q24" s="17" t="inlineStr">
        <is>
          <t>Yes</t>
        </is>
      </c>
      <c r="R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Cannot be destroyed by ???. If targeted by tech, ???</t>
        </is>
      </c>
      <c r="K25" t="inlineStr">
        <is>
          <t>Cannot be destroyed by non-union cards. If targeted by tech, destroy this card.</t>
        </is>
      </c>
      <c r="L25" t="inlineStr">
        <is>
          <t>Full: wording polish</t>
        </is>
      </c>
      <c r="M25" s="17" t="inlineStr">
        <is>
          <t>1 ??? + 1 ??? + 1 ??? + 800 cost</t>
        </is>
      </c>
      <c r="N25" s="17" t="inlineStr">
        <is>
          <t>1 Arcane (≥ 500 cost) + 1 Nature (≥ 500 cost) + 1 Divine (≥ 500 cost) + 800 cost</t>
        </is>
      </c>
      <c r="O25" s="17" t="inlineStr">
        <is>
          <t>00100
01110
10101
00000
00000</t>
        </is>
      </c>
      <c r="P25" s="17" t="inlineStr">
        <is>
          <t>Yes</t>
        </is>
      </c>
      <c r="Q25" s="17" t="inlineStr">
        <is>
          <t>Yes</t>
        </is>
      </c>
      <c r="R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M26" s="17" t="inlineStr">
        <is>
          <t>2 ???+ 500 cost</t>
        </is>
      </c>
      <c r="N26" s="17" t="inlineStr">
        <is>
          <t>2 Nature + 500 cost</t>
        </is>
      </c>
      <c r="O26" s="17" t="inlineStr">
        <is>
          <t>00000
11111
10101
10101
00000</t>
        </is>
      </c>
      <c r="P26" s="17" t="inlineStr">
        <is>
          <t>Yes</t>
        </is>
      </c>
      <c r="Q26" s="17" t="inlineStr">
        <is>
          <t>Yes</t>
        </is>
      </c>
      <c r="R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At their turn’s end: Reveal ???. If it was a Dead End, destroy this card. Otherwise, gain ???</t>
        </is>
      </c>
      <c r="K27" t="inlineStr">
        <is>
          <t>At their turn’s end:  Reveal 1 foe’s cell. If it was a Dead End, destroy this card. Otherwise, gain 600 Crystals.</t>
        </is>
      </c>
      <c r="L27" t="inlineStr">
        <is>
          <t>Full: wording polish</t>
        </is>
      </c>
      <c r="M27" s="17" t="inlineStr">
        <is>
          <t>2 ??? + 300 cost</t>
        </is>
      </c>
      <c r="N27" s="17" t="inlineStr">
        <is>
          <t>2 Divine cards + 300 cost</t>
        </is>
      </c>
      <c r="O27" s="17" t="inlineStr">
        <is>
          <t>00100
01010
00100
00000
00000</t>
        </is>
      </c>
      <c r="P27" s="17" t="inlineStr">
        <is>
          <t>Yes</t>
        </is>
      </c>
      <c r="Q27" s="17" t="inlineStr">
        <is>
          <t>Yes</t>
        </is>
      </c>
      <c r="R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Foe’s non-Arcane get ??? in Reckoning with this card</t>
        </is>
      </c>
      <c r="K28" t="inlineStr">
        <is>
          <t>Foe’s non-Arcane get -10 ATK&amp;DEF permanently in Reckoning with this card</t>
        </is>
      </c>
      <c r="L28" t="inlineStr">
        <is>
          <t>Full: ATK&amp;DEF→ATK and DEF</t>
        </is>
      </c>
      <c r="M28" s="17" t="inlineStr">
        <is>
          <t>??? + ???+ ??? + 500 cost</t>
        </is>
      </c>
      <c r="N28" s="17" t="inlineStr">
        <is>
          <t>Red Mage + Green Mage + Blue Mage + 500 cost</t>
        </is>
      </c>
      <c r="O28" s="17" t="inlineStr">
        <is>
          <t>00001
00010
01100
01100
10000</t>
        </is>
      </c>
      <c r="P28" s="17" t="inlineStr">
        <is>
          <t>Yes</t>
        </is>
      </c>
      <c r="Q28" s="17" t="inlineStr">
        <is>
          <t>Yes</t>
        </is>
      </c>
      <c r="R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M29" s="17" t="inlineStr">
        <is>
          <t>2 ??? + 500 cost</t>
        </is>
      </c>
      <c r="N29" s="17" t="inlineStr">
        <is>
          <t>2 Grand Fort card + 500 cost</t>
        </is>
      </c>
      <c r="O29" s="17" t="inlineStr">
        <is>
          <t xml:space="preserve">00000
00100 
01110
00100
00000
</t>
        </is>
      </c>
      <c r="P29" s="17" t="inlineStr">
        <is>
          <t>Yes</t>
        </is>
      </c>
      <c r="Q29" s="17" t="inlineStr">
        <is>
          <t>Yes</t>
        </is>
      </c>
      <c r="R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Once, after Reckoning with non-Bio, it gain ???.</t>
        </is>
      </c>
      <c r="K30" t="inlineStr">
        <is>
          <t>Once, after Reckoning with non-Bio, it gain +50 ATK permanently.</t>
        </is>
      </c>
      <c r="L30" t="inlineStr">
        <is>
          <t>Full: wording polish</t>
        </is>
      </c>
      <c r="M30" s="17" t="inlineStr">
        <is>
          <t>1 ??? + 1 ??? + 1000 cost</t>
        </is>
      </c>
      <c r="N30" s="17" t="inlineStr">
        <is>
          <t>1 Bladeshifter + 1 Bio card + 1000 cost</t>
        </is>
      </c>
      <c r="O30" s="17" t="inlineStr">
        <is>
          <t xml:space="preserve">10000
01100 
01100
01100
10000
</t>
        </is>
      </c>
      <c r="P30" s="17" t="inlineStr">
        <is>
          <t>Yes</t>
        </is>
      </c>
      <c r="Q30" s="17" t="inlineStr">
        <is>
          <t>Yes</t>
        </is>
      </c>
      <c r="R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J31" t="inlineStr">
        <is>
          <t>Upon union, revive 1 ???. Double its cost.</t>
        </is>
      </c>
      <c r="K31" t="inlineStr">
        <is>
          <t>Upon union, revive 1 Moon non-Union card. Double its cost.</t>
        </is>
      </c>
      <c r="M31" s="17" t="inlineStr">
        <is>
          <t>1 ??? + 1 ??? + 500 cost</t>
        </is>
      </c>
      <c r="N31" s="17" t="inlineStr">
        <is>
          <t>1 Moon card+ 1 Cosmic card + 500 cost</t>
        </is>
      </c>
      <c r="O31" s="17" t="inlineStr">
        <is>
          <t xml:space="preserve">10001
01010 
00100
00100
00100
</t>
        </is>
      </c>
      <c r="P31" s="17" t="inlineStr">
        <is>
          <t>Yes</t>
        </is>
      </c>
      <c r="Q31" s="17" t="inlineStr">
        <is>
          <t>Yes</t>
        </is>
      </c>
      <c r="R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At the end of foe’s turn: ??? and swap its ATK&amp;DEF</t>
        </is>
      </c>
      <c r="K32" t="inlineStr">
        <is>
          <t>At the end of foe’s turn: the owner of this card select 1 exposed foe’s unit and swap its ATK&amp;DEF</t>
        </is>
      </c>
      <c r="L32" t="inlineStr">
        <is>
          <t>Partial: ATK&amp;DEF→ATK and DEF | Full: ATK&amp;DEF→ATK and DEF</t>
        </is>
      </c>
      <c r="M32" s="17" t="inlineStr">
        <is>
          <t>??? + ??? + 800 cost</t>
        </is>
      </c>
      <c r="N32" s="17" t="inlineStr">
        <is>
          <t>Jirayu the Rebellious Prince + 1 Anima card (≥ 500 cost) + 800 cost</t>
        </is>
      </c>
      <c r="O32" s="17" t="inlineStr">
        <is>
          <t xml:space="preserve">00100
00000 
10101
00100
00100
</t>
        </is>
      </c>
      <c r="P32" s="17" t="inlineStr">
        <is>
          <t>Yes</t>
        </is>
      </c>
      <c r="Q32" s="17" t="inlineStr">
        <is>
          <t>Yes</t>
        </is>
      </c>
      <c r="R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J33" t="inlineStr">
        <is>
          <t>+??? vs Union</t>
        </is>
      </c>
      <c r="K33" t="inlineStr">
        <is>
          <t>+30 ATK vs Union</t>
        </is>
      </c>
      <c r="M33" s="17" t="inlineStr">
        <is>
          <t>??? + ??? + 1000 cost</t>
        </is>
      </c>
      <c r="N33" s="17" t="inlineStr">
        <is>
          <t>Kiyoko the Death Whisper + Silver Spearman + 1000 cost</t>
        </is>
      </c>
      <c r="O33" s="17" t="inlineStr">
        <is>
          <t xml:space="preserve">01010
01010 
01010
01010
01010
</t>
        </is>
      </c>
      <c r="P33" s="17" t="inlineStr">
        <is>
          <t>Yes</t>
        </is>
      </c>
      <c r="Q33" s="17" t="inlineStr">
        <is>
          <t>Yes</t>
        </is>
      </c>
      <c r="R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Once, this card is ???.</t>
        </is>
      </c>
      <c r="K34" t="inlineStr">
        <is>
          <t>Once, this card is not destroyed.</t>
        </is>
      </c>
      <c r="L34" t="inlineStr">
        <is>
          <t>Full: wording polish</t>
        </is>
      </c>
      <c r="M34" s="17" t="inlineStr">
        <is>
          <t>??? + ??? + 800 cost</t>
        </is>
      </c>
      <c r="N34" s="17" t="inlineStr">
        <is>
          <t>Kiyoko the Death Whisper + 1 Anima card + 800 cost</t>
        </is>
      </c>
      <c r="O34" s="17" t="inlineStr">
        <is>
          <t xml:space="preserve">00100
00100 
01110
00100
00100
</t>
        </is>
      </c>
      <c r="P34" s="17" t="inlineStr">
        <is>
          <t>Yes</t>
        </is>
      </c>
      <c r="Q34" s="17" t="inlineStr">
        <is>
          <t>Yes</t>
        </is>
      </c>
      <c r="R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M35" s="17" t="inlineStr">
        <is>
          <t>??? + ??? + 500 cost</t>
        </is>
      </c>
      <c r="N35" s="17" t="inlineStr">
        <is>
          <t>Laser Walker + 1 Cosmic card + 500 cost</t>
        </is>
      </c>
      <c r="O35" s="17" t="inlineStr">
        <is>
          <t xml:space="preserve">00111
00001
10001
10000
11100
</t>
        </is>
      </c>
      <c r="P35" s="17" t="inlineStr">
        <is>
          <t>Yes</t>
        </is>
      </c>
      <c r="Q35" s="17" t="inlineStr">
        <is>
          <t>Yes</t>
        </is>
      </c>
      <c r="R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Destroy it at turn's end, then destroy all ???</t>
        </is>
      </c>
      <c r="K36" t="inlineStr">
        <is>
          <t>Destroy it at turn's end, then destroy all exposed foe’s units surrounding the card that this card attacked.</t>
        </is>
      </c>
      <c r="L36" t="inlineStr">
        <is>
          <t>Full: wording polish</t>
        </is>
      </c>
      <c r="M36" s="17" t="inlineStr">
        <is>
          <t>??? + ??? + 1000 cost</t>
        </is>
      </c>
      <c r="N36" s="17" t="inlineStr">
        <is>
          <t>Striker Comet + 2 Cosmic card + 1000 cost</t>
        </is>
      </c>
      <c r="O36" s="17" t="inlineStr">
        <is>
          <t xml:space="preserve">10000
01000 
00000
00111
00111
</t>
        </is>
      </c>
      <c r="P36" s="17" t="inlineStr">
        <is>
          <t>Yes</t>
        </is>
      </c>
      <c r="Q36" s="17" t="inlineStr">
        <is>
          <t>Yes</t>
        </is>
      </c>
      <c r="R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J37" t="inlineStr">
        <is>
          <t>After destroying foe’s card: ???</t>
        </is>
      </c>
      <c r="K37" t="inlineStr">
        <is>
          <t>After destroying foe’s card: +80 Crystals</t>
        </is>
      </c>
      <c r="M37" s="17" t="inlineStr">
        <is>
          <t>2 ??? + 600 cost</t>
        </is>
      </c>
      <c r="N37" s="17" t="inlineStr">
        <is>
          <t>2 Mutant cards + 600 cost</t>
        </is>
      </c>
      <c r="O37" s="17" t="inlineStr">
        <is>
          <t>00000
01010
10101
01010
00000</t>
        </is>
      </c>
      <c r="P37" s="17" t="inlineStr">
        <is>
          <t>Yes</t>
        </is>
      </c>
      <c r="Q37" s="17" t="inlineStr">
        <is>
          <t>Yes</t>
        </is>
      </c>
      <c r="R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Non-Bio defender get ???. With Mutagen Flag: +20 ???</t>
        </is>
      </c>
      <c r="K38" t="inlineStr">
        <is>
          <t>Non-Bio defender get -20 DEF. With Mutagen Flag: +20 ATK&amp;DEF to all ally Bio units</t>
        </is>
      </c>
      <c r="L38" t="inlineStr">
        <is>
          <t>Full: ATK&amp;DEF→ATK and DEF</t>
        </is>
      </c>
      <c r="M38" s="17" t="inlineStr">
        <is>
          <t>??? + ??? + 1000 cost</t>
        </is>
      </c>
      <c r="N38" s="17" t="inlineStr">
        <is>
          <t>1 Gamma cards + 1 Bio card + 500 cost</t>
        </is>
      </c>
      <c r="O38" s="17" t="inlineStr">
        <is>
          <t xml:space="preserve">00000
01110 
01010
01110
00000
</t>
        </is>
      </c>
      <c r="P38" s="17" t="inlineStr">
        <is>
          <t>Yes</t>
        </is>
      </c>
      <c r="Q38" s="17" t="inlineStr">
        <is>
          <t>Yes</t>
        </is>
      </c>
      <c r="R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J39" t="inlineStr">
        <is>
          <t>Can attack ? times per turn</t>
        </is>
      </c>
      <c r="K39" t="inlineStr">
        <is>
          <t>Can attack 3 times per turn</t>
        </is>
      </c>
      <c r="M39" s="17" t="inlineStr">
        <is>
          <t>1 ??? + 2 ??? + 1500 cost</t>
        </is>
      </c>
      <c r="N39" s="17" t="inlineStr">
        <is>
          <t>1 Bio with mutagen flag + 2 Bio (≥ 800 cost) + 1500 cost</t>
        </is>
      </c>
      <c r="O39" s="17" t="inlineStr">
        <is>
          <t>00100
00100
11111
00100
00100</t>
        </is>
      </c>
      <c r="P39" s="16" t="n"/>
      <c r="Q39" s="16" t="n"/>
      <c r="R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J40" t="inlineStr">
        <is>
          <t>As long as there is exposed ???, this card cannot be ???</t>
        </is>
      </c>
      <c r="K40" t="inlineStr">
        <is>
          <t>With another exposed Cosmic: this card cannot be destroyed</t>
        </is>
      </c>
      <c r="M40" s="17" t="inlineStr">
        <is>
          <t>2 ??? + 1500 cost</t>
        </is>
      </c>
      <c r="N40" s="17" t="inlineStr">
        <is>
          <t>2 Cosmic (≥ 800 cost) + 1500 cost</t>
        </is>
      </c>
      <c r="O40" s="17" t="inlineStr">
        <is>
          <t>00100
01010
10001
01010
00100</t>
        </is>
      </c>
      <c r="P40" s="16" t="n"/>
      <c r="Q40" s="16" t="n"/>
      <c r="R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+?? ATK&amp;DEF if ?? or more of cells on its side is revealed</t>
        </is>
      </c>
      <c r="K41" t="inlineStr">
        <is>
          <t>+100 ATK&amp;DEF if 15 or more cells on its side is revealed</t>
        </is>
      </c>
      <c r="L41" t="inlineStr">
        <is>
          <t>Partial: ATK&amp;DEF→ATK and DEF | Full: ATK&amp;DEF→ATK and DEF</t>
        </is>
      </c>
      <c r="M41" s="17" t="inlineStr">
        <is>
          <t>1 ??? + 1 ??? + 1000 cost</t>
        </is>
      </c>
      <c r="N41" s="17" t="inlineStr">
        <is>
          <t>1 Slim Gray + 1 Cosmic (≥ 800 cost) + 1000 cost</t>
        </is>
      </c>
      <c r="O41" s="17" t="inlineStr">
        <is>
          <t>00100
01110
01010
01110
00000</t>
        </is>
      </c>
      <c r="P41" s="16" t="n"/>
      <c r="Q41" s="16" t="n"/>
      <c r="R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J42" t="inlineStr">
        <is>
          <t>+?? ATK vs Cosmic</t>
        </is>
      </c>
      <c r="K42" t="inlineStr">
        <is>
          <t>+100 ATK vs Cosmic</t>
        </is>
      </c>
      <c r="M42" s="17" t="inlineStr">
        <is>
          <t>1 ??? + 1 ??? + 1500 cost</t>
        </is>
      </c>
      <c r="N42" s="17" t="inlineStr">
        <is>
          <t>1 Cosmic (≥ 500 cost) + 1 Cosmic + 1500 cost</t>
        </is>
      </c>
      <c r="O42" s="17" t="inlineStr">
        <is>
          <t>00100
11111
00000
11111
00100</t>
        </is>
      </c>
      <c r="P42" s="16" t="n"/>
      <c r="Q42" s="16" t="n"/>
      <c r="R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J43" t="inlineStr">
        <is>
          <t>Destroy this card after ???</t>
        </is>
      </c>
      <c r="K43" t="inlineStr">
        <is>
          <t>Destroy this card after battle calculation</t>
        </is>
      </c>
      <c r="M43" s="17" t="inlineStr">
        <is>
          <t>2 ??? + 1000 cost</t>
        </is>
      </c>
      <c r="N43" s="17" t="inlineStr">
        <is>
          <t>2 Bio cards (≥ 800 cost) + 1000 cost</t>
        </is>
      </c>
      <c r="O43" s="17" t="inlineStr">
        <is>
          <t>10001
01010
00000
01010
10001</t>
        </is>
      </c>
      <c r="P43" s="16" t="n"/>
      <c r="Q43" s="16" t="n"/>
      <c r="R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+??? ATK permanently at ???</t>
        </is>
      </c>
      <c r="K44" t="inlineStr">
        <is>
          <t>Once, +30 ATK permanently at the end of their turn</t>
        </is>
      </c>
      <c r="L44" t="inlineStr">
        <is>
          <t>Full: wording polish</t>
        </is>
      </c>
      <c r="M44" s="17" t="inlineStr">
        <is>
          <t>1 ??? + 1 ??? + 1500 cost</t>
        </is>
      </c>
      <c r="N44" s="17" t="inlineStr">
        <is>
          <t>1 Cleaver Saint + 1 Divine card + 1500 cost</t>
        </is>
      </c>
      <c r="O44" s="17" t="inlineStr">
        <is>
          <t>00011
00011
00011
00011
00011</t>
        </is>
      </c>
      <c r="P44" s="16" t="n"/>
      <c r="Q44" s="16" t="n"/>
      <c r="R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Once, destroy ???or ??? card</t>
        </is>
      </c>
      <c r="K45" t="inlineStr">
        <is>
          <t>Once, destroy Divine or Anima card</t>
        </is>
      </c>
      <c r="L45" t="inlineStr">
        <is>
          <t>Full: wording polish</t>
        </is>
      </c>
      <c r="M45" s="17" t="inlineStr">
        <is>
          <t>1 ??? + 1 ??? + 1000 cost</t>
        </is>
      </c>
      <c r="N45" s="17" t="inlineStr">
        <is>
          <t>1 Cruel Angel + 1 Anima Card + 1000 cost</t>
        </is>
      </c>
      <c r="O45" s="17" t="inlineStr">
        <is>
          <t>11111
11111
00000
00000
00000</t>
        </is>
      </c>
      <c r="P45" s="16" t="n"/>
      <c r="Q45" s="16" t="n"/>
      <c r="R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At battle calculation, flip a coin. If head, ????</t>
        </is>
      </c>
      <c r="K46" t="inlineStr">
        <is>
          <t>At battle calculation, flip a coin. If head, the attack does nothing</t>
        </is>
      </c>
      <c r="L46" t="inlineStr">
        <is>
          <t>Full: Head→Heads</t>
        </is>
      </c>
      <c r="M46" s="17" t="inlineStr">
        <is>
          <t>1 ??? + 1 ???+ 1000 cost</t>
        </is>
      </c>
      <c r="N46" s="17" t="inlineStr">
        <is>
          <t>1 Sphinx unit + 1 Divine card + 1000 cost</t>
        </is>
      </c>
      <c r="O46" s="17" t="inlineStr">
        <is>
          <t>00000
00000
00100
01110
11111</t>
        </is>
      </c>
      <c r="P46" s="16" t="n"/>
      <c r="Q46" s="16" t="n"/>
      <c r="R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J47" t="inlineStr">
        <is>
          <t>This card cannot attack if there is card with affinity other than ??? Or ???</t>
        </is>
      </c>
      <c r="K47" t="inlineStr">
        <is>
          <t>This card cannot attack if there is card with affinity other than Divine or Anima on its side</t>
        </is>
      </c>
      <c r="M47" s="17" t="inlineStr">
        <is>
          <t>1 ???+ ??? + 1000 cost</t>
        </is>
      </c>
      <c r="N47" s="17" t="inlineStr">
        <is>
          <t>1 Sphinx unit + 1 Anima + 1000 cost</t>
        </is>
      </c>
      <c r="O47" s="17" t="inlineStr">
        <is>
          <t>11111
01110
00100
00000
00000</t>
        </is>
      </c>
      <c r="P47" s="16" t="n"/>
      <c r="Q47" s="16" t="n"/>
      <c r="R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J48" t="inlineStr">
        <is>
          <t>+??? ATK vs ?? and ??</t>
        </is>
      </c>
      <c r="K48" t="inlineStr">
        <is>
          <t>+20 ATK vs Chaos and Arcane</t>
        </is>
      </c>
      <c r="M48" s="17" t="inlineStr">
        <is>
          <t>2 ???+ 1000 cost</t>
        </is>
      </c>
      <c r="N48" s="17" t="inlineStr">
        <is>
          <t>2 Sphinx units + 1000 cost</t>
        </is>
      </c>
      <c r="O48" s="17" t="inlineStr">
        <is>
          <t>10001
01010
00100
01010
10001</t>
        </is>
      </c>
      <c r="P48" s="16" t="n"/>
      <c r="Q48" s="16" t="n"/>
      <c r="R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During the end of that turn, flip a coin. If head, +??? ATK. If tail, +?? DEF</t>
        </is>
      </c>
      <c r="K49" t="inlineStr">
        <is>
          <t>During the end of that turn, flip a coin. If head, +10 ATK. If tail, +10 DEF</t>
        </is>
      </c>
      <c r="L49" t="inlineStr">
        <is>
          <t>Full: Head→Heads; Tail→Tails</t>
        </is>
      </c>
      <c r="M49" s="17" t="inlineStr">
        <is>
          <t>1 ??? + 1 ??? + 1000 cost</t>
        </is>
      </c>
      <c r="N49" s="17" t="inlineStr">
        <is>
          <t>1 Lucky Statue + 1 Divine card + 1000 cost</t>
        </is>
      </c>
      <c r="O49" s="17" t="inlineStr">
        <is>
          <t>00100
00100
00100
00100
00100</t>
        </is>
      </c>
      <c r="P49" s="16" t="n"/>
      <c r="Q49" s="16" t="n"/>
      <c r="R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At the end of this turn, +??? ATK&amp;DEF ????</t>
        </is>
      </c>
      <c r="K50" t="inlineStr">
        <is>
          <t>At the end of this turn, +5 ATK&amp;DEF permanently.</t>
        </is>
      </c>
      <c r="L50" t="inlineStr">
        <is>
          <t>Partial: ATK&amp;DEF→ATK and DEF | Full: ATK&amp;DEF→ATK and DEF</t>
        </is>
      </c>
      <c r="M50" s="17" t="inlineStr">
        <is>
          <t>1 ??? + 1 ??? + 1000 cost</t>
        </is>
      </c>
      <c r="N50" s="17" t="inlineStr">
        <is>
          <t>Bloom Fairy + 1 Nature card + 1000 cost</t>
        </is>
      </c>
      <c r="O50" s="17" t="inlineStr">
        <is>
          <t>11111
11011
00100
00100
00100</t>
        </is>
      </c>
      <c r="P50" s="16" t="n"/>
      <c r="Q50" s="16" t="n"/>
      <c r="R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J51" t="inlineStr">
        <is>
          <t>This card can ??? per turn</t>
        </is>
      </c>
      <c r="K51" t="inlineStr">
        <is>
          <t>This card can attack twice per turn</t>
        </is>
      </c>
      <c r="M51" s="17" t="inlineStr">
        <is>
          <t>1??? + 1 ??? + 1000 cost</t>
        </is>
      </c>
      <c r="N51" s="17" t="inlineStr">
        <is>
          <t>Lady of the Sacred Pond + 1 Anima + 600 cost</t>
        </is>
      </c>
      <c r="O51" s="17" t="inlineStr">
        <is>
          <t>11011
01010
01010
01010
00000</t>
        </is>
      </c>
      <c r="P51" s="16" t="n"/>
      <c r="Q51" s="16" t="n"/>
      <c r="R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M52" s="17" t="inlineStr">
        <is>
          <t>1 ??? + 1 ??? + 1000 cost</t>
        </is>
      </c>
      <c r="N52" s="17" t="inlineStr">
        <is>
          <t>Gerald of the Heavenly Light + 1 Divine + 1000 cost</t>
        </is>
      </c>
      <c r="O52" s="17" t="inlineStr">
        <is>
          <t>11111
00100
11111
00100
00000</t>
        </is>
      </c>
      <c r="P52" s="16" t="n"/>
      <c r="Q52" s="16" t="n"/>
      <c r="R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+??? ATK&amp;DEF for each ???cards on the field. This bonus does not exceed maximum of 1???</t>
        </is>
      </c>
      <c r="K53" t="inlineStr">
        <is>
          <t>+50 ATK&amp;DEF for each Divine cards on the field. This bonus does not exceed maximum of 100</t>
        </is>
      </c>
      <c r="L53" t="inlineStr">
        <is>
          <t>Partial: ATK&amp;DEF→ATK and DEF | Full: ATK&amp;DEF→ATK and DEF</t>
        </is>
      </c>
      <c r="M53" s="17" t="inlineStr">
        <is>
          <t>2 ??? + 1500 cost</t>
        </is>
      </c>
      <c r="N53" s="17" t="inlineStr">
        <is>
          <t>2 Divine (≥800 cost) + 1500 cost</t>
        </is>
      </c>
      <c r="O53" s="17" t="inlineStr">
        <is>
          <t>00100
11111
00100
00100
00100</t>
        </is>
      </c>
      <c r="P53" s="16" t="n"/>
      <c r="Q53" s="16" t="n"/>
      <c r="R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When this card defends, halve its ??? an???</t>
        </is>
      </c>
      <c r="K54" t="inlineStr">
        <is>
          <t>When this card defends, halve its attack and increase DEF by that amount  permanently</t>
        </is>
      </c>
      <c r="L54" t="inlineStr">
        <is>
          <t>Full: wording polish</t>
        </is>
      </c>
      <c r="M54" s="17" t="inlineStr">
        <is>
          <t>4 ??? + 2000 cost</t>
        </is>
      </c>
      <c r="N54" s="17" t="inlineStr">
        <is>
          <t>4 Chaos card (≥500 cost) + 2000 cost</t>
        </is>
      </c>
      <c r="O54" s="17" t="inlineStr">
        <is>
          <t>10001
00000
00000
00000
10001</t>
        </is>
      </c>
      <c r="P54" s="16" t="n"/>
      <c r="Q54" s="16" t="n"/>
      <c r="R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Summoned:  destroy all ???</t>
        </is>
      </c>
      <c r="K55" t="inlineStr">
        <is>
          <t>Summoned: destroy all other exposed ally units. No paid cost.</t>
        </is>
      </c>
      <c r="L55" t="inlineStr">
        <is>
          <t>Full: wording polish</t>
        </is>
      </c>
      <c r="M55" s="17" t="inlineStr">
        <is>
          <t>5 ??? + 3000 Crystals</t>
        </is>
      </c>
      <c r="N55" s="17" t="inlineStr">
        <is>
          <t>5 Nature cards + 3000 Crystals</t>
        </is>
      </c>
      <c r="O55" s="17" t="inlineStr">
        <is>
          <t>10001
00000
00100
00010
10001</t>
        </is>
      </c>
      <c r="P55" s="16" t="n"/>
      <c r="Q55" s="16" t="n"/>
      <c r="R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J56" t="inlineStr">
        <is>
          <t>+?? ATK when this card can destroy ???</t>
        </is>
      </c>
      <c r="K56" t="inlineStr">
        <is>
          <t>+25 ATK when this card can destroy a unit card</t>
        </is>
      </c>
      <c r="M56" s="17" t="inlineStr">
        <is>
          <t>1 ??? + 1 ??? + 1000 cost</t>
        </is>
      </c>
      <c r="N56" s="17" t="inlineStr">
        <is>
          <t>1 Kulu the Alpha Leader + 1 Anima + 1000 cost</t>
        </is>
      </c>
      <c r="O56" s="17" t="inlineStr">
        <is>
          <t>10101
00000
01010
00000
10101</t>
        </is>
      </c>
      <c r="P56" s="16" t="n"/>
      <c r="Q56" s="16" t="n"/>
      <c r="R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J57" t="inlineStr">
        <is>
          <t>At battle calculation, +?? ATK and +?? DEF vs ???</t>
        </is>
      </c>
      <c r="K57" t="inlineStr">
        <is>
          <t>At battle calculation, +40 ATK and +40 DEF vs Union cards</t>
        </is>
      </c>
      <c r="M57" s="17" t="inlineStr">
        <is>
          <t>1 ??? + 1 ??? + 1000 cost</t>
        </is>
      </c>
      <c r="N57" s="17" t="inlineStr">
        <is>
          <t>1 Dew the Frog Knight + 1 card including ‘princess’ name or card with princess flag + 1000 cost</t>
        </is>
      </c>
      <c r="O57" s="17" t="inlineStr">
        <is>
          <t>11011
00000
00100
00100
11011</t>
        </is>
      </c>
      <c r="P57" s="16" t="n"/>
      <c r="Q57" s="16" t="n"/>
      <c r="R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Both player cannot use ??? while this card is exposed. This card is unaffected by ???.</t>
        </is>
      </c>
      <c r="K58" t="inlineStr">
        <is>
          <t>Both player cannot use tech while this card is exposed. This card is unaffected by traps.</t>
        </is>
      </c>
      <c r="L58" t="inlineStr">
        <is>
          <t>Full: wording polish</t>
        </is>
      </c>
      <c r="M58" s="17" t="inlineStr">
        <is>
          <t>3 ??? + 1000 cost</t>
        </is>
      </c>
      <c r="N58" s="17" t="inlineStr">
        <is>
          <t>3 ‘Princess’ or card with princess flag + 1000 cost</t>
        </is>
      </c>
      <c r="O58" s="17" t="inlineStr">
        <is>
          <t>01110
10001
10001
10001
01110</t>
        </is>
      </c>
      <c r="P58" s="16" t="n"/>
      <c r="Q58" s="16" t="n"/>
      <c r="R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J59" t="inlineStr">
        <is>
          <t>+?? ATK at the end of their turn. Whenever this card attacks, ??</t>
        </is>
      </c>
      <c r="K59" t="inlineStr">
        <is>
          <t>+20 ATK at the end of their turn. Reset this bonus after performed attack.</t>
        </is>
      </c>
      <c r="M59" s="17" t="inlineStr">
        <is>
          <t>1 ??? + 1 ??? + 1 ??? + 1000 cost</t>
        </is>
      </c>
      <c r="N59" s="17" t="inlineStr">
        <is>
          <t>Wild Centaur + Wild Minotaur + Wild Pegasus + 1000 cost</t>
        </is>
      </c>
      <c r="O59" s="17" t="inlineStr">
        <is>
          <t>00000
01110
01010
01110
00000</t>
        </is>
      </c>
      <c r="P59" s="16" t="n"/>
      <c r="Q59" s="16" t="n"/>
      <c r="R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J60" t="inlineStr">
        <is>
          <t>This card is unaffected by ???</t>
        </is>
      </c>
      <c r="K60" t="inlineStr">
        <is>
          <t>This card is unaffected by trap effect</t>
        </is>
      </c>
      <c r="M60" s="17" t="inlineStr">
        <is>
          <t>1 ??? + 1 ??? + 1000 cost</t>
        </is>
      </c>
      <c r="N60" s="17" t="inlineStr">
        <is>
          <t>1 Steel Eagle + 1 Nature (≥ 800 cost) + 1000 cost</t>
        </is>
      </c>
      <c r="O60" s="17" t="inlineStr">
        <is>
          <t>00000
01110
11111
00100
00100</t>
        </is>
      </c>
      <c r="P60" s="16" t="n"/>
      <c r="Q60" s="16" t="n"/>
      <c r="R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In Reckoning, the owner can choose to destroy ??? to +??? ATK&amp;DEF</t>
        </is>
      </c>
      <c r="K61" t="inlineStr">
        <is>
          <t>In Reckoning, the owner can choose to destroy 1 trap card on its side to +60 ATK&amp;DEF</t>
        </is>
      </c>
      <c r="L61" t="inlineStr">
        <is>
          <t>Partial: ATK&amp;DEF→ATK and DEF | Full: ATK&amp;DEF→ATK and DEF</t>
        </is>
      </c>
      <c r="M61" s="17" t="inlineStr">
        <is>
          <t>1 ??? + 1 ??? + 1000 cost</t>
        </is>
      </c>
      <c r="N61" s="17" t="inlineStr">
        <is>
          <t>1 Space Janitor + 1 Cosmic + 1000 cost</t>
        </is>
      </c>
      <c r="O61" s="17" t="inlineStr">
        <is>
          <t>00000
00100
01110
00100
00000</t>
        </is>
      </c>
      <c r="P61" s="16" t="n"/>
      <c r="Q61" s="16" t="n"/>
      <c r="R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J62" t="inlineStr">
        <is>
          <t>Defender is ??? on next foe’s turn.</t>
        </is>
      </c>
      <c r="K62" t="inlineStr">
        <is>
          <t>Defender is unable to attack on next foe’s turn.</t>
        </is>
      </c>
      <c r="M62" s="17" t="inlineStr">
        <is>
          <t>1 ??? + 1 ???+ 1000 cost</t>
        </is>
      </c>
      <c r="N62" s="17" t="inlineStr">
        <is>
          <t>Drill Woodpecker + 1 Nature + 1000 cost</t>
        </is>
      </c>
      <c r="O62" s="17" t="inlineStr">
        <is>
          <t>10100
01111
10100
00000
00000</t>
        </is>
      </c>
      <c r="P62" s="16" t="n"/>
      <c r="Q62" s="16" t="n"/>
      <c r="R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J63" t="inlineStr">
        <is>
          <t>If this card have not attacked and this turn ends, reveal ???</t>
        </is>
      </c>
      <c r="K63" t="inlineStr">
        <is>
          <t>If this card have not attacked and this turn ends, reveal 2 card on foe’s side.</t>
        </is>
      </c>
      <c r="M63" s="17" t="inlineStr">
        <is>
          <t>2 ??? + 1000 Crystal.</t>
        </is>
      </c>
      <c r="N63" s="17" t="inlineStr">
        <is>
          <t>2 Dwarven cards + 1000 Crystal.</t>
        </is>
      </c>
      <c r="O63" s="17" t="inlineStr">
        <is>
          <t>00001
01111
11100
00000
00000</t>
        </is>
      </c>
      <c r="P63" s="16" t="n"/>
      <c r="Q63" s="16" t="n"/>
      <c r="R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+??? ATK&amp;DEF vs Nature</t>
        </is>
      </c>
      <c r="K64" t="inlineStr">
        <is>
          <t>+30 ATK&amp;DEF vs Nature</t>
        </is>
      </c>
      <c r="L64" t="inlineStr">
        <is>
          <t>Partial: ATK&amp;DEF→ATK and DEF | Full: ATK&amp;DEF→ATK and DEF</t>
        </is>
      </c>
      <c r="M64" s="17" t="inlineStr">
        <is>
          <t>1 ??? + 1 ??? + 1000 cost</t>
        </is>
      </c>
      <c r="N64" s="17" t="inlineStr">
        <is>
          <t>Cullan the Magic Swordsman + Red Mage + 1000 cost</t>
        </is>
      </c>
      <c r="O64" s="17" t="inlineStr">
        <is>
          <t>00001
00010
01100
01110
10000</t>
        </is>
      </c>
      <c r="P64" s="16" t="n"/>
      <c r="Q64" s="16" t="n"/>
      <c r="R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t="inlineStr">
        <is>
          <t>If foe destroys a card on its side, gain +15 ATK permanently (max +60).</t>
        </is>
      </c>
      <c r="M65" s="16" t="n"/>
      <c r="N65" s="17" t="inlineStr">
        <is>
          <t>Mad Doctor + 1 Chaos card + 1000 cost</t>
        </is>
      </c>
      <c r="O65" s="17" t="inlineStr">
        <is>
          <t xml:space="preserve">00000
00000 
01110
01110
01110
</t>
        </is>
      </c>
      <c r="P65" s="16" t="n"/>
      <c r="Q65" s="16" t="n"/>
      <c r="R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J66" t="inlineStr">
        <is>
          <t>-80 DEF if ???</t>
        </is>
      </c>
      <c r="K66" t="inlineStr">
        <is>
          <t>-80 DEF if defends against Arcane card. If this card battles and survived, pay 500 Crystal cost</t>
        </is>
      </c>
      <c r="M66" s="16" t="n"/>
      <c r="N66" s="17" t="inlineStr">
        <is>
          <t>Nobleman of Luminaso + 1 Arcane + 1500 cost</t>
        </is>
      </c>
      <c r="O66" s="17" t="inlineStr">
        <is>
          <t>00100
01010
10101
01010
10101</t>
        </is>
      </c>
      <c r="P66" s="16" t="n"/>
      <c r="Q66" s="16" t="n"/>
      <c r="R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t="inlineStr">
        <is>
          <t>Foe’s turn start: flip a coin. Head, foe can only attack once.</t>
        </is>
      </c>
      <c r="M67" s="16" t="n"/>
      <c r="N67" s="17" t="inlineStr">
        <is>
          <t>Alluring Spellcaster + 1 Arcane + 1000 cost</t>
        </is>
      </c>
      <c r="O67" s="17" t="inlineStr">
        <is>
          <t xml:space="preserve">00000
01010 
01110
00100
00000
</t>
        </is>
      </c>
      <c r="P67" s="16" t="n"/>
      <c r="Q67" s="16" t="n"/>
      <c r="R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t="inlineStr">
        <is>
          <t>When ally Arcane unit is targeted, owner can swap its location with this card.</t>
        </is>
      </c>
      <c r="M68" s="16" t="n"/>
      <c r="N68" s="17" t="inlineStr">
        <is>
          <t>Freya the Rift Walker + Bingo the Chrono Rabbit + 1000 cost.</t>
        </is>
      </c>
      <c r="O68" s="17" t="inlineStr">
        <is>
          <t xml:space="preserve">00010
01000 
00010
01000
00001
</t>
        </is>
      </c>
      <c r="P68" s="16" t="n"/>
      <c r="Q68" s="16" t="n"/>
      <c r="R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t="inlineStr">
        <is>
          <t>This card can only choose attack target in the same pattern as its union zone</t>
        </is>
      </c>
      <c r="M69" s="16" t="n"/>
      <c r="N69" s="17" t="inlineStr">
        <is>
          <t>Long Tongue + 1 Bio card + 1000 cost.</t>
        </is>
      </c>
      <c r="O69" s="17" t="inlineStr">
        <is>
          <t xml:space="preserve">10001
01010 
00100
01010
10001
</t>
        </is>
      </c>
      <c r="P69" s="16" t="n"/>
      <c r="Q69" s="16" t="n"/>
      <c r="R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M70" s="16" t="n"/>
      <c r="N70" s="17" t="inlineStr">
        <is>
          <t>Fire Elemental + Earth Elemental + 1000 cost</t>
        </is>
      </c>
      <c r="O70" s="17" t="inlineStr">
        <is>
          <t xml:space="preserve">01010
01110 
01110
00100
00000
</t>
        </is>
      </c>
      <c r="P70" s="16" t="n"/>
      <c r="Q70" s="16" t="n"/>
      <c r="R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t="inlineStr">
        <is>
          <t>Card that battles this card cannot perform attack until the end of their next turn.</t>
        </is>
      </c>
      <c r="M71" s="16" t="n"/>
      <c r="N71" s="17" t="inlineStr">
        <is>
          <t>Water Elemental + Wind Elemental + 1000 cost</t>
        </is>
      </c>
      <c r="O71" s="17" t="inlineStr">
        <is>
          <t xml:space="preserve">00000
01110 
00100
01110
00000
</t>
        </is>
      </c>
      <c r="P71" s="16" t="n"/>
      <c r="Q71" s="16" t="n"/>
      <c r="R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K72" t="inlineStr">
        <is>
          <t>Once, this card is not destroyed</t>
        </is>
      </c>
      <c r="L72" t="inlineStr">
        <is>
          <t>Full: wording polish</t>
        </is>
      </c>
      <c r="M72" s="16" t="n"/>
      <c r="N72" s="17" t="inlineStr">
        <is>
          <t>Fire Elemental + Water Elemental + 1000 cost</t>
        </is>
      </c>
      <c r="O72" s="17" t="inlineStr">
        <is>
          <t xml:space="preserve">00100
00100 
01110
01110
00000
</t>
        </is>
      </c>
      <c r="P72" s="16" t="n"/>
      <c r="Q72" s="16" t="n"/>
      <c r="R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t="inlineStr">
        <is>
          <t>After successful attack, reveal 1 foe’s card</t>
        </is>
      </c>
      <c r="M73" s="16" t="n"/>
      <c r="N73" s="17" t="inlineStr">
        <is>
          <t>Fire Elemental + Wind Elemental + 1000 cost</t>
        </is>
      </c>
      <c r="O73" s="17" t="inlineStr">
        <is>
          <t xml:space="preserve">00010
00110 
00100
01100
01000
</t>
        </is>
      </c>
      <c r="P73" s="16" t="n"/>
      <c r="Q73" s="16" t="n"/>
      <c r="R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t="inlineStr">
        <is>
          <t>At the end of this turn, +10 DEF permanently</t>
        </is>
      </c>
      <c r="M74" s="16" t="n"/>
      <c r="N74" s="17" t="inlineStr">
        <is>
          <t>Water Elemental + Earth Elemental + 1000 cost</t>
        </is>
      </c>
      <c r="O74" s="17" t="inlineStr">
        <is>
          <t xml:space="preserve">00000
00000 
01110
01110
01110
</t>
        </is>
      </c>
      <c r="P74" s="16" t="n"/>
      <c r="Q74" s="16" t="n"/>
      <c r="R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K75" t="inlineStr">
        <is>
          <t>+40 ATK&amp;DEF vs Non-Arcane cards</t>
        </is>
      </c>
      <c r="L75" t="inlineStr">
        <is>
          <t>Full: ATK&amp;DEF→ATK and DEF</t>
        </is>
      </c>
      <c r="M75" s="16" t="n"/>
      <c r="N75" s="17" t="inlineStr">
        <is>
          <t>Wind Elemental + Earth Elemental + 1000 cost</t>
        </is>
      </c>
      <c r="O75" s="17" t="inlineStr">
        <is>
          <t xml:space="preserve">00000
01110 
01110
01110
00000
</t>
        </is>
      </c>
      <c r="P75" s="16" t="n"/>
      <c r="Q75" s="16" t="n"/>
      <c r="R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t="inlineStr">
        <is>
          <t>At the end of this turn, +10 ATK permanently</t>
        </is>
      </c>
      <c r="M76" s="16" t="n"/>
      <c r="N76" s="17" t="inlineStr">
        <is>
          <t>Mind Elemental + Fire Elemental + 1500 cost</t>
        </is>
      </c>
      <c r="O76" s="17" t="inlineStr">
        <is>
          <t xml:space="preserve">00000
01110 
01110
01110
00000
</t>
        </is>
      </c>
      <c r="P76" s="16" t="n"/>
      <c r="Q76" s="16" t="n"/>
      <c r="R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K77" t="inlineStr">
        <is>
          <t>Summoned : put acid flag on all of foe’s exposed card. Card with acid flag get -10 DEF at the end of foe’s turn</t>
        </is>
      </c>
      <c r="L77" t="inlineStr">
        <is>
          <t>Full: wording polish</t>
        </is>
      </c>
      <c r="M77" s="16" t="n"/>
      <c r="N77" s="17" t="inlineStr">
        <is>
          <t>Mind Elemental + Water Elemental + 1500 cost</t>
        </is>
      </c>
      <c r="O77" s="17" t="inlineStr">
        <is>
          <t xml:space="preserve">00000
01110 
01110
01110
00000
</t>
        </is>
      </c>
      <c r="P77" s="16" t="n"/>
      <c r="Q77" s="16" t="n"/>
      <c r="R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M78" s="16" t="n"/>
      <c r="N78" s="17" t="inlineStr">
        <is>
          <t>Mind Elemental + Wind Elemental + 1500 cost</t>
        </is>
      </c>
      <c r="O78" s="17" t="inlineStr">
        <is>
          <t xml:space="preserve">00000
01110 
01110
01110
00000
</t>
        </is>
      </c>
      <c r="P78" s="16" t="n"/>
      <c r="Q78" s="16" t="n"/>
      <c r="R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K79" t="inlineStr">
        <is>
          <t>Foe’s non-Arcane cards cannot target exposed card other than this card.</t>
        </is>
      </c>
      <c r="L79" t="inlineStr">
        <is>
          <t>Full: wording polish</t>
        </is>
      </c>
      <c r="M79" s="16" t="n"/>
      <c r="N79" s="17" t="inlineStr">
        <is>
          <t>Mind Elemental + Earth Elemental + 1500 cost</t>
        </is>
      </c>
      <c r="O79" s="17" t="inlineStr">
        <is>
          <t xml:space="preserve">00000
01110 
01110
01110
00000
</t>
        </is>
      </c>
      <c r="P79" s="16" t="n"/>
      <c r="Q79" s="16" t="n"/>
      <c r="R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t="inlineStr">
        <is>
          <t>This card can attack twice</t>
        </is>
      </c>
      <c r="M80" s="16" t="n"/>
      <c r="N80" s="17" t="inlineStr">
        <is>
          <t>1 Dwarven card + 1 Arcane or Anima card + 1500 cost</t>
        </is>
      </c>
      <c r="O80" s="17" t="inlineStr">
        <is>
          <t xml:space="preserve">01110
10101 
00100
00100
00000
</t>
        </is>
      </c>
      <c r="P80" s="16" t="n"/>
      <c r="Q80" s="16" t="n"/>
      <c r="R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M82" s="16" t="n"/>
      <c r="N82" s="17" t="inlineStr">
        <is>
          <t>Fujin + Raijin + Suigin + 1000 cost</t>
        </is>
      </c>
      <c r="O82" s="16" t="n"/>
      <c r="P82" s="16" t="n"/>
      <c r="Q82" s="16" t="n"/>
      <c r="R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M83" s="16" t="n"/>
      <c r="N83" s="17" t="inlineStr">
        <is>
          <t>Liam the Vastrunner + 1 Cosmic card + 1500 cost</t>
        </is>
      </c>
      <c r="O83" s="16" t="n"/>
      <c r="P83" s="16" t="n"/>
      <c r="Q83" s="16" t="n"/>
      <c r="R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M84" s="16" t="n"/>
      <c r="N84" s="17" t="inlineStr">
        <is>
          <t>2 Europan cards + 1000 cost</t>
        </is>
      </c>
      <c r="O84" s="16" t="n"/>
      <c r="P84" s="16" t="n"/>
      <c r="Q84" s="16" t="n"/>
      <c r="R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M85" s="16" t="n"/>
      <c r="N85" s="16" t="n"/>
      <c r="O85" s="16" t="n"/>
      <c r="P85" s="16" t="n"/>
      <c r="Q85" s="16" t="n"/>
      <c r="R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Their turn start: the owner can destroy this card to ???</t>
        </is>
      </c>
      <c r="K86" t="inlineStr">
        <is>
          <t>Their turn start:  the owner can destroy this card to revive Pyromancer</t>
        </is>
      </c>
      <c r="L86" t="inlineStr">
        <is>
          <t>Full: Single ability only (no coin flip); shortened wording.</t>
        </is>
      </c>
      <c r="M86" s="17" t="inlineStr">
        <is>
          <t>1 ???</t>
        </is>
      </c>
      <c r="N86" s="17" t="inlineStr">
        <is>
          <t>1 Pyromancer + 1000 cost</t>
        </is>
      </c>
      <c r="O86" s="17" t="inlineStr">
        <is>
          <t xml:space="preserve">00000
01110 
01110
01110
00000
</t>
        </is>
      </c>
      <c r="P86" s="16" t="n"/>
      <c r="Q86" s="16" t="n"/>
      <c r="R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M87" s="16" t="n"/>
      <c r="N87" s="16" t="n"/>
      <c r="O87" s="16" t="n"/>
      <c r="P87" s="16" t="n"/>
      <c r="Q87" s="16" t="n"/>
      <c r="R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J88" t="inlineStr">
        <is>
          <t>Cannot select unit with 0 DEF as attack target. Destroy this card in Reckoning with 0 ATK unit</t>
        </is>
      </c>
      <c r="K88" t="inlineStr">
        <is>
          <t>Cannot select unit with ?? DEF as attack target. Destroy this card in Reckoning with ???</t>
        </is>
      </c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M552" s="16" t="n"/>
      <c r="N552" s="16" t="n"/>
      <c r="O552" s="16" t="n"/>
      <c r="P552" s="16" t="n"/>
      <c r="Q552" s="16" t="n"/>
      <c r="R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"&amp;COUNTIF(N3:N545,"Yes")</f>
        <v/>
      </c>
      <c r="Q2" s="3">
        <f>"Booster Pack - Unseen Presence / "&amp;COUNTIF(O3:O545,"Yes")</f>
        <v/>
      </c>
      <c r="R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Flip 3 coin, attacking player loses 20 Crystals per each head(s).</t>
        </is>
      </c>
      <c r="J3" t="inlineStr">
        <is>
          <t>Grammar: coins plural; per Head wording.</t>
        </is>
      </c>
      <c r="K3" s="14" t="n"/>
      <c r="L3" s="15" t="inlineStr">
        <is>
          <t>Yes</t>
        </is>
      </c>
      <c r="M3" s="14" t="n"/>
      <c r="N3" s="15" t="inlineStr">
        <is>
          <t>Yes</t>
        </is>
      </c>
      <c r="O3" s="14" t="n"/>
      <c r="P3" s="15" t="inlineStr">
        <is>
          <t>Yes</t>
        </is>
      </c>
      <c r="Q3" s="14" t="n"/>
      <c r="R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Trapper reveal 1 own cell. Until this turn ends, attacker cannot target that cell.</t>
        </is>
      </c>
      <c r="J4" t="inlineStr">
        <is>
          <t>wording polish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The trapper choose one other cell on their field and reveal it</t>
        </is>
      </c>
      <c r="J5" t="inlineStr">
        <is>
          <t>wording polish</t>
        </is>
      </c>
      <c r="K5" s="16" t="n"/>
      <c r="L5" s="17" t="inlineStr">
        <is>
          <t>Yes</t>
        </is>
      </c>
      <c r="M5" s="16" t="n"/>
      <c r="N5" s="17" t="inlineStr">
        <is>
          <t>Yes</t>
        </is>
      </c>
      <c r="O5" s="16" t="n"/>
      <c r="P5" s="17" t="inlineStr">
        <is>
          <t>Yes</t>
        </is>
      </c>
      <c r="Q5" s="16" t="n"/>
      <c r="R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I6" t="inlineStr">
        <is>
          <t>The attacker choose either discarding 1 Tech Card or end the turn immediately</t>
        </is>
      </c>
      <c r="K6" s="16" t="n"/>
      <c r="L6" s="17" t="inlineStr">
        <is>
          <t>Yes</t>
        </is>
      </c>
      <c r="M6" s="16" t="n"/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Swap the attacker's ATK&amp;DEF until the trapper’s turn ends</t>
        </is>
      </c>
      <c r="J7" t="inlineStr">
        <is>
          <t>ATK&amp;DEF→ATK and DEF</t>
        </is>
      </c>
      <c r="K7" s="16" t="n"/>
      <c r="L7" s="17" t="inlineStr">
        <is>
          <t>Yes</t>
        </is>
      </c>
      <c r="M7" s="16" t="n"/>
      <c r="N7" s="17" t="inlineStr">
        <is>
          <t>Yes</t>
        </is>
      </c>
      <c r="O7" s="16" t="n"/>
      <c r="P7" s="16" t="n"/>
      <c r="Q7" s="17" t="inlineStr">
        <is>
          <t>Yes</t>
        </is>
      </c>
      <c r="R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I8" t="inlineStr">
        <is>
          <t>Destroy the attacking unit. Trapper also pay the same cost as attacker.</t>
        </is>
      </c>
      <c r="K8" s="16" t="n"/>
      <c r="L8" s="17" t="inlineStr">
        <is>
          <t>Yes</t>
        </is>
      </c>
      <c r="M8" s="16" t="n"/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I9" t="inlineStr">
        <is>
          <t>The attacking unit cannot attack during their next turn</t>
        </is>
      </c>
      <c r="K9" s="16" t="n"/>
      <c r="L9" s="17" t="inlineStr">
        <is>
          <t>Yes</t>
        </is>
      </c>
      <c r="M9" s="16" t="n"/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I10" t="inlineStr">
        <is>
          <t>Attacking unit get -10 ATK permanently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I11" t="inlineStr">
        <is>
          <t>This turn, attacker cannot perform any more attack.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6" t="n"/>
      <c r="Q11" s="17" t="inlineStr">
        <is>
          <t>Yes</t>
        </is>
      </c>
      <c r="R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I12" t="inlineStr">
        <is>
          <t>Attacking player loses 300 Crystals. Increase trapper’s Crystal by that amount</t>
        </is>
      </c>
      <c r="K12" s="16" t="n"/>
      <c r="L12" s="17" t="inlineStr">
        <is>
          <t>Yes</t>
        </is>
      </c>
      <c r="M12" s="16" t="n"/>
      <c r="N12" s="16" t="n"/>
      <c r="O12" s="16" t="n"/>
      <c r="P12" s="16" t="n"/>
      <c r="Q12" s="16" t="n"/>
      <c r="R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Trapper switch 1 'Armored' Nature card on their side with this cell, then repeat Reckoning.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I14" t="inlineStr">
        <is>
          <t>Destroy the attacking unit</t>
        </is>
      </c>
      <c r="K14" s="16" t="n"/>
      <c r="L14" s="17" t="inlineStr">
        <is>
          <t>Yes</t>
        </is>
      </c>
      <c r="M14" s="16" t="n"/>
      <c r="N14" s="17" t="inlineStr">
        <is>
          <t>Yes</t>
        </is>
      </c>
      <c r="O14" s="16" t="n"/>
      <c r="P14" s="16" t="n"/>
      <c r="Q14" s="16" t="n"/>
      <c r="R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I15" t="inlineStr">
        <is>
          <t>The attacking unit's ability becomes None until attacker’s next turn ends</t>
        </is>
      </c>
      <c r="K15" s="16" t="n"/>
      <c r="L15" s="17" t="inlineStr">
        <is>
          <t>Yes</t>
        </is>
      </c>
      <c r="M15" s="16" t="n"/>
      <c r="N15" s="17" t="inlineStr">
        <is>
          <t>Yes</t>
        </is>
      </c>
      <c r="O15" s="16" t="n"/>
      <c r="P15" s="16" t="n"/>
      <c r="Q15" s="16" t="n"/>
      <c r="R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Attacker choose their own ally as an attack target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I17" t="inlineStr">
        <is>
          <t>Attacker cannot target surrounding cells until the end of this turn.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6" t="n"/>
      <c r="Q17" s="16" t="n"/>
      <c r="R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I18" t="inlineStr">
        <is>
          <t>-5 ATK to all the attacking player’s units until the end of this turn</t>
        </is>
      </c>
      <c r="K18" s="16" t="n"/>
      <c r="L18" s="17" t="inlineStr">
        <is>
          <t>Yes</t>
        </is>
      </c>
      <c r="M18" s="16" t="n"/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I19" t="inlineStr">
        <is>
          <t>-20 ATK to all the attacking player’s units until the end of this turn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Attacking unit permanently lose 5 ATK&amp;DEF. It lose more 5 ATK&amp;DEF for each trap cards in trapper’s void</t>
        </is>
      </c>
      <c r="J20" t="inlineStr">
        <is>
          <t>ATK&amp;DEF→ATK and DEF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Flip 2 coin, attacking player loses 50 Crystals per each head(s).</t>
        </is>
      </c>
      <c r="J21" t="inlineStr">
        <is>
          <t>Grammar: coins plural; per Head wording.</t>
        </is>
      </c>
      <c r="K21" s="16" t="n"/>
      <c r="L21" s="17" t="inlineStr">
        <is>
          <t>Yes</t>
        </is>
      </c>
      <c r="M21" s="16" t="n"/>
      <c r="N21" s="17" t="inlineStr">
        <is>
          <t>Yes</t>
        </is>
      </c>
      <c r="O21" s="16" t="n"/>
      <c r="P21" s="17" t="inlineStr">
        <is>
          <t>Yes</t>
        </is>
      </c>
      <c r="Q21" s="16" t="n"/>
      <c r="R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Flip 3 coin, attacking player loses 100 Crystals per each head(s).</t>
        </is>
      </c>
      <c r="J22" t="inlineStr">
        <is>
          <t>Grammar: coins plural; per Head wording.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I23" t="inlineStr">
        <is>
          <t>Attacking player loses 200 Crystals</t>
        </is>
      </c>
      <c r="K23" s="16" t="n"/>
      <c r="L23" s="17" t="inlineStr">
        <is>
          <t>Yes</t>
        </is>
      </c>
      <c r="M23" s="16" t="n"/>
      <c r="N23" s="16" t="n"/>
      <c r="O23" s="16" t="n"/>
      <c r="P23" s="16" t="n"/>
      <c r="Q23" s="16" t="n"/>
      <c r="R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I24" t="inlineStr">
        <is>
          <t>Attacking player lose 150 Crystals for each unit cards in trapper’s void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I25" t="inlineStr">
        <is>
          <t>-10 ATK to the attacking monster permanently for each unit cards in trapper’s void</t>
        </is>
      </c>
      <c r="K25" s="16" t="n"/>
      <c r="L25" s="17" t="inlineStr">
        <is>
          <t>Yes</t>
        </is>
      </c>
      <c r="M25" s="16" t="n"/>
      <c r="N25" s="16" t="n"/>
      <c r="O25" s="16" t="n"/>
      <c r="P25" s="16" t="n"/>
      <c r="Q25" s="16" t="n"/>
      <c r="R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If attacker is Bio, flip a coin. Head: destroy it. Always head, if trapper’s Crystal is 1000 or less.</t>
        </is>
      </c>
      <c r="J26" t="inlineStr">
        <is>
          <t>Head→Heads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If attacker is Arcane, flip a coin. Head: destroy it. Always head, if trapper’s Crystal is 1000 or less.</t>
        </is>
      </c>
      <c r="J27" t="inlineStr">
        <is>
          <t>Head→Heads</t>
        </is>
      </c>
      <c r="K27" s="16" t="n"/>
      <c r="L27" s="17" t="inlineStr">
        <is>
          <t>Yes</t>
        </is>
      </c>
      <c r="M27" s="16" t="n"/>
      <c r="N27" s="16" t="n"/>
      <c r="O27" s="16" t="n"/>
      <c r="P27" s="16" t="n"/>
      <c r="Q27" s="16" t="n"/>
      <c r="R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If attacker is Anima, flip a coin. Head: destroy it. Always head, if trapper’s Crystal is 1000 or less.</t>
        </is>
      </c>
      <c r="J28" t="inlineStr">
        <is>
          <t>Head→Heads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If attacker is Divine, flip a coin. Head: destroy it. Always head, if trapper’s Crystal is 1000 or less.</t>
        </is>
      </c>
      <c r="J29" t="inlineStr">
        <is>
          <t>Head→Heads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If attacker is Chaos, flip a coin. Head: destroy it. Always head, if trapper’s Crystal is 1000 or less.</t>
        </is>
      </c>
      <c r="J30" t="inlineStr">
        <is>
          <t>Head→Heads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If attacker is Cosmic, flip a coin. Head: destroy it. Always head, if trapper’s Crystal is 1000 or less.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If attacker is Nature, flip a coin. Head: destroy it. Always head, if trapper’s Crystal is 1000 or less.</t>
        </is>
      </c>
      <c r="J32" t="inlineStr">
        <is>
          <t>Head→Heads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I33" t="inlineStr">
        <is>
          <t>If the attacking monster is the first one in that turn, destroy it.</t>
        </is>
      </c>
      <c r="K33" s="16" t="n"/>
      <c r="L33" s="17" t="inlineStr">
        <is>
          <t>Yes</t>
        </is>
      </c>
      <c r="M33" s="16" t="n"/>
      <c r="N33" s="16" t="n"/>
      <c r="O33" s="16" t="n"/>
      <c r="P33" s="16" t="n"/>
      <c r="Q33" s="16" t="n"/>
      <c r="R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I34" t="inlineStr">
        <is>
          <t>If attacking unit Is Bio affinity, end their turn immediately. Remove all flags from it.</t>
        </is>
      </c>
      <c r="K34" s="16" t="n"/>
      <c r="L34" s="17" t="inlineStr">
        <is>
          <t>Yes</t>
        </is>
      </c>
      <c r="M34" s="16" t="n"/>
      <c r="N34" s="16" t="n"/>
      <c r="O34" s="16" t="n"/>
      <c r="P34" s="16" t="n"/>
      <c r="Q34" s="16" t="n"/>
      <c r="R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I35" t="inlineStr">
        <is>
          <t>If attacker is Arcane, end the their turn immediately.</t>
        </is>
      </c>
      <c r="K35" s="16" t="n"/>
      <c r="L35" s="17" t="inlineStr">
        <is>
          <t>Yes</t>
        </is>
      </c>
      <c r="M35" s="16" t="n"/>
      <c r="N35" s="16" t="n"/>
      <c r="O35" s="16" t="n"/>
      <c r="P35" s="16" t="n"/>
      <c r="Q35" s="16" t="n"/>
      <c r="R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I36" t="inlineStr">
        <is>
          <t>If attacker is Chaos, -50 ATK to that monster permanently</t>
        </is>
      </c>
      <c r="K36" s="16" t="n"/>
      <c r="L36" s="17" t="inlineStr">
        <is>
          <t>Yes</t>
        </is>
      </c>
      <c r="M36" s="16" t="n"/>
      <c r="N36" s="16" t="n"/>
      <c r="O36" s="16" t="n"/>
      <c r="P36" s="16" t="n"/>
      <c r="Q36" s="16" t="n"/>
      <c r="R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I37" t="inlineStr">
        <is>
          <t>If attacker is Divine, -50 DEF to that monster permanently</t>
        </is>
      </c>
      <c r="K37" s="16" t="n"/>
      <c r="L37" s="17" t="inlineStr">
        <is>
          <t>Yes</t>
        </is>
      </c>
      <c r="M37" s="16" t="n"/>
      <c r="N37" s="16" t="n"/>
      <c r="O37" s="16" t="n"/>
      <c r="P37" s="16" t="n"/>
      <c r="Q37" s="16" t="n"/>
      <c r="R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I38" t="inlineStr">
        <is>
          <t>If attacker is Nature, it cannot attack until attacker’s next turn ends</t>
        </is>
      </c>
      <c r="K38" s="16" t="n"/>
      <c r="L38" s="17" t="inlineStr">
        <is>
          <t>Yes</t>
        </is>
      </c>
      <c r="M38" s="16" t="n"/>
      <c r="N38" s="16" t="n"/>
      <c r="O38" s="16" t="n"/>
      <c r="P38" s="16" t="n"/>
      <c r="Q38" s="16" t="n"/>
      <c r="R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If attacker Is Anima -15 ATK to all exposed cards on their field until attacker’s next turn ends</t>
        </is>
      </c>
      <c r="J39" t="inlineStr">
        <is>
          <t>wording polish</t>
        </is>
      </c>
      <c r="K39" s="16" t="n"/>
      <c r="L39" s="17" t="inlineStr">
        <is>
          <t>Yes</t>
        </is>
      </c>
      <c r="M39" s="16" t="n"/>
      <c r="N39" s="16" t="n"/>
      <c r="O39" s="16" t="n"/>
      <c r="P39" s="16" t="n"/>
      <c r="Q39" s="16" t="n"/>
      <c r="R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If attacker is Cosmic, foe lose 1000 Crystals</t>
        </is>
      </c>
      <c r="J40" t="inlineStr">
        <is>
          <t>wording polish</t>
        </is>
      </c>
      <c r="K40" s="16" t="n"/>
      <c r="L40" s="17" t="inlineStr">
        <is>
          <t>Yes</t>
        </is>
      </c>
      <c r="M40" s="16" t="n"/>
      <c r="N40" s="16" t="n"/>
      <c r="O40" s="16" t="n"/>
      <c r="P40" s="16" t="n"/>
      <c r="Q40" s="16" t="n"/>
      <c r="R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I41" t="inlineStr">
        <is>
          <t>If attacking unit Is Union card, that unit cannot attack until the attacker’s next turn ends.</t>
        </is>
      </c>
      <c r="K41" s="16" t="n"/>
      <c r="L41" s="17" t="inlineStr">
        <is>
          <t>Yes</t>
        </is>
      </c>
      <c r="M41" s="16" t="n"/>
      <c r="N41" s="16" t="n"/>
      <c r="O41" s="16" t="n"/>
      <c r="P41" s="16" t="n"/>
      <c r="Q41" s="16" t="n"/>
      <c r="R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I42" t="inlineStr">
        <is>
          <t>The attacker choose to let trapper receive 2000 Crystals, or destroy the attacking monster.</t>
        </is>
      </c>
      <c r="K42" s="16" t="n"/>
      <c r="L42" s="17" t="inlineStr">
        <is>
          <t>Yes</t>
        </is>
      </c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I43" t="inlineStr">
        <is>
          <t>This turn, attacker cannot perform any more attack using unit with 400 or less cost.</t>
        </is>
      </c>
      <c r="K43" s="16" t="n"/>
      <c r="L43" s="17" t="inlineStr">
        <is>
          <t>Yes</t>
        </is>
      </c>
      <c r="M43" s="16" t="n"/>
      <c r="N43" s="17" t="inlineStr">
        <is>
          <t>Yes</t>
        </is>
      </c>
      <c r="O43" s="16" t="n"/>
      <c r="P43" s="16" t="n"/>
      <c r="Q43" s="17" t="inlineStr">
        <is>
          <t>Yes</t>
        </is>
      </c>
      <c r="R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I44" t="inlineStr">
        <is>
          <t>All of trapper’s unit gain +5 DEF in Reckoning until attacker’s next turn ends</t>
        </is>
      </c>
      <c r="K44" s="16" t="n"/>
      <c r="L44" s="17" t="inlineStr">
        <is>
          <t>Yes</t>
        </is>
      </c>
      <c r="M44" s="16" t="n"/>
      <c r="N44" s="17" t="inlineStr">
        <is>
          <t>Yes</t>
        </is>
      </c>
      <c r="O44" s="16" t="n"/>
      <c r="P44" s="16" t="n"/>
      <c r="Q44" s="17" t="inlineStr">
        <is>
          <t>Yes</t>
        </is>
      </c>
      <c r="R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I45" t="inlineStr">
        <is>
          <t>All of trapper’s units gain +15 DEF in Reckoning until attacker’s next turn ends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Trapper select 1 unit and swap or relocate to any cell. Repeat Reckoning if it’s this cell.</t>
        </is>
      </c>
      <c r="J46" t="inlineStr">
        <is>
          <t>wording polish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I47" t="inlineStr">
        <is>
          <t>All of attacker’s unit get -10 ATK in Reckoning until this turn’s end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Foe lose 1000 Crystals if they target this card with any tech card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When foe use a tech card, this card can be triggered. That tech card effect is cancelled.</t>
        </is>
      </c>
      <c r="J49" t="inlineStr">
        <is>
          <t>wording polish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Attacker end their turn immediately. If attacker have any remaining attack, they are transferred to their next turn.</t>
        </is>
      </c>
      <c r="J50" t="inlineStr">
        <is>
          <t>subject-verb grammar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I51" t="inlineStr">
        <is>
          <t>Until the end of trapper’s turn, All exposed Bio monster gain +5 ATK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Flip 2 coin, if both are head, that unit cannot until attacker’s next turn ends</t>
        </is>
      </c>
      <c r="J52" t="inlineStr">
        <is>
          <t>Fixed incomplete sentence.</t>
        </is>
      </c>
      <c r="K52" s="16" t="n"/>
      <c r="L52" s="17" t="inlineStr">
        <is>
          <t>Yes</t>
        </is>
      </c>
      <c r="M52" s="16" t="n"/>
      <c r="N52" s="17" t="inlineStr">
        <is>
          <t>Yes</t>
        </is>
      </c>
      <c r="O52" s="16" t="n"/>
      <c r="P52" s="16" t="n"/>
      <c r="Q52" s="17" t="inlineStr">
        <is>
          <t>Yes</t>
        </is>
      </c>
      <c r="R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I53" t="inlineStr">
        <is>
          <t>Attacking unit get -5 DEF until the end of trapper’s turn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I54" t="inlineStr">
        <is>
          <t>Attacking unit get -15 DEF until the end of trapper’s turn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I55" t="inlineStr">
        <is>
          <t>Reveal 1 of trapper’s cell, they receive 100 Crystal</t>
        </is>
      </c>
      <c r="K55" s="16" t="n"/>
      <c r="L55" s="17" t="inlineStr">
        <is>
          <t>Yes</t>
        </is>
      </c>
      <c r="M55" s="16" t="n"/>
      <c r="N55" s="17" t="inlineStr">
        <is>
          <t>Yes</t>
        </is>
      </c>
      <c r="O55" s="16" t="n"/>
      <c r="P55" s="17" t="inlineStr">
        <is>
          <t>Yes</t>
        </is>
      </c>
      <c r="Q55" s="16" t="n"/>
      <c r="R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Until this turn ends, All trapper’s Anima monster gain +10 DEF in Reckoning</t>
        </is>
      </c>
      <c r="J56" t="inlineStr">
        <is>
          <t>wording polish</t>
        </is>
      </c>
      <c r="K56" s="16" t="n"/>
      <c r="L56" s="17" t="inlineStr">
        <is>
          <t>Yes</t>
        </is>
      </c>
      <c r="M56" s="16" t="n"/>
      <c r="N56" s="17" t="inlineStr">
        <is>
          <t>Yes</t>
        </is>
      </c>
      <c r="O56" s="16" t="n"/>
      <c r="P56" s="17" t="inlineStr">
        <is>
          <t>Yes</t>
        </is>
      </c>
      <c r="Q56" s="16" t="n"/>
      <c r="R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Trapper select 1 Nature unit. Until the end of trapper’s turn, that card gain +10 ATK</t>
        </is>
      </c>
      <c r="J57" t="inlineStr">
        <is>
          <t>wording polish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Trapper select 1 of their unit. +10 ATK until trapper’s turn ends, but also destroy it. Trapper pay no cost.</t>
        </is>
      </c>
      <c r="J58" t="inlineStr">
        <is>
          <t>wording polish</t>
        </is>
      </c>
      <c r="K58" s="16" t="n"/>
      <c r="L58" s="17" t="inlineStr">
        <is>
          <t>Yes</t>
        </is>
      </c>
      <c r="M58" s="16" t="n"/>
      <c r="N58" s="17" t="inlineStr">
        <is>
          <t>Yes</t>
        </is>
      </c>
      <c r="O58" s="16" t="n"/>
      <c r="P58" s="16" t="n"/>
      <c r="Q58" s="16" t="n"/>
      <c r="R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I59" t="inlineStr">
        <is>
          <t>Until the end of trapper’s turn, if trapper destroy that unit, they receive Crystal equal to half of the unit’s cost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Flip 2 coin, if head, the attacker lose -5 ATK for each head(s) until attacker’s next turn ends.</t>
        </is>
      </c>
      <c r="J60" t="inlineStr">
        <is>
          <t>Grammar; removed double negative 'lose -5'.</t>
        </is>
      </c>
      <c r="K60" s="16" t="n"/>
      <c r="L60" s="17" t="inlineStr">
        <is>
          <t>Yes</t>
        </is>
      </c>
      <c r="M60" s="16" t="n"/>
      <c r="N60" s="17" t="inlineStr">
        <is>
          <t>Yes</t>
        </is>
      </c>
      <c r="O60" s="16" t="n"/>
      <c r="P60" s="16" t="n"/>
      <c r="Q60" s="17" t="inlineStr">
        <is>
          <t>Yes</t>
        </is>
      </c>
      <c r="R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If trapper have 1000 or less Crystal, drain Crystal from attacker until both players have same amount of Crystals</t>
        </is>
      </c>
      <c r="J61" t="inlineStr">
        <is>
          <t>wording polish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Destroy the attacker with 20 or less ATK. Attacker side pay no cost.</t>
        </is>
      </c>
      <c r="J62" t="inlineStr">
        <is>
          <t>wording polish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K91" s="16" t="n"/>
      <c r="L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"&amp;COUNTIF(N3:N556,"Yes")</f>
        <v/>
      </c>
      <c r="Q2" s="3">
        <f>"Booster Pack - Unseen Presence / "&amp;COUNTIF(O3:O556,"Yes")</f>
        <v/>
      </c>
      <c r="R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Choose any square on their own field and reveal it</t>
        </is>
      </c>
      <c r="J3" t="inlineStr">
        <is>
          <t>Shortened; cell terminology.</t>
        </is>
      </c>
      <c r="K3" s="14" t="n"/>
      <c r="L3" s="15" t="inlineStr">
        <is>
          <t>Yes</t>
        </is>
      </c>
      <c r="M3" s="14" t="n"/>
      <c r="N3" s="14" t="n"/>
      <c r="O3" s="14" t="n"/>
      <c r="P3" s="14" t="n"/>
      <c r="Q3" s="14" t="n"/>
      <c r="R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I4" t="inlineStr">
        <is>
          <t>Reveal 1 of foe’s cell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I5" t="inlineStr">
        <is>
          <t>Both players skip 1 turn (tax is forced to apply)</t>
        </is>
      </c>
      <c r="K5" s="16" t="n"/>
      <c r="L5" s="17" t="inlineStr">
        <is>
          <t>Yes</t>
        </is>
      </c>
      <c r="M5" s="16" t="n"/>
      <c r="N5" s="16" t="n"/>
      <c r="O5" s="16" t="n"/>
      <c r="P5" s="16" t="n"/>
      <c r="Q5" s="16" t="n"/>
      <c r="R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I6" t="inlineStr">
        <is>
          <t>Both players select 1 monster from their field. Those monster cannot attack until this player’s next turn ends</t>
        </is>
      </c>
      <c r="K6" s="16" t="n"/>
      <c r="L6" s="17" t="inlineStr">
        <is>
          <t>Yes</t>
        </is>
      </c>
      <c r="M6" s="16" t="n"/>
      <c r="N6" s="16" t="n"/>
      <c r="O6" s="16" t="n"/>
      <c r="P6" s="16" t="n"/>
      <c r="Q6" s="16" t="n"/>
      <c r="R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Only trigger if this player have Spy card in the void. Reveal 2 square on foe's side of the field.</t>
        </is>
      </c>
      <c r="J7" t="inlineStr">
        <is>
          <t>square→cell</t>
        </is>
      </c>
      <c r="K7" s="16" t="n"/>
      <c r="L7" s="17" t="inlineStr">
        <is>
          <t>Yes</t>
        </is>
      </c>
      <c r="M7" s="16" t="n"/>
      <c r="N7" s="16" t="n"/>
      <c r="O7" s="16" t="n"/>
      <c r="P7" s="16" t="n"/>
      <c r="Q7" s="16" t="n"/>
      <c r="R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Only trigger if this player have Double Spy card in the void. Reveal 2 square on foe's side of the field.</t>
        </is>
      </c>
      <c r="J8" t="inlineStr">
        <is>
          <t>square→cell</t>
        </is>
      </c>
      <c r="K8" s="16" t="n"/>
      <c r="L8" s="17" t="inlineStr">
        <is>
          <t>Yes</t>
        </is>
      </c>
      <c r="M8" s="16" t="n"/>
      <c r="N8" s="16" t="n"/>
      <c r="O8" s="16" t="n"/>
      <c r="P8" s="16" t="n"/>
      <c r="Q8" s="16" t="n"/>
      <c r="R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Reveal 3 square on foe's side of the field. If any trap or unit is found, this player pays 700 Crystal for each card found.</t>
        </is>
      </c>
      <c r="J9" t="inlineStr">
        <is>
          <t>Shortened; cell/Crystal cost.</t>
        </is>
      </c>
      <c r="K9" s="16" t="n"/>
      <c r="L9" s="17" t="inlineStr">
        <is>
          <t>Yes</t>
        </is>
      </c>
      <c r="M9" s="16" t="n"/>
      <c r="N9" s="16" t="n"/>
      <c r="O9" s="16" t="n"/>
      <c r="P9" s="16" t="n"/>
      <c r="Q9" s="16" t="n"/>
      <c r="R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I10" t="inlineStr">
        <is>
          <t>Foe choose and reveal 1 of their cell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I11" t="inlineStr">
        <is>
          <t>Foe can choose to reveal a unit card and receive 700 Crystals or do nothing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7" t="inlineStr">
        <is>
          <t>Yes</t>
        </is>
      </c>
      <c r="Q11" s="16" t="n"/>
      <c r="R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Add Mutagen Flag to 1 of this player’s unit</t>
        </is>
      </c>
      <c r="J12" t="inlineStr">
        <is>
          <t>wording polish</t>
        </is>
      </c>
      <c r="K12" s="16" t="n"/>
      <c r="L12" s="17" t="inlineStr">
        <is>
          <t>Yes</t>
        </is>
      </c>
      <c r="M12" s="16" t="n"/>
      <c r="N12" s="17" t="inlineStr">
        <is>
          <t>Yes</t>
        </is>
      </c>
      <c r="O12" s="16" t="n"/>
      <c r="P12" s="16" t="n"/>
      <c r="Q12" s="17" t="inlineStr">
        <is>
          <t>Yes</t>
        </is>
      </c>
      <c r="R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Once, until foe’s turn ends: prevent Divine card from being destroyed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Destroy up to 3 exposed foe units (no cost is paid). This player discard all of their tech cards afterward.</t>
        </is>
      </c>
      <c r="J14" t="inlineStr">
        <is>
          <t>wording polish</t>
        </is>
      </c>
      <c r="K14" s="16" t="n"/>
      <c r="L14" s="17" t="inlineStr">
        <is>
          <t>Yes</t>
        </is>
      </c>
      <c r="M14" s="16" t="n"/>
      <c r="N14" s="16" t="n"/>
      <c r="O14" s="16" t="n"/>
      <c r="P14" s="16" t="n"/>
      <c r="Q14" s="16" t="n"/>
      <c r="R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Select 1 exposed foe’s card. Destroy other exposed units on that same rows. Foe don’t pay cost.</t>
        </is>
      </c>
      <c r="J15" t="inlineStr">
        <is>
          <t>Shortened; Exposed/cell/Crystal cost.</t>
        </is>
      </c>
      <c r="K15" s="16" t="n"/>
      <c r="L15" s="17" t="inlineStr">
        <is>
          <t>Yes</t>
        </is>
      </c>
      <c r="M15" s="16" t="n"/>
      <c r="N15" s="16" t="n"/>
      <c r="O15" s="16" t="n"/>
      <c r="P15" s="16" t="n"/>
      <c r="Q15" s="16" t="n"/>
      <c r="R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This player select up to 5 of their units and reveal them.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6" t="n"/>
      <c r="R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This player’s units get +10 ATK&amp;DEF in Reckoning until turn’s end</t>
        </is>
      </c>
      <c r="J17" t="inlineStr">
        <is>
          <t>ATK&amp;DEF→ATK and DEF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7" t="inlineStr">
        <is>
          <t>Yes</t>
        </is>
      </c>
      <c r="Q17" s="16" t="n"/>
      <c r="R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I18" t="inlineStr">
        <is>
          <t>+10 ATK permanently to one of this player's unit.</t>
        </is>
      </c>
      <c r="K18" s="16" t="n"/>
      <c r="L18" s="17" t="inlineStr">
        <is>
          <t>Yes</t>
        </is>
      </c>
      <c r="M18" s="16" t="n"/>
      <c r="N18" s="16" t="n"/>
      <c r="O18" s="16" t="n"/>
      <c r="P18" s="16" t="n"/>
      <c r="Q18" s="16" t="n"/>
      <c r="R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I19" t="inlineStr">
        <is>
          <t>+30 ATK for 1 unit until the end of this turn.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Can only be used on face-down card. Turn that card exposed and +15 ATK until the end of this turn.</t>
        </is>
      </c>
      <c r="J20" t="inlineStr">
        <is>
          <t>wording polish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I21" t="inlineStr">
        <is>
          <t>Until foe's turn ends: +20 DEF to all this player's cards in Reckoning</t>
        </is>
      </c>
      <c r="K21" s="16" t="n"/>
      <c r="L21" s="17" t="inlineStr">
        <is>
          <t>Yes</t>
        </is>
      </c>
      <c r="M21" s="16" t="n"/>
      <c r="N21" s="16" t="n"/>
      <c r="O21" s="16" t="n"/>
      <c r="P21" s="16" t="n"/>
      <c r="Q21" s="16" t="n"/>
      <c r="R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+15 DEF permanently for 1 exposed unit. If use on face-down card, flip it up.</t>
        </is>
      </c>
      <c r="J22" t="inlineStr">
        <is>
          <t>wording polish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Until the end of this turn, once, foe’s defending unit is destroyed.</t>
        </is>
      </c>
      <c r="J23" t="inlineStr">
        <is>
          <t>shortened</t>
        </is>
      </c>
      <c r="K23" s="16" t="n"/>
      <c r="L23" s="17" t="inlineStr">
        <is>
          <t>Yes</t>
        </is>
      </c>
      <c r="M23" s="16" t="n"/>
      <c r="N23" s="17" t="inlineStr">
        <is>
          <t>Yes</t>
        </is>
      </c>
      <c r="O23" s="16" t="n"/>
      <c r="P23" s="16" t="n"/>
      <c r="Q23" s="16" t="n"/>
      <c r="R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Destroy 1 of foe’s exposed card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Destroy 1 of foe’s exposed card. If there is no exposed card, foe must chooses the target. Foe pay no cost.</t>
        </is>
      </c>
      <c r="J25" t="inlineStr">
        <is>
          <t>Shortened; Exposed terminology.</t>
        </is>
      </c>
      <c r="K25" s="16" t="n"/>
      <c r="L25" s="17" t="inlineStr">
        <is>
          <t>Yes</t>
        </is>
      </c>
      <c r="M25" s="16" t="n"/>
      <c r="N25" s="17" t="inlineStr">
        <is>
          <t>Yes</t>
        </is>
      </c>
      <c r="O25" s="16" t="n"/>
      <c r="P25" s="16" t="n"/>
      <c r="Q25" s="16" t="n"/>
      <c r="R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this player's only attacker this turn. Cannot use if this player already attacked.</t>
        </is>
      </c>
      <c r="I26" t="inlineStr">
        <is>
          <t>Select 1 of this player's exposed unit. They get 1 additional attack, but can only perform attack with that unit. Can’t use this card if already performed any attack.</t>
        </is>
      </c>
      <c r="J26" t="inlineStr">
        <is>
          <t>Shortened; Exposed terminology; no You/Your.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I27" t="inlineStr">
        <is>
          <t>Reveal 3 of foe’s cell</t>
        </is>
      </c>
      <c r="K27" s="16" t="n"/>
      <c r="L27" s="17" t="inlineStr">
        <is>
          <t>Yes</t>
        </is>
      </c>
      <c r="M27" s="16" t="n"/>
      <c r="N27" s="17" t="inlineStr">
        <is>
          <t>Yes</t>
        </is>
      </c>
      <c r="O27" s="16" t="n"/>
      <c r="P27" s="17" t="inlineStr">
        <is>
          <t>Yes</t>
        </is>
      </c>
      <c r="Q27" s="16" t="n"/>
      <c r="R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I28" t="inlineStr">
        <is>
          <t>This player reveal 1 face-down unit. Foe must reveal 1 of their face-down unit (if any)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This player choose 1 unit. Move all its ATK&amp;DEF bonuses or debuffs to another ally unit.</t>
        </is>
      </c>
      <c r="J29" t="inlineStr">
        <is>
          <t>ATK&amp;DEF→ATK and DEF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Destroy 1 card on the this player’s field (No paid cost). Choose 1 of foe's exposed unit. Its ATK&amp;DEF becomes 0 permanently</t>
        </is>
      </c>
      <c r="J30" t="inlineStr">
        <is>
          <t>Fixed 'the this'; terminology.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this player's next turn.</t>
        </is>
      </c>
      <c r="I31" t="inlineStr">
        <is>
          <t>This player. Choose 1 unit. Create a token copy of it on an empty cell. Destroy it at the end of this player’s next turn.</t>
        </is>
      </c>
      <c r="J31" t="inlineStr">
        <is>
          <t>Removed dangling 'This player.'; no You/Your; shortened.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Once only, revive 1 unit to any unoccupied or empty cell in exposed position. Double its Crystal cost.</t>
        </is>
      </c>
      <c r="J32" t="inlineStr">
        <is>
          <t>wording polish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Once, revive 1 unit. It has no ATK,DEF, or ability.</t>
        </is>
      </c>
      <c r="J33" t="inlineStr">
        <is>
          <t>wording polish</t>
        </is>
      </c>
      <c r="K33" s="16" t="n"/>
      <c r="L33" s="17" t="inlineStr">
        <is>
          <t>Yes</t>
        </is>
      </c>
      <c r="M33" s="16" t="n"/>
      <c r="N33" s="17" t="inlineStr">
        <is>
          <t>Yes</t>
        </is>
      </c>
      <c r="O33" s="16" t="n"/>
      <c r="P33" s="16" t="n"/>
      <c r="Q33" s="16" t="n"/>
      <c r="R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Foe show 1 tech card in their hand. Add a copy of that card into this player's Tech Stack.</t>
        </is>
      </c>
      <c r="J34" t="inlineStr">
        <is>
          <t>wording polish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This player select 1card. It is not destroyed until the end of foe's turn</t>
        </is>
      </c>
      <c r="J35" t="inlineStr">
        <is>
          <t>wording polish</t>
        </is>
      </c>
      <c r="K35" s="16" t="n"/>
      <c r="L35" s="16" t="n"/>
      <c r="M35" s="16" t="n"/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I36" t="inlineStr">
        <is>
          <t>Destroy as many ally ‘wisp’ units. Reveal that much cells on foe's field.</t>
        </is>
      </c>
      <c r="K36" s="16" t="n"/>
      <c r="L36" s="16" t="n"/>
      <c r="M36" s="16" t="n"/>
      <c r="N36" s="16" t="n"/>
      <c r="O36" s="16" t="n"/>
      <c r="P36" s="16" t="n"/>
      <c r="Q36" s="16" t="n"/>
      <c r="R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1000 or less.</t>
        </is>
      </c>
      <c r="I37" t="inlineStr">
        <is>
          <t>Flip a coin. If head, receive 600 Crystals. Always head, if trapper’s Crystal is 1000 or less.</t>
        </is>
      </c>
      <c r="J37" t="inlineStr">
        <is>
          <t>Head→Heads</t>
        </is>
      </c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I38" t="inlineStr">
        <is>
          <t>Revive 1 immortal vampire or vampire servant.</t>
        </is>
      </c>
      <c r="K38" s="16" t="n"/>
      <c r="L38" s="16" t="n"/>
      <c r="M38" s="16" t="n"/>
      <c r="N38" s="16" t="n"/>
      <c r="O38" s="16" t="n"/>
      <c r="P38" s="16" t="n"/>
      <c r="Q38" s="16" t="n"/>
      <c r="R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Swap ATK&amp;DEF on 1 exposed unit until the end of this turn</t>
        </is>
      </c>
      <c r="J39" t="inlineStr">
        <is>
          <t>ATK&amp;DEF→ATK and DEF</t>
        </is>
      </c>
      <c r="K39" s="16" t="n"/>
      <c r="L39" s="16" t="n"/>
      <c r="M39" s="16" t="n"/>
      <c r="N39" s="16" t="n"/>
      <c r="O39" s="16" t="n"/>
      <c r="P39" s="16" t="n"/>
      <c r="Q39" s="16" t="n"/>
      <c r="R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I40" t="inlineStr">
        <is>
          <t>Receive 20 Crystals</t>
        </is>
      </c>
      <c r="K40" s="16" t="n"/>
      <c r="L40" s="16" t="n"/>
      <c r="M40" s="16" t="n"/>
      <c r="N40" s="16" t="n"/>
      <c r="O40" s="16" t="n"/>
      <c r="P40" s="16" t="n"/>
      <c r="Q40" s="16" t="n"/>
      <c r="R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I41" t="inlineStr">
        <is>
          <t>Receive 50 Crystals</t>
        </is>
      </c>
      <c r="K41" s="16" t="n"/>
      <c r="L41" s="16" t="n"/>
      <c r="M41" s="16" t="n"/>
      <c r="N41" s="16" t="n"/>
      <c r="O41" s="16" t="n"/>
      <c r="P41" s="16" t="n"/>
      <c r="Q41" s="16" t="n"/>
      <c r="R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Flip a coin. If head, receive 100 Crystals.</t>
        </is>
      </c>
      <c r="J42" t="inlineStr">
        <is>
          <t>Head→Heads</t>
        </is>
      </c>
      <c r="K42" s="16" t="n"/>
      <c r="L42" s="16" t="n"/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Flip a coin. If head, receive 200 Crystals. If tail, lose 400 Crystals</t>
        </is>
      </c>
      <c r="J43" t="inlineStr">
        <is>
          <t>Head→Heads; Tail→Tails</t>
        </is>
      </c>
      <c r="K43" s="16" t="n"/>
      <c r="L43" s="16" t="n"/>
      <c r="M43" s="16" t="n"/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I44" t="inlineStr">
        <is>
          <t>Foe receive 50 Crystals</t>
        </is>
      </c>
      <c r="K44" s="16" t="n"/>
      <c r="L44" s="16" t="n"/>
      <c r="M44" s="16" t="n"/>
      <c r="N44" s="16" t="n"/>
      <c r="O44" s="16" t="n"/>
      <c r="P44" s="16" t="n"/>
      <c r="Q44" s="16" t="n"/>
      <c r="R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Until the end of foe's turn, if foe attack the bluffed cell, foe receive 1000 Crystals.</t>
        </is>
      </c>
      <c r="J45" t="inlineStr">
        <is>
          <t>wording polish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I46" t="inlineStr">
        <is>
          <t>End this player’s turn without paying tax (the tax penalty still doubles)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I47" t="inlineStr">
        <is>
          <t>This turn, whenever this player attack a Dead End, they receive 20 Crystals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-10 DEF to 1 exposed unit on the field until the end of this turn. Foe receive 500 Crystals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I49" t="inlineStr">
        <is>
          <t>Send an emoticon bubble to another player once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I50" t="inlineStr">
        <is>
          <t>Send a very short message to foe once.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I51" t="inlineStr">
        <is>
          <t>Receive 200 Crystals. At the end of this player’s turn, they lose 300 Crystals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Flip a coin. If head, +5 ATK to 1 ally unit until this turn ends.</t>
        </is>
      </c>
      <c r="J52" t="inlineStr">
        <is>
          <t>Head→Heads</t>
        </is>
      </c>
      <c r="K52" s="16" t="n"/>
      <c r="L52" s="16" t="n"/>
      <c r="M52" s="16" t="n"/>
      <c r="N52" s="16" t="n"/>
      <c r="O52" s="16" t="n"/>
      <c r="P52" s="16" t="n"/>
      <c r="Q52" s="16" t="n"/>
      <c r="R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Flip a coin. If head, +5 DEF to 1 ally unit until this turn ends.</t>
        </is>
      </c>
      <c r="J53" t="inlineStr">
        <is>
          <t>Head→Heads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I54" t="inlineStr">
        <is>
          <t>+10 ATK to one ally unit permanently. But its DEF becomes 0 permanently.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Both players select 1 of their unit. They gain +10 ATK&amp;DEF permanently</t>
        </is>
      </c>
      <c r="J55" t="inlineStr">
        <is>
          <t>ATK&amp;DEF→ATK and DEF</t>
        </is>
      </c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I56" t="inlineStr">
        <is>
          <t>Send a medium length message to foe once.</t>
        </is>
      </c>
      <c r="K56" s="16" t="n"/>
      <c r="L56" s="16" t="n"/>
      <c r="M56" s="16" t="n"/>
      <c r="N56" s="16" t="n"/>
      <c r="O56" s="16" t="n"/>
      <c r="P56" s="16" t="n"/>
      <c r="Q56" s="16" t="n"/>
      <c r="R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I57" t="inlineStr">
        <is>
          <t>Receive 600 Crystals. At this player’s next turn’s end: lose 800 Crystals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I58" t="inlineStr">
        <is>
          <t>+5 ATK to 1 ally unit until this turn ends.</t>
        </is>
      </c>
      <c r="K58" s="16" t="n"/>
      <c r="L58" s="16" t="n"/>
      <c r="M58" s="16" t="n"/>
      <c r="N58" s="16" t="n"/>
      <c r="O58" s="16" t="n"/>
      <c r="P58" s="16" t="n"/>
      <c r="Q58" s="16" t="n"/>
      <c r="R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I59" t="inlineStr">
        <is>
          <t>+5 DEF to 1 ally unit until this turn ends.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I60" t="inlineStr">
        <is>
          <t>At the end of foe’s turn, foe must attack the selected cell first.</t>
        </is>
      </c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I61" t="inlineStr">
        <is>
          <t>Send a long message to foe once.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I62" t="inlineStr">
        <is>
          <t>Receive 1200 Crystals. At the end of this player’s turn, lose 1500 Crystals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I63" t="inlineStr">
        <is>
          <t>Send a very big improper emoticon bubble to foe</t>
        </is>
      </c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I64" t="inlineStr">
        <is>
          <t>Send a very big lovely emoticon bubble to foe</t>
        </is>
      </c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+20 DEF permanently to ally unit or foe’s exposed unit. But its ATK becomes 0 permanently.</t>
        </is>
      </c>
      <c r="J65" t="inlineStr">
        <is>
          <t>wording polish</t>
        </is>
      </c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I66" t="inlineStr">
        <is>
          <t>+20 DEF permanently to ally unit. But its ATK becomes 0 permanently.</t>
        </is>
      </c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Both players select 1 of their unit. They gain +30 ATK&amp;DEF</t>
        </is>
      </c>
      <c r="J67" t="inlineStr">
        <is>
          <t>ATK&amp;DEF→ATK and DEF</t>
        </is>
      </c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Until the end of foe's turn, If they attack a non-unit card, flip a coin. Head: destroy the attacking unit.</t>
        </is>
      </c>
      <c r="J68" t="inlineStr">
        <is>
          <t>Head→Heads</t>
        </is>
      </c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Until the end of foe's turn, they have to pay 500 Crystal tax to perform an attack.</t>
        </is>
      </c>
      <c r="J69" t="inlineStr">
        <is>
          <t>wording polish</t>
        </is>
      </c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I70" t="inlineStr">
        <is>
          <t>+5 ATK permanently to 1 Chaos card.</t>
        </is>
      </c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I71" t="inlineStr">
        <is>
          <t>+10 ATK to 1 ally Anima card until this turn ends</t>
        </is>
      </c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+5 ATK&amp;DEF to 1 ally Arcane unit until the end of foe’s turn.</t>
        </is>
      </c>
      <c r="J72" t="inlineStr">
        <is>
          <t>ATK&amp;DEF→ATK and DEF</t>
        </is>
      </c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I73" t="inlineStr">
        <is>
          <t>Destroy all Nature cards on foe’s field. Discard all of this player’s Tech cards.</t>
        </is>
      </c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this player's Tech cards.</t>
        </is>
      </c>
      <c r="I74" t="inlineStr">
        <is>
          <t>Destroy all Cosmo cards on foe’s field. Discard all of this player’s Tech cards.</t>
        </is>
      </c>
      <c r="J74" t="inlineStr">
        <is>
          <t>Cosmo→Cosmic typo; no You/Your; shorten.</t>
        </is>
      </c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I75" t="inlineStr">
        <is>
          <t>Destroy all Chaos cards on foe’s field. Discard all of this player’s Tech cards.</t>
        </is>
      </c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I76" t="inlineStr">
        <is>
          <t>Destroy all Divine cards on foe’s field. Discard all of this player’s Tech cards.</t>
        </is>
      </c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I77" t="inlineStr">
        <is>
          <t>Destroy all Anima cards on foe’s field. Discard all of this player’s Tech cards.</t>
        </is>
      </c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I78" t="inlineStr">
        <is>
          <t>Destroy all Bio cards on foe’s field. Discard all of this player’s Tech cards.</t>
        </is>
      </c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I79" t="inlineStr">
        <is>
          <t>Destroy all Arcane cards on foe’s field. Discard all of this player’s Tech cards.</t>
        </is>
      </c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I80" t="inlineStr">
        <is>
          <t>Clear all flags on the field</t>
        </is>
      </c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I81" t="inlineStr">
        <is>
          <t>Until the end of foe’s turn, if any player attacks a Dead End, that player loses 200 Crystals</t>
        </is>
      </c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I82" t="inlineStr">
        <is>
          <t>Reveal foe’s cells up to number of this player’s unit in the void.</t>
        </is>
      </c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Flip a coin. If head, reveal 2 square on foe's side of the field</t>
        </is>
      </c>
      <c r="J83" t="inlineStr">
        <is>
          <t>square→cell; Head→Heads</t>
        </is>
      </c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Flip a coin. If head, reveal 1 square on foe's side of the field</t>
        </is>
      </c>
      <c r="J84" t="inlineStr">
        <is>
          <t>square→cell; Head→Heads</t>
        </is>
      </c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I85" t="inlineStr">
        <is>
          <t>Reveal 1 column on foe’s side. Cannot perform attack this turn. Cannot use this card if already attacked this turn.</t>
        </is>
      </c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I86" t="inlineStr">
        <is>
          <t>Reveal 2 adjacent cells on foe's side of the field.</t>
        </is>
      </c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Reveal 2 adjacent cells next to exposed unit on foe's side of the field.</t>
        </is>
      </c>
      <c r="J87" t="inlineStr">
        <is>
          <t>wording polish</t>
        </is>
      </c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I88" t="inlineStr">
        <is>
          <t>Clear all flags from 1 ally unit</t>
        </is>
      </c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I89" t="inlineStr">
        <is>
          <t>Clear all flags from all cards on the field</t>
        </is>
      </c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Both players lose 2000 Crystals. Discard all tech in this player’s hands.</t>
        </is>
      </c>
      <c r="J90" t="inlineStr">
        <is>
          <t>wording polish</t>
        </is>
      </c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Once, this player’s attacking unit can attack twice. But it cannot attack again until the end of this player’s next turn.</t>
        </is>
      </c>
      <c r="J91" t="inlineStr">
        <is>
          <t>wording polish</t>
        </is>
      </c>
      <c r="K91" s="16" t="n"/>
      <c r="L91" s="17" t="inlineStr">
        <is>
          <t>Need Revise</t>
        </is>
      </c>
      <c r="M91" s="16" t="n"/>
      <c r="N91" s="16" t="n"/>
      <c r="O91" s="16" t="n"/>
      <c r="P91" s="16" t="n"/>
      <c r="Q91" s="16" t="n"/>
      <c r="R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I92" t="inlineStr">
        <is>
          <t>Both players gain 2 additional attack for one of their turn.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I93" t="inlineStr">
        <is>
          <t>Until the end of foe's turn. Foe have to pay 50 Crystal tax to perform an attack.</t>
        </is>
      </c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I94" t="inlineStr">
        <is>
          <t>Reveal 1 foe’s cell. This player cannot perform any attack. Cannot use this card if already attacked.</t>
        </is>
      </c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I95" t="inlineStr">
        <is>
          <t>If this player have 5 or less card on the field, destroy 1 foe’s card.</t>
        </is>
      </c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I96" t="inlineStr">
        <is>
          <t>Foe choose either clearing all of their bluffs or take 500 damage</t>
        </is>
      </c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I97" t="inlineStr">
        <is>
          <t>Clear all bluffs from both players. No one can use bluff ever again during this duel.</t>
        </is>
      </c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I98" t="inlineStr">
        <is>
          <t>Select 1 cell. Bluff on that cell becomes large permanently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Both players select and discard 1 tech card from their hand.</t>
        </is>
      </c>
      <c r="J99" t="inlineStr">
        <is>
          <t>wording polish</t>
        </is>
      </c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I100" t="inlineStr">
        <is>
          <t>Reveal 1 card on foe’s field. If it’s a trap, destroy it and gain 200 Crystals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If all exposed ally units are Nature card, gain 40 Crystals for each of them</t>
        </is>
      </c>
      <c r="J101" t="inlineStr">
        <is>
          <t>wording polish</t>
        </is>
      </c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If this is the last tech card on this player’s hand, reveal 3 cards on foe’s field</t>
        </is>
      </c>
      <c r="J102" t="inlineStr">
        <is>
          <t>wording polish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1 ally unit’s ATK&amp;DEF becomes 0 permanently. It cannot be destroyed until the end of foe’s turn.</t>
        </is>
      </c>
      <c r="J103" t="inlineStr">
        <is>
          <t>ATK&amp;DEF→ATK and DEF</t>
        </is>
      </c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Flip 3 coins. Destroy foe’s exposed unit equal to number of heads. Foe pay no cost.</t>
        </is>
      </c>
      <c r="J104" t="inlineStr">
        <is>
          <t>wording polish</t>
        </is>
      </c>
      <c r="K104" s="16" t="n"/>
      <c r="L104" s="17" t="inlineStr">
        <is>
          <t>Yes</t>
        </is>
      </c>
      <c r="M104" s="16" t="n"/>
      <c r="N104" s="16" t="n"/>
      <c r="O104" s="16" t="n"/>
      <c r="P104" s="16" t="n"/>
      <c r="Q104" s="16" t="n"/>
      <c r="R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I105" t="inlineStr">
        <is>
          <t>Flip 5 coins. Reveal foe’s cell equal to number of heads</t>
        </is>
      </c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I106" t="inlineStr">
        <is>
          <t>Next turn, foe can attack only once</t>
        </is>
      </c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Select 1 exposed foe’s card. Destroy other exposed cards on that same columns as the selected cell. Foe don’t pay Crystal cost.</t>
        </is>
      </c>
      <c r="J107" t="inlineStr">
        <is>
          <t>Shortened; Exposed/cell/Crystal cost.</t>
        </is>
      </c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Until foe’s turn ends, both player can only target face-down card</t>
        </is>
      </c>
      <c r="J108" t="inlineStr">
        <is>
          <t>wording polish</t>
        </is>
      </c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Until foe’s turn ends, both player can only attack with unit with 800 or more cost. Cannot use if already attacked.</t>
        </is>
      </c>
      <c r="J109" t="inlineStr">
        <is>
          <t>wording polish</t>
        </is>
      </c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Until foe’s turn ends, both player can only attack with unit with 600 or less cost. Cannot use if already attacked.</t>
        </is>
      </c>
      <c r="J110" t="inlineStr">
        <is>
          <t>wording polish</t>
        </is>
      </c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Until foe’s turn ends, both player can only attack with unit with 300 or less cost. Cannot use if already attacked.</t>
        </is>
      </c>
      <c r="J111" t="inlineStr">
        <is>
          <t>wording polish</t>
        </is>
      </c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I112" t="inlineStr">
        <is>
          <t>Swap or relocate 1 unit to any cell.</t>
        </is>
      </c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I113" t="inlineStr">
        <is>
          <t>Target 1 foe’s unit. Its ability becomes None until foe’s next turn ends</t>
        </is>
      </c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2026-06-14T13:18:14Z</dcterms:created>
  <dcterms:modified xsi:type="dcterms:W3CDTF">2026-06-14T13:18:14Z</dcterms:modified>
</cp:coreProperties>
</file>