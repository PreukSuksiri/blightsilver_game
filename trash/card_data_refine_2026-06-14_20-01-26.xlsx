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Affinity" sheetId="1" state="visible" r:id="rId1"/>
    <sheet name="Unit" sheetId="2" state="visible" r:id="rId2"/>
    <sheet name="Union" sheetId="3" state="visible" r:id="rId3"/>
    <sheet name="Trap" sheetId="4" state="visible" r:id="rId4"/>
    <sheet name="Tech" sheetId="5" state="visible" r:id="rId5"/>
    <sheet name="Count" sheetId="6" state="visible" r:id="rId6"/>
    <sheet name="Rule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Times Roman"/>
      <b val="1"/>
      <color indexed="8"/>
      <sz val="12"/>
    </font>
    <font>
      <name val="Times Roman"/>
      <color indexed="8"/>
      <sz val="12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5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0" borderId="1" applyAlignment="1" pivotButton="0" quotePrefix="0" xfId="0">
      <alignment horizontal="center" vertical="center" wrapText="1" readingOrder="1"/>
    </xf>
    <xf numFmtId="49" fontId="4" fillId="0" borderId="2" applyAlignment="1" pivotButton="0" quotePrefix="0" xfId="0">
      <alignment vertical="center" wrapText="1" readingOrder="1"/>
    </xf>
    <xf numFmtId="0" fontId="4" fillId="0" borderId="3" applyAlignment="1" pivotButton="0" quotePrefix="0" xfId="0">
      <alignment vertical="center" wrapText="1" readingOrder="1"/>
    </xf>
    <xf numFmtId="164" fontId="4" fillId="0" borderId="4" applyAlignment="1" pivotButton="0" quotePrefix="0" xfId="0">
      <alignment vertical="center" wrapText="1" readingOrder="1"/>
    </xf>
    <xf numFmtId="49" fontId="4" fillId="0" borderId="4" applyAlignment="1" pivotButton="0" quotePrefix="0" xfId="0">
      <alignment vertical="center" wrapText="1" readingOrder="1"/>
    </xf>
    <xf numFmtId="0" fontId="4" fillId="0" borderId="4" applyAlignment="1" pivotButton="0" quotePrefix="0" xfId="0">
      <alignment vertical="center" wrapText="1" readingOrder="1"/>
    </xf>
    <xf numFmtId="49" fontId="4" fillId="0" borderId="5" applyAlignment="1" pivotButton="0" quotePrefix="0" xfId="0">
      <alignment vertical="center" wrapText="1" readingOrder="1"/>
    </xf>
    <xf numFmtId="0" fontId="4" fillId="0" borderId="6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49" fontId="4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  <xf numFmtId="0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0" fontId="3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horizontal="center" vertical="center" wrapText="1" readingOrder="1"/>
    </xf>
    <xf numFmtId="49" fontId="3" fillId="0" borderId="6" applyAlignment="1" pivotButton="0" quotePrefix="0" xfId="0">
      <alignment horizontal="center" vertical="center" wrapText="1" readingOrder="1"/>
    </xf>
    <xf numFmtId="0" fontId="3" fillId="0" borderId="7" applyAlignment="1" pivotButton="0" quotePrefix="0" xfId="0">
      <alignment horizontal="center" vertical="center" wrapText="1" readingOrder="1"/>
    </xf>
    <xf numFmtId="49" fontId="3" fillId="0" borderId="7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0" pivotButton="0" quotePrefix="0" xfId="0"/>
    <xf numFmtId="164" fontId="4" fillId="0" borderId="4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74.4141" customWidth="1" style="44" min="2" max="2"/>
    <col width="16.3516" customWidth="1" style="44" min="3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3" t="inlineStr">
        <is>
          <t>Affinity</t>
        </is>
      </c>
      <c r="B2" s="3" t="inlineStr">
        <is>
          <t>Key strength</t>
        </is>
      </c>
      <c r="C2" s="4" t="n"/>
      <c r="D2" s="4" t="n"/>
      <c r="E2" s="4" t="n"/>
    </row>
    <row r="3" ht="20.25" customHeight="1" s="47">
      <c r="A3" s="5" t="inlineStr">
        <is>
          <t>Divine</t>
        </is>
      </c>
      <c r="B3" s="6" t="inlineStr">
        <is>
          <t>High defense, Anti-Chaos bonus</t>
        </is>
      </c>
      <c r="C3" s="14" t="n"/>
      <c r="D3" s="14" t="n"/>
      <c r="E3" s="14" t="n"/>
    </row>
    <row r="4" ht="20.05" customHeight="1" s="47">
      <c r="A4" s="8" t="inlineStr">
        <is>
          <t>Chaos</t>
        </is>
      </c>
      <c r="B4" s="9" t="inlineStr">
        <is>
          <t>High cost, powerful units</t>
        </is>
      </c>
      <c r="C4" s="16" t="n"/>
      <c r="D4" s="16" t="n"/>
      <c r="E4" s="16" t="n"/>
    </row>
    <row r="5" ht="20.05" customHeight="1" s="47">
      <c r="A5" s="8" t="inlineStr">
        <is>
          <t>Arcane</t>
        </is>
      </c>
      <c r="B5" s="9" t="inlineStr">
        <is>
          <t>Spending a lot of Crystal to maximize power in short time. A glass cannon.</t>
        </is>
      </c>
      <c r="C5" s="16" t="n"/>
      <c r="D5" s="16" t="n"/>
      <c r="E5" s="16" t="n"/>
    </row>
    <row r="6" ht="20.05" customHeight="1" s="47">
      <c r="A6" s="8" t="inlineStr">
        <is>
          <t>Nature</t>
        </is>
      </c>
      <c r="B6" s="9" t="inlineStr">
        <is>
          <t>Balanced, Union heavy</t>
        </is>
      </c>
      <c r="C6" s="16" t="n"/>
      <c r="D6" s="16" t="n"/>
      <c r="E6" s="16" t="n"/>
    </row>
    <row r="7" ht="20.05" customHeight="1" s="47">
      <c r="A7" s="8" t="inlineStr">
        <is>
          <t>Bio</t>
        </is>
      </c>
      <c r="B7" s="9" t="inlineStr">
        <is>
          <t>Few unit, mutate to other or attack a lot of times, Tech heavy</t>
        </is>
      </c>
      <c r="C7" s="16" t="n"/>
      <c r="D7" s="16" t="n"/>
      <c r="E7" s="16" t="n"/>
    </row>
    <row r="8" ht="20.05" customHeight="1" s="47">
      <c r="A8" s="8" t="inlineStr">
        <is>
          <t>Cosmic</t>
        </is>
      </c>
      <c r="B8" s="9" t="inlineStr">
        <is>
          <t>High discovery capacity, Tech heavy</t>
        </is>
      </c>
      <c r="C8" s="16" t="n"/>
      <c r="D8" s="16" t="n"/>
      <c r="E8" s="16" t="n"/>
    </row>
    <row r="9" ht="20.05" customHeight="1" s="47">
      <c r="A9" s="8" t="inlineStr">
        <is>
          <t>Anima</t>
        </is>
      </c>
      <c r="B9" s="9" t="inlineStr">
        <is>
          <t>Low cost, swarming</t>
        </is>
      </c>
      <c r="C9" s="16" t="n"/>
      <c r="D9" s="16" t="n"/>
      <c r="E9" s="16" t="n"/>
    </row>
    <row r="10" ht="20.05" customHeight="1" s="47">
      <c r="A10" s="46" t="n"/>
      <c r="B10" s="12" t="n"/>
      <c r="C10" s="16" t="n"/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8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9"/>
    <col width="6.07812" customWidth="1" style="44" min="10" max="10"/>
    <col width="9.40625" customWidth="1" style="44" min="11" max="11"/>
    <col width="14.4062" customWidth="1" style="44" min="12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Have 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"&amp;COUNTIF(N3:N568,"Yes")</f>
        <v/>
      </c>
      <c r="P2" s="3">
        <f>"Booster Pack - Unseen Presence / "&amp;COUNTIF(O3:O568,"Yes")</f>
        <v/>
      </c>
      <c r="Q2" s="3">
        <f>"Booster Pack - Wind of Dominance / "&amp;COUNTIF(P3:P568,"Yes")</f>
        <v/>
      </c>
    </row>
    <row r="3" ht="20.25" customHeight="1" s="47">
      <c r="A3" s="5" t="inlineStr">
        <is>
          <t>Pyromancer</t>
        </is>
      </c>
      <c r="B3" s="6" t="inlineStr">
        <is>
          <t>Unit</t>
        </is>
      </c>
      <c r="C3" s="14" t="n">
        <v>900</v>
      </c>
      <c r="D3" s="14" t="n">
        <v>80</v>
      </c>
      <c r="E3" s="14" t="n">
        <v>0</v>
      </c>
      <c r="F3" s="15" t="inlineStr">
        <is>
          <t>Arcane</t>
        </is>
      </c>
      <c r="G3" s="14" t="n">
        <v>4</v>
      </c>
      <c r="H3" s="15" t="inlineStr">
        <is>
          <t>+30 ATK vs Nature</t>
        </is>
      </c>
      <c r="I3" t="inlineStr">
        <is>
          <t>dropped redundant Affinity</t>
        </is>
      </c>
      <c r="J3" s="14" t="n"/>
      <c r="K3" s="15" t="inlineStr">
        <is>
          <t>Yes</t>
        </is>
      </c>
      <c r="L3" s="14">
        <f>(D3*6)+(E3*4)</f>
        <v/>
      </c>
      <c r="M3" s="15" t="inlineStr">
        <is>
          <t>Yes</t>
        </is>
      </c>
      <c r="N3" s="14" t="n"/>
      <c r="O3" s="14" t="n"/>
      <c r="P3" s="14" t="n"/>
      <c r="Q3" s="15" t="inlineStr">
        <is>
          <t>Yes</t>
        </is>
      </c>
    </row>
    <row r="4" ht="20.05" customHeight="1" s="47">
      <c r="A4" s="8" t="inlineStr">
        <is>
          <t>Angel Gatekeeper</t>
        </is>
      </c>
      <c r="B4" s="9" t="inlineStr">
        <is>
          <t>Unit</t>
        </is>
      </c>
      <c r="C4" s="16" t="n">
        <v>1000</v>
      </c>
      <c r="D4" s="16" t="n">
        <v>40</v>
      </c>
      <c r="E4" s="16" t="n">
        <v>90</v>
      </c>
      <c r="F4" s="17" t="inlineStr">
        <is>
          <t>Divine</t>
        </is>
      </c>
      <c r="G4" s="16" t="n">
        <v>4</v>
      </c>
      <c r="H4" s="17" t="inlineStr">
        <is>
          <t>+50 ATK vs Chaos</t>
        </is>
      </c>
      <c r="I4" t="inlineStr">
        <is>
          <t>dropped redundant Affinity</t>
        </is>
      </c>
      <c r="J4" s="16" t="n"/>
      <c r="K4" s="17" t="inlineStr">
        <is>
          <t>Yes</t>
        </is>
      </c>
      <c r="L4" s="16">
        <f>(D4*6)+(E4*4)</f>
        <v/>
      </c>
      <c r="M4" s="17" t="inlineStr">
        <is>
          <t>Yes</t>
        </is>
      </c>
      <c r="N4" s="16" t="n"/>
      <c r="O4" s="17" t="inlineStr">
        <is>
          <t>Yes</t>
        </is>
      </c>
      <c r="P4" s="16" t="n"/>
      <c r="Q4" s="17" t="inlineStr">
        <is>
          <t>Yes</t>
        </is>
      </c>
    </row>
    <row r="5" ht="32.05" customHeight="1" s="47">
      <c r="A5" s="8" t="inlineStr">
        <is>
          <t>Wandering Swordsman</t>
        </is>
      </c>
      <c r="B5" s="9" t="inlineStr">
        <is>
          <t>Unit</t>
        </is>
      </c>
      <c r="C5" s="16" t="n">
        <v>600</v>
      </c>
      <c r="D5" s="16" t="n">
        <v>60</v>
      </c>
      <c r="E5" s="16" t="n">
        <v>60</v>
      </c>
      <c r="F5" s="17" t="inlineStr">
        <is>
          <t>Anima</t>
        </is>
      </c>
      <c r="G5" s="16" t="n">
        <v>3</v>
      </c>
      <c r="H5" s="17" t="inlineStr">
        <is>
          <t>None</t>
        </is>
      </c>
      <c r="J5" s="16" t="n"/>
      <c r="K5" s="17" t="inlineStr">
        <is>
          <t>Yes</t>
        </is>
      </c>
      <c r="L5" s="16">
        <f>(D5*6)+(E5*4)</f>
        <v/>
      </c>
      <c r="M5" s="17" t="inlineStr">
        <is>
          <t>Yes</t>
        </is>
      </c>
      <c r="N5" s="16" t="n"/>
      <c r="O5" s="17" t="inlineStr">
        <is>
          <t>Yes</t>
        </is>
      </c>
      <c r="P5" s="16" t="n"/>
      <c r="Q5" s="17" t="inlineStr">
        <is>
          <t>Yes</t>
        </is>
      </c>
    </row>
    <row r="6" ht="32.05" customHeight="1" s="47">
      <c r="A6" s="8" t="inlineStr">
        <is>
          <t>Huntress of Green Glade</t>
        </is>
      </c>
      <c r="B6" s="9" t="inlineStr">
        <is>
          <t>Unit</t>
        </is>
      </c>
      <c r="C6" s="16" t="n">
        <v>800</v>
      </c>
      <c r="D6" s="16" t="n">
        <v>50</v>
      </c>
      <c r="E6" s="16" t="n">
        <v>50</v>
      </c>
      <c r="F6" s="17" t="inlineStr">
        <is>
          <t>Anima</t>
        </is>
      </c>
      <c r="G6" s="16" t="n">
        <v>3</v>
      </c>
      <c r="H6" s="17" t="inlineStr">
        <is>
          <t>Immune to 0-cost traps</t>
        </is>
      </c>
      <c r="I6" t="inlineStr">
        <is>
          <t>wording polish</t>
        </is>
      </c>
      <c r="J6" s="16" t="n"/>
      <c r="K6" s="17" t="inlineStr">
        <is>
          <t>Yes</t>
        </is>
      </c>
      <c r="L6" s="16">
        <f>(D6*6)+(E6*4)</f>
        <v/>
      </c>
      <c r="M6" s="17" t="inlineStr">
        <is>
          <t>Yes</t>
        </is>
      </c>
      <c r="N6" s="16" t="n"/>
      <c r="O6" s="17" t="inlineStr">
        <is>
          <t>Yes</t>
        </is>
      </c>
      <c r="P6" s="16" t="n"/>
      <c r="Q6" s="16" t="n"/>
    </row>
    <row r="7" ht="32.05" customHeight="1" s="47">
      <c r="A7" s="8" t="inlineStr">
        <is>
          <t>Fierce Gladiator</t>
        </is>
      </c>
      <c r="B7" s="9" t="inlineStr">
        <is>
          <t>Unit</t>
        </is>
      </c>
      <c r="C7" s="16" t="n">
        <v>1000</v>
      </c>
      <c r="D7" s="16" t="n">
        <v>70</v>
      </c>
      <c r="E7" s="16" t="n">
        <v>90</v>
      </c>
      <c r="F7" s="17" t="inlineStr">
        <is>
          <t>Anima</t>
        </is>
      </c>
      <c r="G7" s="16" t="n">
        <v>3</v>
      </c>
      <c r="H7" s="17" t="inlineStr">
        <is>
          <t>+500 Crystal on successful defend</t>
        </is>
      </c>
      <c r="J7" s="16" t="n"/>
      <c r="K7" s="17" t="inlineStr">
        <is>
          <t>Yes</t>
        </is>
      </c>
      <c r="L7" s="16">
        <f>(D7*6)+(E7*4)</f>
        <v/>
      </c>
      <c r="M7" s="16" t="n"/>
      <c r="N7" s="16" t="n"/>
      <c r="O7" s="16" t="n"/>
      <c r="P7" s="16" t="n"/>
      <c r="Q7" s="16" t="n"/>
    </row>
    <row r="8" ht="20.05" customHeight="1" s="47">
      <c r="A8" s="8" t="inlineStr">
        <is>
          <t>Canyon Warg</t>
        </is>
      </c>
      <c r="B8" s="9" t="inlineStr">
        <is>
          <t>Unit</t>
        </is>
      </c>
      <c r="C8" s="16" t="n">
        <v>750</v>
      </c>
      <c r="D8" s="16" t="n">
        <v>70</v>
      </c>
      <c r="E8" s="16" t="n">
        <v>30</v>
      </c>
      <c r="F8" s="17" t="inlineStr">
        <is>
          <t>Nature</t>
        </is>
      </c>
      <c r="G8" s="16" t="n">
        <v>3</v>
      </c>
      <c r="H8" s="17" t="inlineStr">
        <is>
          <t>None</t>
        </is>
      </c>
      <c r="J8" s="16" t="n"/>
      <c r="K8" s="17" t="inlineStr">
        <is>
          <t>Yes</t>
        </is>
      </c>
      <c r="L8" s="16">
        <f>(D8*6)+(E8*4)</f>
        <v/>
      </c>
      <c r="M8" s="17" t="inlineStr">
        <is>
          <t>Yes</t>
        </is>
      </c>
      <c r="N8" s="16" t="n"/>
      <c r="O8" s="16" t="n"/>
      <c r="P8" s="16" t="n"/>
      <c r="Q8" s="17" t="inlineStr">
        <is>
          <t>Yes</t>
        </is>
      </c>
    </row>
    <row r="9" ht="32.05" customHeight="1" s="47">
      <c r="A9" s="8" t="inlineStr">
        <is>
          <t>Armored Bee</t>
        </is>
      </c>
      <c r="B9" s="9" t="inlineStr">
        <is>
          <t>Unit</t>
        </is>
      </c>
      <c r="C9" s="16" t="n">
        <v>480</v>
      </c>
      <c r="D9" s="16" t="n">
        <v>30</v>
      </c>
      <c r="E9" s="16" t="n">
        <v>0</v>
      </c>
      <c r="F9" s="17" t="inlineStr">
        <is>
          <t>Nature</t>
        </is>
      </c>
      <c r="G9" s="16" t="n">
        <v>2</v>
      </c>
      <c r="H9" s="17" t="inlineStr">
        <is>
          <t>+60 DEF until the end of that turn once</t>
        </is>
      </c>
      <c r="J9" s="16" t="n"/>
      <c r="K9" s="17" t="inlineStr">
        <is>
          <t>Yes</t>
        </is>
      </c>
      <c r="L9" s="16">
        <f>(D9*6)+(E9*4)</f>
        <v/>
      </c>
      <c r="M9" s="17" t="inlineStr">
        <is>
          <t>Yes</t>
        </is>
      </c>
      <c r="N9" s="16" t="n"/>
      <c r="O9" s="17" t="inlineStr">
        <is>
          <t>Yes</t>
        </is>
      </c>
      <c r="P9" s="16" t="n"/>
      <c r="Q9" s="16" t="n"/>
    </row>
    <row r="10" ht="20.05" customHeight="1" s="47">
      <c r="A10" s="8" t="inlineStr">
        <is>
          <t>Armored Rhino</t>
        </is>
      </c>
      <c r="B10" s="9" t="inlineStr">
        <is>
          <t>Unit</t>
        </is>
      </c>
      <c r="C10" s="16" t="n">
        <v>720</v>
      </c>
      <c r="D10" s="16" t="n">
        <v>60</v>
      </c>
      <c r="E10" s="16" t="n">
        <v>85</v>
      </c>
      <c r="F10" s="17" t="inlineStr">
        <is>
          <t>Nature</t>
        </is>
      </c>
      <c r="G10" s="16" t="n">
        <v>3</v>
      </c>
      <c r="H10" s="17" t="inlineStr">
        <is>
          <t>None</t>
        </is>
      </c>
      <c r="J10" s="16" t="n"/>
      <c r="K10" s="17" t="inlineStr">
        <is>
          <t>Yes</t>
        </is>
      </c>
      <c r="L10" s="16">
        <f>(D10*6)+(E10*4)</f>
        <v/>
      </c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20.05" customHeight="1" s="47">
      <c r="A11" s="8" t="inlineStr">
        <is>
          <t>Lightbringer</t>
        </is>
      </c>
      <c r="B11" s="9" t="inlineStr">
        <is>
          <t>Unit</t>
        </is>
      </c>
      <c r="C11" s="16" t="n">
        <v>1200</v>
      </c>
      <c r="D11" s="16" t="n">
        <v>80</v>
      </c>
      <c r="E11" s="16" t="n">
        <v>40</v>
      </c>
      <c r="F11" s="17" t="inlineStr">
        <is>
          <t>Divine</t>
        </is>
      </c>
      <c r="G11" s="16" t="n">
        <v>3</v>
      </c>
      <c r="H11" s="17" t="inlineStr">
        <is>
          <t>+100 DEF vs Chaos</t>
        </is>
      </c>
      <c r="I11" t="inlineStr">
        <is>
          <t>dropped redundant Affinity</t>
        </is>
      </c>
      <c r="J11" s="16" t="n"/>
      <c r="K11" s="17" t="inlineStr">
        <is>
          <t>Yes</t>
        </is>
      </c>
      <c r="L11" s="16">
        <f>(D11*6)+(E11*4)</f>
        <v/>
      </c>
      <c r="M11" s="16" t="n"/>
      <c r="N11" s="16" t="n"/>
      <c r="O11" s="16" t="n"/>
      <c r="P11" s="16" t="n"/>
      <c r="Q11" s="16" t="n"/>
    </row>
    <row r="12" ht="20.05" customHeight="1" s="47">
      <c r="A12" s="8" t="inlineStr">
        <is>
          <t>Chaotic Wisp</t>
        </is>
      </c>
      <c r="B12" s="9" t="inlineStr">
        <is>
          <t>Unit</t>
        </is>
      </c>
      <c r="C12" s="16" t="n">
        <v>100</v>
      </c>
      <c r="D12" s="16" t="n">
        <v>20</v>
      </c>
      <c r="E12" s="16" t="n">
        <v>0</v>
      </c>
      <c r="F12" s="17" t="inlineStr">
        <is>
          <t>Chaos</t>
        </is>
      </c>
      <c r="G12" s="16" t="n">
        <v>1</v>
      </c>
      <c r="H12" s="17" t="inlineStr">
        <is>
          <t>None</t>
        </is>
      </c>
      <c r="J12" s="16" t="n"/>
      <c r="K12" s="17" t="inlineStr">
        <is>
          <t>Yes</t>
        </is>
      </c>
      <c r="L12" s="16">
        <f>(D12*6)+(E12*4)</f>
        <v/>
      </c>
      <c r="M12" s="17" t="inlineStr">
        <is>
          <t>Yes</t>
        </is>
      </c>
      <c r="N12" s="16" t="n"/>
      <c r="O12" s="17" t="inlineStr">
        <is>
          <t>Yes</t>
        </is>
      </c>
      <c r="P12" s="16" t="n"/>
      <c r="Q12" s="16" t="n"/>
    </row>
    <row r="13" ht="20.05" customHeight="1" s="47">
      <c r="A13" s="8" t="inlineStr">
        <is>
          <t>Foul Wisp</t>
        </is>
      </c>
      <c r="B13" s="9" t="inlineStr">
        <is>
          <t>Unit</t>
        </is>
      </c>
      <c r="C13" s="16" t="n">
        <v>100</v>
      </c>
      <c r="D13" s="16" t="n">
        <v>0</v>
      </c>
      <c r="E13" s="16" t="n">
        <v>25</v>
      </c>
      <c r="F13" s="17" t="inlineStr">
        <is>
          <t>Chaos</t>
        </is>
      </c>
      <c r="G13" s="16" t="n">
        <v>1</v>
      </c>
      <c r="H13" s="17" t="inlineStr">
        <is>
          <t>None</t>
        </is>
      </c>
      <c r="J13" s="16" t="n"/>
      <c r="K13" s="17" t="inlineStr">
        <is>
          <t>Yes</t>
        </is>
      </c>
      <c r="L13" s="16">
        <f>(D13*6)+(E13*4)</f>
        <v/>
      </c>
      <c r="M13" s="17" t="inlineStr">
        <is>
          <t>Yes</t>
        </is>
      </c>
      <c r="N13" s="16" t="n"/>
      <c r="O13" s="17" t="inlineStr">
        <is>
          <t>Yes</t>
        </is>
      </c>
      <c r="P13" s="16" t="n"/>
      <c r="Q13" s="16" t="n"/>
    </row>
    <row r="14" ht="20.05" customHeight="1" s="47">
      <c r="A14" s="8" t="inlineStr">
        <is>
          <t>Doom Wisp</t>
        </is>
      </c>
      <c r="B14" s="9" t="inlineStr">
        <is>
          <t>Unit</t>
        </is>
      </c>
      <c r="C14" s="16" t="n">
        <v>100</v>
      </c>
      <c r="D14" s="16" t="n">
        <v>15</v>
      </c>
      <c r="E14" s="16" t="n">
        <v>15</v>
      </c>
      <c r="F14" s="17" t="inlineStr">
        <is>
          <t>Chaos</t>
        </is>
      </c>
      <c r="G14" s="16" t="n">
        <v>1</v>
      </c>
      <c r="H14" s="17" t="inlineStr">
        <is>
          <t>None</t>
        </is>
      </c>
      <c r="J14" s="16" t="n"/>
      <c r="K14" s="17" t="inlineStr">
        <is>
          <t>Yes</t>
        </is>
      </c>
      <c r="L14" s="16">
        <f>(D14*6)+(E14*4)</f>
        <v/>
      </c>
      <c r="M14" s="17" t="inlineStr">
        <is>
          <t>Yes</t>
        </is>
      </c>
      <c r="N14" s="16" t="n"/>
      <c r="O14" s="17" t="inlineStr">
        <is>
          <t>Yes</t>
        </is>
      </c>
      <c r="P14" s="16" t="n"/>
      <c r="Q14" s="16" t="n"/>
    </row>
    <row r="15" ht="32.05" customHeight="1" s="47">
      <c r="A15" s="8" t="inlineStr">
        <is>
          <t>Night Whisperer</t>
        </is>
      </c>
      <c r="B15" s="9" t="inlineStr">
        <is>
          <t>Unit</t>
        </is>
      </c>
      <c r="C15" s="16" t="n">
        <v>900</v>
      </c>
      <c r="D15" s="16" t="n">
        <v>30</v>
      </c>
      <c r="E15" s="16" t="n">
        <v>30</v>
      </c>
      <c r="F15" s="17" t="inlineStr">
        <is>
          <t>Chaos</t>
        </is>
      </c>
      <c r="G15" s="16" t="n">
        <v>3</v>
      </c>
      <c r="H15" s="17" t="inlineStr">
        <is>
          <t>+30 ATK and DEF for each exposed ‘wisp’ card on its side</t>
        </is>
      </c>
      <c r="I15" t="inlineStr">
        <is>
          <t>ATK&amp;DEF→ATK and DEF</t>
        </is>
      </c>
      <c r="J15" s="16" t="n"/>
      <c r="K15" s="17" t="inlineStr">
        <is>
          <t>Yes</t>
        </is>
      </c>
      <c r="L15" s="16">
        <f>(D15*6)+(E15*4)</f>
        <v/>
      </c>
      <c r="M15" s="17" t="inlineStr">
        <is>
          <t>Yes</t>
        </is>
      </c>
      <c r="N15" s="16" t="n"/>
      <c r="O15" s="16" t="n"/>
      <c r="P15" s="17" t="inlineStr">
        <is>
          <t>Yes</t>
        </is>
      </c>
      <c r="Q15" s="16" t="n"/>
    </row>
    <row r="16" ht="32.05" customHeight="1" s="47">
      <c r="A16" s="8" t="inlineStr">
        <is>
          <t>Leorudus the Warlord</t>
        </is>
      </c>
      <c r="B16" s="9" t="inlineStr">
        <is>
          <t>Unit</t>
        </is>
      </c>
      <c r="C16" s="16" t="n">
        <v>1150</v>
      </c>
      <c r="D16" s="16" t="n">
        <v>80</v>
      </c>
      <c r="E16" s="16" t="n">
        <v>80</v>
      </c>
      <c r="F16" s="17" t="inlineStr">
        <is>
          <t>Anima</t>
        </is>
      </c>
      <c r="G16" s="16" t="n">
        <v>5</v>
      </c>
      <c r="H16" s="17" t="inlineStr">
        <is>
          <t>+20 ATK and DEF for each other exposed Anima card on its side</t>
        </is>
      </c>
      <c r="I16" t="inlineStr">
        <is>
          <t>ATK&amp;DEF→ATK and DEF</t>
        </is>
      </c>
      <c r="J16" s="16" t="n"/>
      <c r="K16" s="17" t="inlineStr">
        <is>
          <t>Yes</t>
        </is>
      </c>
      <c r="L16" s="16">
        <f>(D16*6)+(E16*4)</f>
        <v/>
      </c>
      <c r="M16" s="17" t="inlineStr">
        <is>
          <t>Yes</t>
        </is>
      </c>
      <c r="N16" s="16" t="n"/>
      <c r="O16" s="16" t="n"/>
      <c r="P16" s="17" t="inlineStr">
        <is>
          <t>Yes</t>
        </is>
      </c>
      <c r="Q16" s="16" t="n"/>
    </row>
    <row r="17" ht="32.05" customHeight="1" s="47">
      <c r="A17" s="8" t="inlineStr">
        <is>
          <t>Aether Warden</t>
        </is>
      </c>
      <c r="B17" s="9" t="inlineStr">
        <is>
          <t>Unit</t>
        </is>
      </c>
      <c r="C17" s="16" t="n">
        <v>800</v>
      </c>
      <c r="D17" s="16" t="n">
        <v>30</v>
      </c>
      <c r="E17" s="16" t="n">
        <v>110</v>
      </c>
      <c r="F17" s="17" t="inlineStr">
        <is>
          <t>Divine</t>
        </is>
      </c>
      <c r="G17" s="16" t="n">
        <v>3</v>
      </c>
      <c r="H17" s="17" t="inlineStr">
        <is>
          <t>In Reckoning if it defends, attacker loses 300 Crystals</t>
        </is>
      </c>
      <c r="J17" s="16" t="n"/>
      <c r="K17" s="17" t="inlineStr">
        <is>
          <t>Yes</t>
        </is>
      </c>
      <c r="L17" s="16">
        <f>(D17*6)+(E17*4)</f>
        <v/>
      </c>
      <c r="M17" s="16" t="n"/>
      <c r="N17" s="16" t="n"/>
      <c r="O17" s="16" t="n"/>
      <c r="P17" s="16" t="n"/>
      <c r="Q17" s="16" t="n"/>
    </row>
    <row r="18" ht="32.05" customHeight="1" s="47">
      <c r="A18" s="8" t="inlineStr">
        <is>
          <t>Void Stalker</t>
        </is>
      </c>
      <c r="B18" s="9" t="inlineStr">
        <is>
          <t>Unit</t>
        </is>
      </c>
      <c r="C18" s="16" t="n">
        <v>720</v>
      </c>
      <c r="D18" s="16" t="n">
        <v>65</v>
      </c>
      <c r="E18" s="16" t="n">
        <v>25</v>
      </c>
      <c r="F18" s="17" t="inlineStr">
        <is>
          <t>Chaos</t>
        </is>
      </c>
      <c r="G18" s="16" t="n">
        <v>3</v>
      </c>
      <c r="H18" s="17" t="inlineStr">
        <is>
          <t>+20 ATK if it attack an Exposed unit.</t>
        </is>
      </c>
      <c r="I18" t="inlineStr">
        <is>
          <t>wording polish</t>
        </is>
      </c>
      <c r="J18" s="16" t="n"/>
      <c r="K18" s="17" t="inlineStr">
        <is>
          <t>Yes</t>
        </is>
      </c>
      <c r="L18" s="16">
        <f>(D18*6)+(E18*4)</f>
        <v/>
      </c>
      <c r="M18" s="17" t="inlineStr">
        <is>
          <t>Yes</t>
        </is>
      </c>
      <c r="N18" s="16" t="n"/>
      <c r="O18" s="17" t="inlineStr">
        <is>
          <t>Yes</t>
        </is>
      </c>
      <c r="P18" s="16" t="n"/>
      <c r="Q18" s="16" t="n"/>
    </row>
    <row r="19" ht="32.05" customHeight="1" s="47">
      <c r="A19" s="8" t="inlineStr">
        <is>
          <t>Swarmcaller</t>
        </is>
      </c>
      <c r="B19" s="9" t="inlineStr">
        <is>
          <t>Unit</t>
        </is>
      </c>
      <c r="C19" s="16" t="n">
        <v>950</v>
      </c>
      <c r="D19" s="16" t="n">
        <v>45</v>
      </c>
      <c r="E19" s="16" t="n">
        <v>45</v>
      </c>
      <c r="F19" s="17" t="inlineStr">
        <is>
          <t>Nature</t>
        </is>
      </c>
      <c r="G19" s="16" t="n">
        <v>4</v>
      </c>
      <c r="H19" s="17" t="inlineStr">
        <is>
          <t>+15 ATK and DEF for each other exposed Nature card on its side</t>
        </is>
      </c>
      <c r="I19" t="inlineStr">
        <is>
          <t>ATK&amp;DEF→ATK and DEF</t>
        </is>
      </c>
      <c r="J19" s="16" t="n"/>
      <c r="K19" s="17" t="inlineStr">
        <is>
          <t>Yes</t>
        </is>
      </c>
      <c r="L19" s="16">
        <f>(D19*6)+(E19*4)</f>
        <v/>
      </c>
      <c r="M19" s="17" t="inlineStr">
        <is>
          <t>Yes</t>
        </is>
      </c>
      <c r="N19" s="16" t="n"/>
      <c r="O19" s="17" t="inlineStr">
        <is>
          <t>Yes</t>
        </is>
      </c>
      <c r="P19" s="16" t="n"/>
      <c r="Q19" s="16" t="n"/>
    </row>
    <row r="20" ht="44.05" customHeight="1" s="47">
      <c r="A20" s="8" t="inlineStr">
        <is>
          <t>Ironclad Sentinel</t>
        </is>
      </c>
      <c r="B20" s="9" t="inlineStr">
        <is>
          <t>Unit</t>
        </is>
      </c>
      <c r="C20" s="16" t="n">
        <v>1100</v>
      </c>
      <c r="D20" s="16" t="n">
        <v>55</v>
      </c>
      <c r="E20" s="16" t="n">
        <v>95</v>
      </c>
      <c r="F20" s="17" t="inlineStr">
        <is>
          <t>Anima</t>
        </is>
      </c>
      <c r="G20" s="16" t="n">
        <v>5</v>
      </c>
      <c r="H20" s="17" t="inlineStr">
        <is>
          <t>Immune to 0-cost traps. Immune to Tech.</t>
        </is>
      </c>
      <c r="I20" t="inlineStr">
        <is>
          <t>Shortened immunity wording.</t>
        </is>
      </c>
      <c r="J20" s="16" t="n"/>
      <c r="K20" s="17" t="inlineStr">
        <is>
          <t>Yes</t>
        </is>
      </c>
      <c r="L20" s="16">
        <f>(D20*6)+(E20*4)</f>
        <v/>
      </c>
      <c r="M20" s="16" t="n"/>
      <c r="N20" s="16" t="n"/>
      <c r="O20" s="16" t="n"/>
      <c r="P20" s="16" t="n"/>
      <c r="Q20" s="16" t="n"/>
    </row>
    <row r="21" ht="32.05" customHeight="1" s="47">
      <c r="A21" s="8" t="inlineStr">
        <is>
          <t>Tomb Bandit</t>
        </is>
      </c>
      <c r="B21" s="9" t="inlineStr">
        <is>
          <t>Unit</t>
        </is>
      </c>
      <c r="C21" s="16" t="n">
        <v>1000</v>
      </c>
      <c r="D21" s="16" t="n">
        <v>75</v>
      </c>
      <c r="E21" s="16" t="n">
        <v>60</v>
      </c>
      <c r="F21" s="17" t="inlineStr">
        <is>
          <t>Anima</t>
        </is>
      </c>
      <c r="G21" s="16" t="n">
        <v>4</v>
      </c>
      <c r="H21" s="17" t="inlineStr">
        <is>
          <t>Immune to traps.</t>
        </is>
      </c>
      <c r="I21" t="inlineStr">
        <is>
          <t>Shortened immunity wording.</t>
        </is>
      </c>
      <c r="J21" s="16" t="n"/>
      <c r="K21" s="17" t="inlineStr">
        <is>
          <t>Yes</t>
        </is>
      </c>
      <c r="L21" s="16">
        <f>(D21*6)+(E21*4)</f>
        <v/>
      </c>
      <c r="M21" s="17" t="inlineStr">
        <is>
          <t>Yes</t>
        </is>
      </c>
      <c r="N21" s="16" t="n"/>
      <c r="O21" s="16" t="n"/>
      <c r="P21" s="16" t="n"/>
      <c r="Q21" s="17" t="inlineStr">
        <is>
          <t>Yes</t>
        </is>
      </c>
    </row>
    <row r="22" ht="32.05" customHeight="1" s="47">
      <c r="A22" s="8" t="inlineStr">
        <is>
          <t>Scout Probe</t>
        </is>
      </c>
      <c r="B22" s="9" t="inlineStr">
        <is>
          <t>Unit</t>
        </is>
      </c>
      <c r="C22" s="16" t="n">
        <v>700</v>
      </c>
      <c r="D22" s="16" t="n">
        <v>40</v>
      </c>
      <c r="E22" s="16" t="n">
        <v>50</v>
      </c>
      <c r="F22" s="17" t="inlineStr">
        <is>
          <t>Cosmic</t>
        </is>
      </c>
      <c r="G22" s="16" t="n">
        <v>3</v>
      </c>
      <c r="H22" s="17" t="inlineStr">
        <is>
          <t>Choose and reveal any adjacent cell after it attacked.</t>
        </is>
      </c>
      <c r="I22" t="inlineStr">
        <is>
          <t>square→cell</t>
        </is>
      </c>
      <c r="J22" s="16" t="n"/>
      <c r="K22" s="17" t="inlineStr">
        <is>
          <t>Yes</t>
        </is>
      </c>
      <c r="L22" s="16">
        <f>(D22*6)+(E22*4)</f>
        <v/>
      </c>
      <c r="M22" s="17" t="inlineStr">
        <is>
          <t>Yes</t>
        </is>
      </c>
      <c r="N22" s="16" t="n"/>
      <c r="O22" s="17" t="inlineStr">
        <is>
          <t>Yes</t>
        </is>
      </c>
      <c r="P22" s="16" t="n"/>
      <c r="Q22" s="17" t="inlineStr">
        <is>
          <t>Yes</t>
        </is>
      </c>
    </row>
    <row r="23" ht="32.05" customHeight="1" s="47">
      <c r="A23" s="8" t="inlineStr">
        <is>
          <t>Lab Zombie</t>
        </is>
      </c>
      <c r="B23" s="9" t="inlineStr">
        <is>
          <t>Unit</t>
        </is>
      </c>
      <c r="C23" s="16" t="n">
        <v>700</v>
      </c>
      <c r="D23" s="16" t="n">
        <v>55</v>
      </c>
      <c r="E23" s="16" t="n">
        <v>20</v>
      </c>
      <c r="F23" s="17" t="inlineStr">
        <is>
          <t>Bio</t>
        </is>
      </c>
      <c r="G23" s="16" t="n">
        <v>3</v>
      </c>
      <c r="H23" s="17" t="inlineStr">
        <is>
          <t>With Mutagen flag: +45 ATK vs Nature or Anima.</t>
        </is>
      </c>
      <c r="I23" t="inlineStr">
        <is>
          <t>wording polish</t>
        </is>
      </c>
      <c r="J23" s="16" t="n"/>
      <c r="K23" s="17" t="inlineStr">
        <is>
          <t>Yes</t>
        </is>
      </c>
      <c r="L23" s="16">
        <f>(D23*6)+(E23*4)</f>
        <v/>
      </c>
      <c r="M23" s="17" t="inlineStr">
        <is>
          <t>Yes</t>
        </is>
      </c>
      <c r="N23" s="16" t="n"/>
      <c r="O23" s="16" t="n"/>
      <c r="P23" s="17" t="inlineStr">
        <is>
          <t>Yes</t>
        </is>
      </c>
      <c r="Q23" s="16" t="n"/>
    </row>
    <row r="24" ht="56.05" customHeight="1" s="47">
      <c r="A24" s="8" t="inlineStr">
        <is>
          <t>Lab Bloater</t>
        </is>
      </c>
      <c r="B24" s="9" t="inlineStr">
        <is>
          <t>Unit</t>
        </is>
      </c>
      <c r="C24" s="16" t="n">
        <v>800</v>
      </c>
      <c r="D24" s="16" t="n">
        <v>20</v>
      </c>
      <c r="E24" s="16" t="n">
        <v>85</v>
      </c>
      <c r="F24" s="17" t="inlineStr">
        <is>
          <t>Bio</t>
        </is>
      </c>
      <c r="G24" s="16" t="n">
        <v>4</v>
      </c>
      <c r="H24" s="17" t="inlineStr">
        <is>
          <t>With Mutagen flag: owner can destroy both units in Reckoning. Both players pay no Crystal cost.</t>
        </is>
      </c>
      <c r="I24" t="inlineStr">
        <is>
          <t>wording polish</t>
        </is>
      </c>
      <c r="J24" s="16" t="n"/>
      <c r="K24" s="17" t="inlineStr">
        <is>
          <t>Yes</t>
        </is>
      </c>
      <c r="L24" s="16">
        <f>(D24*6)+(E24*4)</f>
        <v/>
      </c>
      <c r="M24" s="17" t="inlineStr">
        <is>
          <t>Yes</t>
        </is>
      </c>
      <c r="N24" s="16" t="n"/>
      <c r="O24" s="16" t="n"/>
      <c r="P24" s="17" t="inlineStr">
        <is>
          <t>Yes</t>
        </is>
      </c>
      <c r="Q24" s="17" t="inlineStr">
        <is>
          <t>Yes</t>
        </is>
      </c>
    </row>
    <row r="25" ht="32.05" customHeight="1" s="47">
      <c r="A25" s="8" t="inlineStr">
        <is>
          <t>Lab Crawler</t>
        </is>
      </c>
      <c r="B25" s="9" t="inlineStr">
        <is>
          <t>Unit</t>
        </is>
      </c>
      <c r="C25" s="16" t="n">
        <v>1200</v>
      </c>
      <c r="D25" s="16" t="n">
        <v>95</v>
      </c>
      <c r="E25" s="16" t="n">
        <v>60</v>
      </c>
      <c r="F25" s="17" t="inlineStr">
        <is>
          <t>Bio</t>
        </is>
      </c>
      <c r="G25" s="16" t="n">
        <v>5</v>
      </c>
      <c r="H25" s="17" t="inlineStr">
        <is>
          <t>With Mutagen flag: this card can target 3 cards</t>
        </is>
      </c>
      <c r="I25" t="inlineStr">
        <is>
          <t>wording polish</t>
        </is>
      </c>
      <c r="J25" s="16" t="n"/>
      <c r="K25" s="17" t="inlineStr">
        <is>
          <t>Yes</t>
        </is>
      </c>
      <c r="L25" s="16">
        <f>(D25*6)+(E25*4)</f>
        <v/>
      </c>
      <c r="M25" s="17" t="inlineStr">
        <is>
          <t>Yes</t>
        </is>
      </c>
      <c r="N25" s="16" t="n"/>
      <c r="O25" s="17" t="inlineStr">
        <is>
          <t>Yes</t>
        </is>
      </c>
      <c r="P25" s="16" t="n"/>
      <c r="Q25" s="16" t="n"/>
    </row>
    <row r="26" ht="56.05" customHeight="1" s="47">
      <c r="A26" s="8" t="inlineStr">
        <is>
          <t>Pit Lord</t>
        </is>
      </c>
      <c r="B26" s="9" t="inlineStr">
        <is>
          <t>Unit</t>
        </is>
      </c>
      <c r="C26" s="16" t="n">
        <v>1250</v>
      </c>
      <c r="D26" s="16" t="n">
        <v>120</v>
      </c>
      <c r="E26" s="16" t="n">
        <v>100</v>
      </c>
      <c r="F26" s="17" t="inlineStr">
        <is>
          <t>Chaos</t>
        </is>
      </c>
      <c r="G26" s="16" t="n">
        <v>5</v>
      </c>
      <c r="H26" s="17" t="inlineStr">
        <is>
          <t>Destroy this card after Reckoning with Divine Unit. After this card attacked, halve its ATK and DEF permanently</t>
        </is>
      </c>
      <c r="I26" t="inlineStr">
        <is>
          <t>ATK&amp;DEF→ATK and DEF</t>
        </is>
      </c>
      <c r="J26" s="16" t="n"/>
      <c r="K26" s="17" t="inlineStr">
        <is>
          <t>Yes</t>
        </is>
      </c>
      <c r="L26" s="16">
        <f>(D26*6)+(E26*4)</f>
        <v/>
      </c>
      <c r="M26" s="17" t="inlineStr">
        <is>
          <t>Yes</t>
        </is>
      </c>
      <c r="N26" s="16" t="n"/>
      <c r="O26" s="16" t="n"/>
      <c r="P26" s="17" t="inlineStr">
        <is>
          <t>Yes</t>
        </is>
      </c>
      <c r="Q26" s="16" t="n"/>
    </row>
    <row r="27" ht="32.05" customHeight="1" s="47">
      <c r="A27" s="8" t="inlineStr">
        <is>
          <t>Ancient Lich</t>
        </is>
      </c>
      <c r="B27" s="9" t="inlineStr">
        <is>
          <t>Unit</t>
        </is>
      </c>
      <c r="C27" s="16" t="n">
        <v>750</v>
      </c>
      <c r="D27" s="16" t="n">
        <v>60</v>
      </c>
      <c r="E27" s="16" t="n">
        <v>60</v>
      </c>
      <c r="F27" s="17" t="inlineStr">
        <is>
          <t>Chaos</t>
        </is>
      </c>
      <c r="G27" s="16" t="n">
        <v>3</v>
      </c>
      <c r="H27" s="17" t="inlineStr">
        <is>
          <t>Immune to Tech.</t>
        </is>
      </c>
      <c r="I27" t="inlineStr">
        <is>
          <t>Shortened immunity wording.</t>
        </is>
      </c>
      <c r="J27" s="16" t="n"/>
      <c r="K27" s="17" t="inlineStr">
        <is>
          <t>Yes</t>
        </is>
      </c>
      <c r="L27" s="16">
        <f>(D27*6)+(E27*4)</f>
        <v/>
      </c>
      <c r="M27" s="16" t="n"/>
      <c r="N27" s="16" t="n"/>
      <c r="O27" s="16" t="n"/>
      <c r="P27" s="16" t="n"/>
      <c r="Q27" s="16" t="n"/>
    </row>
    <row r="28" ht="44.05" customHeight="1" s="47">
      <c r="A28" s="8" t="inlineStr">
        <is>
          <t>Hyperspeed Saucer</t>
        </is>
      </c>
      <c r="B28" s="9" t="inlineStr">
        <is>
          <t>Unit</t>
        </is>
      </c>
      <c r="C28" s="16" t="n">
        <v>850</v>
      </c>
      <c r="D28" s="16" t="n">
        <v>80</v>
      </c>
      <c r="E28" s="16" t="n">
        <v>40</v>
      </c>
      <c r="F28" s="17" t="inlineStr">
        <is>
          <t>Cosmic</t>
        </is>
      </c>
      <c r="G28" s="16" t="n">
        <v>4</v>
      </c>
      <c r="H28" s="17" t="inlineStr">
        <is>
          <t>Permanently increase this card's ATK and DEF by 10 at the end of each of their turn</t>
        </is>
      </c>
      <c r="I28" t="inlineStr">
        <is>
          <t>ATK&amp;DEF→ATK and DEF</t>
        </is>
      </c>
      <c r="J28" s="16" t="n"/>
      <c r="K28" s="17" t="inlineStr">
        <is>
          <t>Yes</t>
        </is>
      </c>
      <c r="L28" s="16">
        <f>(D28*6)+(E28*4)</f>
        <v/>
      </c>
      <c r="M28" s="16" t="n"/>
      <c r="N28" s="16" t="n"/>
      <c r="O28" s="16" t="n"/>
      <c r="P28" s="16" t="n"/>
      <c r="Q28" s="16" t="n"/>
    </row>
    <row r="29" ht="32.05" customHeight="1" s="47">
      <c r="A29" s="8" t="inlineStr">
        <is>
          <t>Mountain Sage</t>
        </is>
      </c>
      <c r="B29" s="9" t="inlineStr">
        <is>
          <t>Unit</t>
        </is>
      </c>
      <c r="C29" s="16" t="n">
        <v>600</v>
      </c>
      <c r="D29" s="16" t="n">
        <v>50</v>
      </c>
      <c r="E29" s="16" t="n">
        <v>30</v>
      </c>
      <c r="F29" s="17" t="inlineStr">
        <is>
          <t>Arcane</t>
        </is>
      </c>
      <c r="G29" s="16" t="n">
        <v>3</v>
      </c>
      <c r="H29" s="17" t="inlineStr">
        <is>
          <t>Double effect of Tech card applied to this unit</t>
        </is>
      </c>
      <c r="J29" s="16" t="n"/>
      <c r="K29" s="17" t="inlineStr">
        <is>
          <t>Yes</t>
        </is>
      </c>
      <c r="L29" s="16">
        <f>(D29*6)+(E29*4)</f>
        <v/>
      </c>
      <c r="M29" s="16" t="n"/>
      <c r="N29" s="16" t="n"/>
      <c r="O29" s="16" t="n"/>
      <c r="P29" s="16" t="n"/>
      <c r="Q29" s="16" t="n"/>
    </row>
    <row r="30" ht="32.05" customHeight="1" s="47">
      <c r="A30" s="8" t="inlineStr">
        <is>
          <t xml:space="preserve">War Genie </t>
        </is>
      </c>
      <c r="B30" s="9" t="inlineStr">
        <is>
          <t>Unit</t>
        </is>
      </c>
      <c r="C30" s="16" t="n">
        <v>1150</v>
      </c>
      <c r="D30" s="16" t="n">
        <v>100</v>
      </c>
      <c r="E30" s="16" t="n">
        <v>80</v>
      </c>
      <c r="F30" s="17" t="inlineStr">
        <is>
          <t>Arcane</t>
        </is>
      </c>
      <c r="G30" s="16" t="n">
        <v>4</v>
      </c>
      <c r="H30" s="17" t="inlineStr">
        <is>
          <t>-10 ATK permanently after it attacked</t>
        </is>
      </c>
      <c r="J30" s="16" t="n"/>
      <c r="K30" s="17" t="inlineStr">
        <is>
          <t>Yes</t>
        </is>
      </c>
      <c r="L30" s="16">
        <f>(D30*6)+(E30*4)</f>
        <v/>
      </c>
      <c r="M30" s="17" t="inlineStr">
        <is>
          <t>Yes</t>
        </is>
      </c>
      <c r="N30" s="16" t="n"/>
      <c r="O30" s="16" t="n"/>
      <c r="P30" s="16" t="n"/>
      <c r="Q30" s="17" t="inlineStr">
        <is>
          <t>Yes</t>
        </is>
      </c>
    </row>
    <row r="31" ht="44.05" customHeight="1" s="47">
      <c r="A31" s="8" t="inlineStr">
        <is>
          <t>Grand Wizard</t>
        </is>
      </c>
      <c r="B31" s="9" t="inlineStr">
        <is>
          <t>Unit</t>
        </is>
      </c>
      <c r="C31" s="16" t="n">
        <v>1100</v>
      </c>
      <c r="D31" s="16" t="n">
        <v>90</v>
      </c>
      <c r="E31" s="16" t="n">
        <v>70</v>
      </c>
      <c r="F31" s="17" t="inlineStr">
        <is>
          <t>Arcane</t>
        </is>
      </c>
      <c r="G31" s="16" t="n">
        <v>4</v>
      </c>
      <c r="H31" s="17" t="inlineStr">
        <is>
          <t>In Reckoning: flip a coin. Heads: +30 ATK and DEF until this turn’s end</t>
        </is>
      </c>
      <c r="I31" t="inlineStr">
        <is>
          <t>ATK&amp;DEF→ATK and DEF; Head→Heads</t>
        </is>
      </c>
      <c r="J31" s="16" t="n"/>
      <c r="K31" s="17" t="inlineStr">
        <is>
          <t>Yes</t>
        </is>
      </c>
      <c r="L31" s="16">
        <f>(D31*6)+(E31*4)</f>
        <v/>
      </c>
      <c r="M31" s="16" t="n"/>
      <c r="N31" s="16" t="n"/>
      <c r="O31" s="16" t="n"/>
      <c r="P31" s="16" t="n"/>
      <c r="Q31" s="16" t="n"/>
    </row>
    <row r="32" ht="44.05" customHeight="1" s="47">
      <c r="A32" s="8" t="inlineStr">
        <is>
          <t>Archbishop</t>
        </is>
      </c>
      <c r="B32" s="9" t="inlineStr">
        <is>
          <t>Unit</t>
        </is>
      </c>
      <c r="C32" s="16" t="n">
        <v>1200</v>
      </c>
      <c r="D32" s="16" t="n">
        <v>70</v>
      </c>
      <c r="E32" s="16" t="n">
        <v>90</v>
      </c>
      <c r="F32" s="17" t="inlineStr">
        <is>
          <t>Divine</t>
        </is>
      </c>
      <c r="G32" s="16" t="n">
        <v>4</v>
      </c>
      <c r="H32" s="17" t="inlineStr">
        <is>
          <t>If this card would be destroyed, the owner can destroy 1 other Divine card on their side instead</t>
        </is>
      </c>
      <c r="J32" s="16" t="n"/>
      <c r="K32" s="17" t="inlineStr">
        <is>
          <t>Yes</t>
        </is>
      </c>
      <c r="L32" s="16">
        <f>(D32*6)+(E32*4)</f>
        <v/>
      </c>
      <c r="M32" s="17" t="inlineStr">
        <is>
          <t>Yes</t>
        </is>
      </c>
      <c r="N32" s="16" t="n"/>
      <c r="O32" s="16" t="n"/>
      <c r="P32" s="16" t="n"/>
      <c r="Q32" s="17" t="inlineStr">
        <is>
          <t>Yes</t>
        </is>
      </c>
    </row>
    <row r="33" ht="20.05" customHeight="1" s="47">
      <c r="A33" s="8" t="inlineStr">
        <is>
          <t>Space Boy</t>
        </is>
      </c>
      <c r="B33" s="9" t="inlineStr">
        <is>
          <t>Unit</t>
        </is>
      </c>
      <c r="C33" s="16" t="n">
        <v>800</v>
      </c>
      <c r="D33" s="16" t="n">
        <v>75</v>
      </c>
      <c r="E33" s="16" t="n">
        <v>65</v>
      </c>
      <c r="F33" s="17" t="inlineStr">
        <is>
          <t>Cosmic</t>
        </is>
      </c>
      <c r="G33" s="16" t="n">
        <v>3</v>
      </c>
      <c r="H33" s="17" t="inlineStr">
        <is>
          <t>None</t>
        </is>
      </c>
      <c r="J33" s="16" t="n"/>
      <c r="K33" s="17" t="inlineStr">
        <is>
          <t>Yes</t>
        </is>
      </c>
      <c r="L33" s="16">
        <f>(D33*6)+(E33*4)</f>
        <v/>
      </c>
      <c r="M33" s="17" t="inlineStr">
        <is>
          <t>Yes</t>
        </is>
      </c>
      <c r="N33" s="16" t="n"/>
      <c r="O33" s="16" t="n"/>
      <c r="P33" s="17" t="inlineStr">
        <is>
          <t>Yes</t>
        </is>
      </c>
      <c r="Q33" s="16" t="n"/>
    </row>
    <row r="34" ht="32.05" customHeight="1" s="47">
      <c r="A34" s="8" t="inlineStr">
        <is>
          <t xml:space="preserve">Slim Gray Trooper </t>
        </is>
      </c>
      <c r="B34" s="9" t="inlineStr">
        <is>
          <t>Unit</t>
        </is>
      </c>
      <c r="C34" s="16" t="n">
        <v>750</v>
      </c>
      <c r="D34" s="16" t="n">
        <v>45</v>
      </c>
      <c r="E34" s="16" t="n">
        <v>45</v>
      </c>
      <c r="F34" s="17" t="inlineStr">
        <is>
          <t>Cosmic</t>
        </is>
      </c>
      <c r="G34" s="16" t="n">
        <v>2</v>
      </c>
      <c r="H34" s="17" t="inlineStr">
        <is>
          <t>+30 ATK and DEF if 10 or more cells on its side is revealed</t>
        </is>
      </c>
      <c r="I34" t="inlineStr">
        <is>
          <t>ATK&amp;DEF→ATK and DEF</t>
        </is>
      </c>
      <c r="J34" s="16" t="n"/>
      <c r="K34" s="17" t="inlineStr">
        <is>
          <t>Yes</t>
        </is>
      </c>
      <c r="L34" s="16">
        <f>(D34*6)+(E34*4)</f>
        <v/>
      </c>
      <c r="M34" s="16" t="n"/>
      <c r="N34" s="16" t="n"/>
      <c r="O34" s="16" t="n"/>
      <c r="P34" s="16" t="n"/>
      <c r="Q34" s="16" t="n"/>
    </row>
    <row r="35" ht="44.05" customHeight="1" s="47">
      <c r="A35" s="8" t="inlineStr">
        <is>
          <t>Horn Face</t>
        </is>
      </c>
      <c r="B35" s="9" t="inlineStr">
        <is>
          <t>Unit</t>
        </is>
      </c>
      <c r="C35" s="16" t="n">
        <v>1350</v>
      </c>
      <c r="D35" s="16" t="n">
        <v>85</v>
      </c>
      <c r="E35" s="16" t="n">
        <v>60</v>
      </c>
      <c r="F35" s="17" t="inlineStr">
        <is>
          <t>Cosmic</t>
        </is>
      </c>
      <c r="G35" s="16" t="n">
        <v>5</v>
      </c>
      <c r="H35" s="17" t="inlineStr">
        <is>
          <t>After successfully attack, flip 3 coins. It can attack again equal to number of head.</t>
        </is>
      </c>
      <c r="J35" s="16" t="n"/>
      <c r="K35" s="17" t="inlineStr">
        <is>
          <t>Yes</t>
        </is>
      </c>
      <c r="L35" s="16">
        <f>(D35*6)+(E35*4)</f>
        <v/>
      </c>
      <c r="M35" s="16" t="n"/>
      <c r="N35" s="16" t="n"/>
      <c r="O35" s="16" t="n"/>
      <c r="P35" s="16" t="n"/>
      <c r="Q35" s="16" t="n"/>
    </row>
    <row r="36" ht="44.05" customHeight="1" s="47">
      <c r="A36" s="8" t="inlineStr">
        <is>
          <t>Railgun Tank</t>
        </is>
      </c>
      <c r="B36" s="9" t="inlineStr">
        <is>
          <t>Unit</t>
        </is>
      </c>
      <c r="C36" s="16" t="n">
        <v>1500</v>
      </c>
      <c r="D36" s="16" t="n">
        <v>150</v>
      </c>
      <c r="E36" s="16" t="n">
        <v>95</v>
      </c>
      <c r="F36" s="17" t="inlineStr">
        <is>
          <t>Anima</t>
        </is>
      </c>
      <c r="G36" s="16" t="n">
        <v>5</v>
      </c>
      <c r="H36" s="17" t="inlineStr">
        <is>
          <t>After successfully attack, this card cannot attack on the next of their turn.</t>
        </is>
      </c>
      <c r="J36" s="16" t="n"/>
      <c r="K36" s="17" t="inlineStr">
        <is>
          <t>Yes</t>
        </is>
      </c>
      <c r="L36" s="16">
        <f>(D36*6)+(E36*4)</f>
        <v/>
      </c>
      <c r="M36" s="16" t="n"/>
      <c r="N36" s="16" t="n"/>
      <c r="O36" s="16" t="n"/>
      <c r="P36" s="16" t="n"/>
      <c r="Q36" s="16" t="n"/>
    </row>
    <row r="37" ht="44.05" customHeight="1" s="47">
      <c r="A37" s="8" t="inlineStr">
        <is>
          <t>Lazy Troll</t>
        </is>
      </c>
      <c r="B37" s="9" t="inlineStr">
        <is>
          <t>Unit</t>
        </is>
      </c>
      <c r="C37" s="16" t="n">
        <v>1000</v>
      </c>
      <c r="D37" s="16" t="n">
        <v>120</v>
      </c>
      <c r="E37" s="16" t="n">
        <v>60</v>
      </c>
      <c r="F37" s="17" t="inlineStr">
        <is>
          <t>Nature</t>
        </is>
      </c>
      <c r="G37" s="16" t="n">
        <v>5</v>
      </c>
      <c r="H37" s="17" t="inlineStr">
        <is>
          <t>If this card performs an attack, flip a coin. Tails: it stops attacking.</t>
        </is>
      </c>
      <c r="I37" t="inlineStr">
        <is>
          <t>Tail→Tails</t>
        </is>
      </c>
      <c r="J37" s="16" t="n"/>
      <c r="K37" s="17" t="inlineStr">
        <is>
          <t>Yes</t>
        </is>
      </c>
      <c r="L37" s="16">
        <f>(D37*6)+(E37*4)</f>
        <v/>
      </c>
      <c r="M37" s="17" t="inlineStr">
        <is>
          <t>Yes</t>
        </is>
      </c>
      <c r="N37" s="16" t="n"/>
      <c r="O37" s="17" t="inlineStr">
        <is>
          <t>Yes</t>
        </is>
      </c>
      <c r="P37" s="16" t="n"/>
      <c r="Q37" s="16" t="n"/>
    </row>
    <row r="38" ht="44.05" customHeight="1" s="47">
      <c r="A38" s="8" t="inlineStr">
        <is>
          <t>Leech Man</t>
        </is>
      </c>
      <c r="B38" s="9" t="inlineStr">
        <is>
          <t>Unit</t>
        </is>
      </c>
      <c r="C38" s="16" t="n">
        <v>880</v>
      </c>
      <c r="D38" s="16" t="n">
        <v>60</v>
      </c>
      <c r="E38" s="16" t="n">
        <v>40</v>
      </c>
      <c r="F38" s="17" t="inlineStr">
        <is>
          <t>Bio</t>
        </is>
      </c>
      <c r="G38" s="16" t="n">
        <v>4</v>
      </c>
      <c r="H38" s="17" t="inlineStr">
        <is>
          <t>+10 DEF permanently after it performed attack on unit. Also +10 ATK with mutagen flag</t>
        </is>
      </c>
      <c r="J38" s="16" t="n"/>
      <c r="K38" s="17" t="inlineStr">
        <is>
          <t>Yes</t>
        </is>
      </c>
      <c r="L38" s="16">
        <f>(D38*6)+(E38*4)</f>
        <v/>
      </c>
      <c r="M38" s="17" t="inlineStr">
        <is>
          <t>Yes</t>
        </is>
      </c>
      <c r="N38" s="16" t="n"/>
      <c r="O38" s="16" t="n"/>
      <c r="P38" s="17" t="inlineStr">
        <is>
          <t>Yes</t>
        </is>
      </c>
      <c r="Q38" s="16" t="n"/>
    </row>
    <row r="39" ht="56.05" customHeight="1" s="47">
      <c r="A39" s="8" t="inlineStr">
        <is>
          <t>Immortal Vampire</t>
        </is>
      </c>
      <c r="B39" s="9" t="inlineStr">
        <is>
          <t>Unit</t>
        </is>
      </c>
      <c r="C39" s="16" t="n">
        <v>1200</v>
      </c>
      <c r="D39" s="16" t="n">
        <v>30</v>
      </c>
      <c r="E39" s="16" t="n">
        <v>80</v>
      </c>
      <c r="F39" s="17" t="inlineStr">
        <is>
          <t>Chaos</t>
        </is>
      </c>
      <c r="G39" s="16" t="n">
        <v>4</v>
      </c>
      <c r="H39" s="17" t="inlineStr">
        <is>
          <t>+50 ATK for each other exposed Chaos card on its side. In Reckoning with Divine, destroy this card.</t>
        </is>
      </c>
      <c r="J39" s="16" t="n"/>
      <c r="K39" s="17" t="inlineStr">
        <is>
          <t>Yes</t>
        </is>
      </c>
      <c r="L39" s="16">
        <f>(D39*6)+(E39*4)</f>
        <v/>
      </c>
      <c r="M39" s="17" t="inlineStr">
        <is>
          <t>Yes</t>
        </is>
      </c>
      <c r="N39" s="16" t="n"/>
      <c r="O39" s="17" t="inlineStr">
        <is>
          <t>Yes</t>
        </is>
      </c>
      <c r="P39" s="17" t="inlineStr">
        <is>
          <t>Yes</t>
        </is>
      </c>
      <c r="Q39" s="16" t="n"/>
    </row>
    <row r="40" ht="44.05" customHeight="1" s="47">
      <c r="A40" s="8" t="inlineStr">
        <is>
          <t>Vampire Servant</t>
        </is>
      </c>
      <c r="B40" s="9" t="inlineStr">
        <is>
          <t>Unit</t>
        </is>
      </c>
      <c r="C40" s="16" t="n">
        <v>800</v>
      </c>
      <c r="D40" s="16" t="n">
        <v>20</v>
      </c>
      <c r="E40" s="16" t="n">
        <v>20</v>
      </c>
      <c r="F40" s="17" t="inlineStr">
        <is>
          <t>Chaos</t>
        </is>
      </c>
      <c r="G40" s="16" t="n">
        <v>2</v>
      </c>
      <c r="H40" s="17" t="inlineStr">
        <is>
          <t>If a 'Vampire' card will be destroyed, destroy this card instead. Usable face-down.</t>
        </is>
      </c>
      <c r="J40" s="16" t="n"/>
      <c r="K40" s="17" t="inlineStr">
        <is>
          <t>Yes</t>
        </is>
      </c>
      <c r="L40" s="16">
        <f>(D40*6)+(E40*4)</f>
        <v/>
      </c>
      <c r="M40" s="17" t="inlineStr">
        <is>
          <t>Yes</t>
        </is>
      </c>
      <c r="N40" s="16" t="n"/>
      <c r="O40" s="16" t="n"/>
      <c r="P40" s="17" t="inlineStr">
        <is>
          <t>Yes</t>
        </is>
      </c>
      <c r="Q40" s="16" t="n"/>
    </row>
    <row r="41" ht="56.05" customHeight="1" s="47">
      <c r="A41" s="8" t="inlineStr">
        <is>
          <t>Bat Swarm</t>
        </is>
      </c>
      <c r="B41" s="9" t="inlineStr">
        <is>
          <t>Unit</t>
        </is>
      </c>
      <c r="C41" s="16" t="n">
        <v>200</v>
      </c>
      <c r="D41" s="16" t="n">
        <v>15</v>
      </c>
      <c r="E41" s="16" t="n">
        <v>15</v>
      </c>
      <c r="F41" s="17" t="inlineStr">
        <is>
          <t>Chaos</t>
        </is>
      </c>
      <c r="G41" s="16" t="n">
        <v>3</v>
      </c>
      <c r="H41" s="17" t="inlineStr">
        <is>
          <t>If a Chaos card is being attacked, they can swap this card’s position with that card. Usable face-down.</t>
        </is>
      </c>
      <c r="J41" s="16" t="n"/>
      <c r="K41" s="17" t="inlineStr">
        <is>
          <t>Yes</t>
        </is>
      </c>
      <c r="L41" s="16">
        <f>(D41*6)+(E41*4)</f>
        <v/>
      </c>
      <c r="M41" s="17" t="inlineStr">
        <is>
          <t>Yes</t>
        </is>
      </c>
      <c r="N41" s="16" t="n"/>
      <c r="O41" s="17" t="inlineStr">
        <is>
          <t>Yes</t>
        </is>
      </c>
      <c r="P41" s="16" t="n"/>
      <c r="Q41" s="16" t="n"/>
    </row>
    <row r="42" ht="32.05" customHeight="1" s="47">
      <c r="A42" s="8" t="inlineStr">
        <is>
          <t>Poltergeist</t>
        </is>
      </c>
      <c r="B42" s="9" t="inlineStr">
        <is>
          <t>Unit</t>
        </is>
      </c>
      <c r="C42" s="16" t="n">
        <v>700</v>
      </c>
      <c r="D42" s="16" t="n">
        <v>0</v>
      </c>
      <c r="E42" s="16" t="n">
        <v>70</v>
      </c>
      <c r="F42" s="17" t="inlineStr">
        <is>
          <t>Chaos</t>
        </is>
      </c>
      <c r="G42" s="16" t="n">
        <v>3</v>
      </c>
      <c r="H42" s="17" t="inlineStr">
        <is>
          <t>If this card performs an attack, switch this card’s ATK and DEF</t>
        </is>
      </c>
      <c r="I42" t="inlineStr">
        <is>
          <t>ATK&amp;DEF→ATK and DEF</t>
        </is>
      </c>
      <c r="J42" s="16" t="n"/>
      <c r="K42" s="17" t="inlineStr">
        <is>
          <t>Yes</t>
        </is>
      </c>
      <c r="L42" s="16">
        <f>(D42*6)+(E42*4)</f>
        <v/>
      </c>
      <c r="M42" s="17" t="inlineStr">
        <is>
          <t>Yes</t>
        </is>
      </c>
      <c r="N42" s="16" t="n"/>
      <c r="O42" s="17" t="inlineStr">
        <is>
          <t>Yes</t>
        </is>
      </c>
      <c r="P42" s="16" t="n"/>
      <c r="Q42" s="16" t="n"/>
    </row>
    <row r="43" ht="44.05" customHeight="1" s="47">
      <c r="A43" s="8" t="inlineStr">
        <is>
          <t>Giant Mosquito</t>
        </is>
      </c>
      <c r="B43" s="9" t="inlineStr">
        <is>
          <t>Unit</t>
        </is>
      </c>
      <c r="C43" s="16" t="n">
        <v>800</v>
      </c>
      <c r="D43" s="16" t="n">
        <v>30</v>
      </c>
      <c r="E43" s="16" t="n">
        <v>20</v>
      </c>
      <c r="F43" s="17" t="inlineStr">
        <is>
          <t>Nature</t>
        </is>
      </c>
      <c r="G43" s="16" t="n">
        <v>5</v>
      </c>
      <c r="H43" s="17" t="inlineStr">
        <is>
          <t>If this card performs an attack, +ATK equal to half of target’s ATK until the end of this turn</t>
        </is>
      </c>
      <c r="J43" s="16" t="n"/>
      <c r="K43" s="17" t="inlineStr">
        <is>
          <t>Yes</t>
        </is>
      </c>
      <c r="L43" s="16">
        <f>(D43*6)+(E43*4)</f>
        <v/>
      </c>
      <c r="M43" s="16" t="n"/>
      <c r="N43" s="16" t="n"/>
      <c r="O43" s="16" t="n"/>
      <c r="P43" s="16" t="n"/>
      <c r="Q43" s="16" t="n"/>
    </row>
    <row r="44" ht="20.05" customHeight="1" s="47">
      <c r="A44" s="8" t="inlineStr">
        <is>
          <t>Street Rogue</t>
        </is>
      </c>
      <c r="B44" s="9" t="inlineStr">
        <is>
          <t>Unit</t>
        </is>
      </c>
      <c r="C44" s="16" t="n">
        <v>350</v>
      </c>
      <c r="D44" s="16" t="n">
        <v>25</v>
      </c>
      <c r="E44" s="16" t="n">
        <v>20</v>
      </c>
      <c r="F44" s="17" t="inlineStr">
        <is>
          <t>Anima</t>
        </is>
      </c>
      <c r="G44" s="16" t="n">
        <v>1</v>
      </c>
      <c r="H44" s="17" t="inlineStr">
        <is>
          <t>+20 ATK against Anima card</t>
        </is>
      </c>
      <c r="J44" s="16" t="n"/>
      <c r="K44" s="17" t="inlineStr">
        <is>
          <t>Yes</t>
        </is>
      </c>
      <c r="L44" s="16">
        <f>(D44*6)+(E44*4)</f>
        <v/>
      </c>
      <c r="M44" s="17" t="inlineStr">
        <is>
          <t>Yes</t>
        </is>
      </c>
      <c r="N44" s="16" t="n"/>
      <c r="O44" s="17" t="inlineStr">
        <is>
          <t>Yes</t>
        </is>
      </c>
      <c r="P44" s="16" t="n"/>
      <c r="Q44" s="16" t="n"/>
    </row>
    <row r="45" ht="20.05" customHeight="1" s="47">
      <c r="A45" s="8" t="inlineStr">
        <is>
          <t>Big Thug</t>
        </is>
      </c>
      <c r="B45" s="9" t="inlineStr">
        <is>
          <t>Unit</t>
        </is>
      </c>
      <c r="C45" s="16" t="n">
        <v>400</v>
      </c>
      <c r="D45" s="16" t="n">
        <v>40</v>
      </c>
      <c r="E45" s="16" t="n">
        <v>35</v>
      </c>
      <c r="F45" s="17" t="inlineStr">
        <is>
          <t>Anima</t>
        </is>
      </c>
      <c r="G45" s="16" t="n">
        <v>2</v>
      </c>
      <c r="H45" s="17" t="inlineStr">
        <is>
          <t>None</t>
        </is>
      </c>
      <c r="J45" s="16" t="n"/>
      <c r="K45" s="17" t="inlineStr">
        <is>
          <t>Yes</t>
        </is>
      </c>
      <c r="L45" s="16">
        <f>(D45*6)+(E45*4)</f>
        <v/>
      </c>
      <c r="M45" s="17" t="inlineStr">
        <is>
          <t>Yes</t>
        </is>
      </c>
      <c r="N45" s="16" t="n"/>
      <c r="O45" s="17" t="inlineStr">
        <is>
          <t>Yes</t>
        </is>
      </c>
      <c r="P45" s="16" t="n"/>
      <c r="Q45" s="16" t="n"/>
    </row>
    <row r="46" ht="20.05" customHeight="1" s="47">
      <c r="A46" s="8" t="inlineStr">
        <is>
          <t>Goblin Poacher</t>
        </is>
      </c>
      <c r="B46" s="9" t="inlineStr">
        <is>
          <t>Unit</t>
        </is>
      </c>
      <c r="C46" s="16" t="n">
        <v>250</v>
      </c>
      <c r="D46" s="16" t="n">
        <v>30</v>
      </c>
      <c r="E46" s="16" t="n">
        <v>10</v>
      </c>
      <c r="F46" s="17" t="inlineStr">
        <is>
          <t>Nature</t>
        </is>
      </c>
      <c r="G46" s="16" t="n">
        <v>1</v>
      </c>
      <c r="H46" s="17" t="inlineStr">
        <is>
          <t>None</t>
        </is>
      </c>
      <c r="J46" s="16" t="n"/>
      <c r="K46" s="17" t="inlineStr">
        <is>
          <t>Yes</t>
        </is>
      </c>
      <c r="L46" s="16">
        <f>(D46*6)+(E46*4)</f>
        <v/>
      </c>
      <c r="M46" s="17" t="inlineStr">
        <is>
          <t>Yes</t>
        </is>
      </c>
      <c r="N46" s="16" t="n"/>
      <c r="O46" s="16" t="n"/>
      <c r="P46" s="16" t="n"/>
      <c r="Q46" s="17" t="inlineStr">
        <is>
          <t>Yes</t>
        </is>
      </c>
    </row>
    <row r="47" ht="56.05" customHeight="1" s="47">
      <c r="A47" s="8" t="inlineStr">
        <is>
          <t>Ectoplasm</t>
        </is>
      </c>
      <c r="B47" s="9" t="inlineStr">
        <is>
          <t>Unit</t>
        </is>
      </c>
      <c r="C47" s="16" t="n">
        <v>800</v>
      </c>
      <c r="D47" s="16" t="n">
        <v>20</v>
      </c>
      <c r="E47" s="16" t="n">
        <v>0</v>
      </c>
      <c r="F47" s="17" t="inlineStr">
        <is>
          <t>Bio</t>
        </is>
      </c>
      <c r="G47" s="16" t="n">
        <v>5</v>
      </c>
      <c r="H47" s="17" t="inlineStr">
        <is>
          <t>After destroyed in Reckoning, revive 1 owned unit (ability becomes None). Repeat the same battle once.</t>
        </is>
      </c>
      <c r="I47" t="inlineStr">
        <is>
          <t>User confirmed repeat same battle once; grammar.</t>
        </is>
      </c>
      <c r="J47" s="16" t="n"/>
      <c r="K47" s="17" t="inlineStr">
        <is>
          <t>Yes</t>
        </is>
      </c>
      <c r="L47" s="16">
        <f>(D47*6)+(E47*4)</f>
        <v/>
      </c>
      <c r="M47" s="16" t="n"/>
      <c r="N47" s="16" t="n"/>
      <c r="O47" s="16" t="n"/>
      <c r="P47" s="16" t="n"/>
      <c r="Q47" s="16" t="n"/>
    </row>
    <row r="48" ht="20.05" customHeight="1" s="47">
      <c r="A48" s="8" t="inlineStr">
        <is>
          <t>Death Stag</t>
        </is>
      </c>
      <c r="B48" s="9" t="inlineStr">
        <is>
          <t>Unit</t>
        </is>
      </c>
      <c r="C48" s="16" t="n">
        <v>400</v>
      </c>
      <c r="D48" s="16" t="n">
        <v>45</v>
      </c>
      <c r="E48" s="16" t="n">
        <v>40</v>
      </c>
      <c r="F48" s="17" t="inlineStr">
        <is>
          <t>Nature</t>
        </is>
      </c>
      <c r="G48" s="16" t="n">
        <v>2</v>
      </c>
      <c r="H48" s="17" t="inlineStr">
        <is>
          <t>None</t>
        </is>
      </c>
      <c r="J48" s="16" t="n"/>
      <c r="K48" s="17" t="inlineStr">
        <is>
          <t>Yes</t>
        </is>
      </c>
      <c r="L48" s="16">
        <f>(D48*6)+(E48*4)</f>
        <v/>
      </c>
      <c r="M48" s="16" t="n"/>
      <c r="N48" s="16" t="n"/>
      <c r="O48" s="16" t="n"/>
      <c r="P48" s="16" t="n"/>
      <c r="Q48" s="16" t="n"/>
    </row>
    <row r="49" ht="44.05" customHeight="1" s="47">
      <c r="A49" s="8" t="inlineStr">
        <is>
          <t>Champion of the Valley</t>
        </is>
      </c>
      <c r="B49" s="9" t="inlineStr">
        <is>
          <t>Unit</t>
        </is>
      </c>
      <c r="C49" s="16" t="n">
        <v>400</v>
      </c>
      <c r="D49" s="16" t="n">
        <v>35</v>
      </c>
      <c r="E49" s="16" t="n">
        <v>45</v>
      </c>
      <c r="F49" s="17" t="inlineStr">
        <is>
          <t>Anima</t>
        </is>
      </c>
      <c r="G49" s="16" t="n">
        <v>2</v>
      </c>
      <c r="H49" s="17" t="inlineStr">
        <is>
          <t>+10 ATK permanently if it destroyed a unit. This bonus does not exceed 30</t>
        </is>
      </c>
      <c r="I49" t="inlineStr">
        <is>
          <t>wording polish</t>
        </is>
      </c>
      <c r="J49" s="16" t="n"/>
      <c r="K49" s="17" t="inlineStr">
        <is>
          <t>Yes</t>
        </is>
      </c>
      <c r="L49" s="16">
        <f>(D49*6)+(E49*4)</f>
        <v/>
      </c>
      <c r="M49" s="16" t="n"/>
      <c r="N49" s="16" t="n"/>
      <c r="O49" s="16" t="n"/>
      <c r="P49" s="16" t="n"/>
      <c r="Q49" s="16" t="n"/>
    </row>
    <row r="50" ht="32.05" customHeight="1" s="47">
      <c r="A50" s="8" t="inlineStr">
        <is>
          <t>Magenta the Nightbloom</t>
        </is>
      </c>
      <c r="B50" s="9" t="inlineStr">
        <is>
          <t>Unit</t>
        </is>
      </c>
      <c r="C50" s="16" t="n">
        <v>300</v>
      </c>
      <c r="D50" s="16" t="n">
        <v>25</v>
      </c>
      <c r="E50" s="16" t="n">
        <v>40</v>
      </c>
      <c r="F50" s="17" t="inlineStr">
        <is>
          <t>Chaos</t>
        </is>
      </c>
      <c r="G50" s="16" t="n">
        <v>1</v>
      </c>
      <c r="H50" s="17" t="inlineStr">
        <is>
          <t>Half its DEF permanently at the end of that turn</t>
        </is>
      </c>
      <c r="J50" s="16" t="n"/>
      <c r="K50" s="17" t="inlineStr">
        <is>
          <t>Yes</t>
        </is>
      </c>
      <c r="L50" s="16">
        <f>(D50*6)+(E50*4)</f>
        <v/>
      </c>
      <c r="M50" s="17" t="inlineStr">
        <is>
          <t>Yes</t>
        </is>
      </c>
      <c r="N50" s="16" t="n"/>
      <c r="O50" s="17" t="inlineStr">
        <is>
          <t>Yes</t>
        </is>
      </c>
      <c r="P50" s="16" t="n"/>
      <c r="Q50" s="16" t="n"/>
    </row>
    <row r="51" ht="44.05" customHeight="1" s="47">
      <c r="A51" s="8" t="inlineStr">
        <is>
          <t>Jirayu the Rebellious Prince</t>
        </is>
      </c>
      <c r="B51" s="9" t="inlineStr">
        <is>
          <t>Unit</t>
        </is>
      </c>
      <c r="C51" s="16" t="n">
        <v>600</v>
      </c>
      <c r="D51" s="16" t="n">
        <v>40</v>
      </c>
      <c r="E51" s="16" t="n">
        <v>40</v>
      </c>
      <c r="F51" s="17" t="inlineStr">
        <is>
          <t>Anima</t>
        </is>
      </c>
      <c r="G51" s="16" t="n">
        <v>2</v>
      </c>
      <c r="H51" s="17" t="inlineStr">
        <is>
          <t>If this card successfully defended, +10 DEF permanently</t>
        </is>
      </c>
      <c r="J51" s="16" t="n"/>
      <c r="K51" s="17" t="inlineStr">
        <is>
          <t>Yes</t>
        </is>
      </c>
      <c r="L51" s="16">
        <f>(D51*6)+(E51*4)</f>
        <v/>
      </c>
      <c r="M51" s="17" t="inlineStr">
        <is>
          <t>Yes</t>
        </is>
      </c>
      <c r="N51" s="16" t="n"/>
      <c r="O51" s="16" t="n"/>
      <c r="P51" s="17" t="inlineStr">
        <is>
          <t>Yes</t>
        </is>
      </c>
      <c r="Q51" s="16" t="n"/>
    </row>
    <row r="52" ht="20.05" customHeight="1" s="47">
      <c r="A52" s="8" t="inlineStr">
        <is>
          <t>Ice Mage</t>
        </is>
      </c>
      <c r="B52" s="9" t="inlineStr">
        <is>
          <t>Unit</t>
        </is>
      </c>
      <c r="C52" s="16" t="n">
        <v>400</v>
      </c>
      <c r="D52" s="16" t="n">
        <v>50</v>
      </c>
      <c r="E52" s="16" t="n">
        <v>0</v>
      </c>
      <c r="F52" s="17" t="inlineStr">
        <is>
          <t>Arcane</t>
        </is>
      </c>
      <c r="G52" s="16" t="n">
        <v>2</v>
      </c>
      <c r="H52" s="17" t="inlineStr">
        <is>
          <t>None</t>
        </is>
      </c>
      <c r="J52" s="16" t="n"/>
      <c r="K52" s="17" t="inlineStr">
        <is>
          <t>Yes</t>
        </is>
      </c>
      <c r="L52" s="16">
        <f>(D52*6)+(E52*4)</f>
        <v/>
      </c>
      <c r="M52" s="17" t="inlineStr">
        <is>
          <t>Yes</t>
        </is>
      </c>
      <c r="N52" s="16" t="n"/>
      <c r="O52" s="16" t="n"/>
      <c r="P52" s="16" t="n"/>
      <c r="Q52" s="17" t="inlineStr">
        <is>
          <t>Yes</t>
        </is>
      </c>
    </row>
    <row r="53" ht="20.05" customHeight="1" s="47">
      <c r="A53" s="8" t="inlineStr">
        <is>
          <t>Asteroid Trooper</t>
        </is>
      </c>
      <c r="B53" s="9" t="inlineStr">
        <is>
          <t>Unit</t>
        </is>
      </c>
      <c r="C53" s="16" t="n">
        <v>250</v>
      </c>
      <c r="D53" s="16" t="n">
        <v>30</v>
      </c>
      <c r="E53" s="16" t="n">
        <v>10</v>
      </c>
      <c r="F53" s="17" t="inlineStr">
        <is>
          <t>Cosmic</t>
        </is>
      </c>
      <c r="G53" s="16" t="n">
        <v>1</v>
      </c>
      <c r="H53" s="17" t="inlineStr">
        <is>
          <t>None</t>
        </is>
      </c>
      <c r="J53" s="16" t="n"/>
      <c r="K53" s="17" t="inlineStr">
        <is>
          <t>Yes</t>
        </is>
      </c>
      <c r="L53" s="16">
        <f>(D53*6)+(E53*4)</f>
        <v/>
      </c>
      <c r="M53" s="16" t="n"/>
      <c r="N53" s="16" t="n"/>
      <c r="O53" s="16" t="n"/>
      <c r="P53" s="16" t="n"/>
      <c r="Q53" s="16" t="n"/>
    </row>
    <row r="54" ht="32.05" customHeight="1" s="47">
      <c r="A54" s="8" t="inlineStr">
        <is>
          <t>Slim Gray Tank</t>
        </is>
      </c>
      <c r="B54" s="9" t="inlineStr">
        <is>
          <t>Unit</t>
        </is>
      </c>
      <c r="C54" s="16" t="n">
        <v>1000</v>
      </c>
      <c r="D54" s="16" t="n">
        <v>20</v>
      </c>
      <c r="E54" s="16" t="n">
        <v>20</v>
      </c>
      <c r="F54" s="17" t="inlineStr">
        <is>
          <t>Cosmic</t>
        </is>
      </c>
      <c r="G54" s="16" t="n">
        <v>5</v>
      </c>
      <c r="H54" s="17" t="inlineStr">
        <is>
          <t>+10 ATK and DEF per revealed cell on its side</t>
        </is>
      </c>
      <c r="I54" t="inlineStr">
        <is>
          <t>ATK/DEF→ATK and DEF</t>
        </is>
      </c>
      <c r="J54" s="16" t="n"/>
      <c r="K54" s="17" t="inlineStr">
        <is>
          <t>Yes</t>
        </is>
      </c>
      <c r="L54" s="16">
        <f>(D54*6)+(E54*4)</f>
        <v/>
      </c>
      <c r="M54" s="16" t="n"/>
      <c r="N54" s="16" t="n"/>
      <c r="O54" s="16" t="n"/>
      <c r="P54" s="16" t="n"/>
      <c r="Q54" s="16" t="n"/>
    </row>
    <row r="55" ht="44.05" customHeight="1" s="47">
      <c r="A55" s="8" t="inlineStr">
        <is>
          <t>Mafia Associates</t>
        </is>
      </c>
      <c r="B55" s="9" t="inlineStr">
        <is>
          <t>Unit</t>
        </is>
      </c>
      <c r="C55" s="16" t="n">
        <v>500</v>
      </c>
      <c r="D55" s="16" t="n">
        <v>45</v>
      </c>
      <c r="E55" s="16" t="n">
        <v>40</v>
      </c>
      <c r="F55" s="17" t="inlineStr">
        <is>
          <t>Anima</t>
        </is>
      </c>
      <c r="G55" s="16" t="n">
        <v>2</v>
      </c>
      <c r="H55" s="17" t="inlineStr">
        <is>
          <t>At the end of the turn that it’s been exposed, its defense becomes 0</t>
        </is>
      </c>
      <c r="J55" s="16" t="n"/>
      <c r="K55" s="17" t="inlineStr">
        <is>
          <t>Yes</t>
        </is>
      </c>
      <c r="L55" s="16">
        <f>(D55*6)+(E55*4)</f>
        <v/>
      </c>
      <c r="M55" s="17" t="inlineStr">
        <is>
          <t>Yes</t>
        </is>
      </c>
      <c r="N55" s="16" t="n"/>
      <c r="O55" s="16" t="n"/>
      <c r="P55" s="16" t="n"/>
      <c r="Q55" s="17" t="inlineStr">
        <is>
          <t>Yes</t>
        </is>
      </c>
    </row>
    <row r="56" ht="32.05" customHeight="1" s="47">
      <c r="A56" s="8" t="inlineStr">
        <is>
          <t>Silver Dragon</t>
        </is>
      </c>
      <c r="B56" s="9" t="inlineStr">
        <is>
          <t>Unit</t>
        </is>
      </c>
      <c r="C56" s="16" t="n">
        <v>1500</v>
      </c>
      <c r="D56" s="16" t="n">
        <v>155</v>
      </c>
      <c r="E56" s="16" t="n">
        <v>95</v>
      </c>
      <c r="F56" s="17" t="inlineStr">
        <is>
          <t>Arcane</t>
        </is>
      </c>
      <c r="G56" s="16" t="n">
        <v>5</v>
      </c>
      <c r="H56" s="17" t="inlineStr">
        <is>
          <t>Pay 1000 Crystal tax to command this card for attack</t>
        </is>
      </c>
      <c r="J56" s="16" t="n"/>
      <c r="K56" s="17" t="inlineStr">
        <is>
          <t>Yes</t>
        </is>
      </c>
      <c r="L56" s="16">
        <f>(D56*6)+(E56*4)</f>
        <v/>
      </c>
      <c r="M56" s="16" t="n"/>
      <c r="N56" s="16" t="n"/>
      <c r="O56" s="16" t="n"/>
      <c r="P56" s="16" t="n"/>
      <c r="Q56" s="16" t="n"/>
    </row>
    <row r="57" ht="20.05" customHeight="1" s="47">
      <c r="A57" s="8" t="inlineStr">
        <is>
          <t>Energy Wisp</t>
        </is>
      </c>
      <c r="B57" s="9" t="inlineStr">
        <is>
          <t>Unit</t>
        </is>
      </c>
      <c r="C57" s="16" t="n">
        <v>100</v>
      </c>
      <c r="D57" s="16" t="n">
        <v>20</v>
      </c>
      <c r="E57" s="16" t="n">
        <v>10</v>
      </c>
      <c r="F57" s="17" t="inlineStr">
        <is>
          <t>Arcane</t>
        </is>
      </c>
      <c r="G57" s="16" t="n">
        <v>3</v>
      </c>
      <c r="H57" s="17" t="inlineStr">
        <is>
          <t>None</t>
        </is>
      </c>
      <c r="J57" s="16" t="n"/>
      <c r="K57" s="17" t="inlineStr">
        <is>
          <t>Yes</t>
        </is>
      </c>
      <c r="L57" s="16">
        <f>(D57*6)+(E57*4)</f>
        <v/>
      </c>
      <c r="M57" s="16" t="n"/>
      <c r="N57" s="16" t="n"/>
      <c r="O57" s="16" t="n"/>
      <c r="P57" s="16" t="n"/>
      <c r="Q57" s="16" t="n"/>
    </row>
    <row r="58" ht="20.05" customHeight="1" s="47">
      <c r="A58" s="8" t="inlineStr">
        <is>
          <t>Wood Wisp</t>
        </is>
      </c>
      <c r="B58" s="9" t="inlineStr">
        <is>
          <t>Unit</t>
        </is>
      </c>
      <c r="C58" s="16" t="n">
        <v>100</v>
      </c>
      <c r="D58" s="16" t="n">
        <v>10</v>
      </c>
      <c r="E58" s="16" t="n">
        <v>20</v>
      </c>
      <c r="F58" s="17" t="inlineStr">
        <is>
          <t>Nature</t>
        </is>
      </c>
      <c r="G58" s="16" t="n">
        <v>3</v>
      </c>
      <c r="H58" s="17" t="inlineStr">
        <is>
          <t>None</t>
        </is>
      </c>
      <c r="J58" s="16" t="n"/>
      <c r="K58" s="17" t="inlineStr">
        <is>
          <t>Yes</t>
        </is>
      </c>
      <c r="L58" s="16">
        <f>(D58*6)+(E58*4)</f>
        <v/>
      </c>
      <c r="M58" s="16" t="n"/>
      <c r="N58" s="16" t="n"/>
      <c r="O58" s="16" t="n"/>
      <c r="P58" s="16" t="n"/>
      <c r="Q58" s="16" t="n"/>
    </row>
    <row r="59" ht="44.05" customHeight="1" s="47">
      <c r="A59" s="8" t="inlineStr">
        <is>
          <t>Messenger of Fate</t>
        </is>
      </c>
      <c r="B59" s="9" t="inlineStr">
        <is>
          <t>Unit</t>
        </is>
      </c>
      <c r="C59" s="16" t="n">
        <v>500</v>
      </c>
      <c r="D59" s="16" t="n">
        <v>45</v>
      </c>
      <c r="E59" s="16" t="n">
        <v>35</v>
      </c>
      <c r="F59" s="17" t="inlineStr">
        <is>
          <t>Divine</t>
        </is>
      </c>
      <c r="G59" s="16" t="n">
        <v>2</v>
      </c>
      <c r="H59" s="17" t="inlineStr">
        <is>
          <t>In Reckoning: flip a coin. Heads: +20 ATK and DEF. Tails: -20 ATK and DEF</t>
        </is>
      </c>
      <c r="I59" t="inlineStr">
        <is>
          <t>ATK&amp;DEF→ATK and DEF; Head→Heads</t>
        </is>
      </c>
      <c r="J59" s="16" t="n"/>
      <c r="K59" s="17" t="inlineStr">
        <is>
          <t>Yes</t>
        </is>
      </c>
      <c r="L59" s="16">
        <f>(D59*6)+(E59*4)</f>
        <v/>
      </c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Armored Wolf</t>
        </is>
      </c>
      <c r="B60" s="9" t="inlineStr">
        <is>
          <t>Unit</t>
        </is>
      </c>
      <c r="C60" s="16" t="n">
        <v>800</v>
      </c>
      <c r="D60" s="16" t="n">
        <v>40</v>
      </c>
      <c r="E60" s="16" t="n">
        <v>80</v>
      </c>
      <c r="F60" s="17" t="inlineStr">
        <is>
          <t>Nature</t>
        </is>
      </c>
      <c r="G60" s="16" t="n">
        <v>3</v>
      </c>
      <c r="H60" s="17" t="inlineStr">
        <is>
          <t>Once in Reckoning: owner may grant this unit +50 ATK and -50 DEF permanently.</t>
        </is>
      </c>
      <c r="I60" t="inlineStr">
        <is>
          <t>User confirmed -50 ATK was typo for -50 DEF.</t>
        </is>
      </c>
      <c r="J60" s="16" t="n"/>
      <c r="K60" s="17" t="inlineStr">
        <is>
          <t>Yes</t>
        </is>
      </c>
      <c r="L60" s="16">
        <f>(D60*6)+(E60*4)</f>
        <v/>
      </c>
      <c r="M60" s="16" t="n"/>
      <c r="N60" s="16" t="n"/>
      <c r="O60" s="16" t="n"/>
      <c r="P60" s="16" t="n"/>
      <c r="Q60" s="16" t="n"/>
    </row>
    <row r="61" ht="32.05" customHeight="1" s="47">
      <c r="A61" s="8" t="inlineStr">
        <is>
          <t>Berserker of Ice Sea</t>
        </is>
      </c>
      <c r="B61" s="9" t="inlineStr">
        <is>
          <t>Unit</t>
        </is>
      </c>
      <c r="C61" s="16" t="n">
        <v>1000</v>
      </c>
      <c r="D61" s="16" t="n">
        <v>105</v>
      </c>
      <c r="E61" s="16" t="n">
        <v>50</v>
      </c>
      <c r="F61" s="17" t="inlineStr">
        <is>
          <t>Anima</t>
        </is>
      </c>
      <c r="G61" s="16" t="n">
        <v>3</v>
      </c>
      <c r="H61" s="17" t="inlineStr">
        <is>
          <t>Once: at their turn end, -35 ATK</t>
        </is>
      </c>
      <c r="I61" t="inlineStr">
        <is>
          <t>wording polish</t>
        </is>
      </c>
      <c r="J61" s="16" t="n"/>
      <c r="K61" s="17" t="inlineStr">
        <is>
          <t>Yes</t>
        </is>
      </c>
      <c r="L61" s="16">
        <f>(D61*6)+(E61*4)</f>
        <v/>
      </c>
      <c r="M61" s="16" t="n"/>
      <c r="N61" s="16" t="n"/>
      <c r="O61" s="16" t="n"/>
      <c r="P61" s="16" t="n"/>
      <c r="Q61" s="16" t="n"/>
    </row>
    <row r="62" ht="32.05" customHeight="1" s="47">
      <c r="A62" s="8" t="inlineStr">
        <is>
          <t>Armored Elephant</t>
        </is>
      </c>
      <c r="B62" s="9" t="inlineStr">
        <is>
          <t>Unit</t>
        </is>
      </c>
      <c r="C62" s="16" t="n">
        <v>800</v>
      </c>
      <c r="D62" s="16" t="n">
        <v>20</v>
      </c>
      <c r="E62" s="16" t="n">
        <v>150</v>
      </c>
      <c r="F62" s="17" t="inlineStr">
        <is>
          <t>Nature</t>
        </is>
      </c>
      <c r="G62" s="16" t="n">
        <v>5</v>
      </c>
      <c r="H62" s="17" t="inlineStr">
        <is>
          <t>-50 DEF for each successful defense</t>
        </is>
      </c>
      <c r="J62" s="16" t="n"/>
      <c r="K62" s="17" t="inlineStr">
        <is>
          <t>Yes</t>
        </is>
      </c>
      <c r="L62" s="16">
        <f>(D62*6)+(E62*4)</f>
        <v/>
      </c>
      <c r="M62" s="16" t="n"/>
      <c r="N62" s="16" t="n"/>
      <c r="O62" s="16" t="n"/>
      <c r="P62" s="16" t="n"/>
      <c r="Q62" s="16" t="n"/>
    </row>
    <row r="63" ht="32.05" customHeight="1" s="47">
      <c r="A63" s="8" t="inlineStr">
        <is>
          <t>Battle Penguin</t>
        </is>
      </c>
      <c r="B63" s="9" t="inlineStr">
        <is>
          <t>Unit</t>
        </is>
      </c>
      <c r="C63" s="16" t="n">
        <v>300</v>
      </c>
      <c r="D63" s="16" t="n">
        <v>20</v>
      </c>
      <c r="E63" s="16" t="n">
        <v>15</v>
      </c>
      <c r="F63" s="17" t="inlineStr">
        <is>
          <t>Nature</t>
        </is>
      </c>
      <c r="G63" s="16" t="n">
        <v>1</v>
      </c>
      <c r="H63" s="17" t="inlineStr">
        <is>
          <t>+15 ATK until the end of that turn, once.</t>
        </is>
      </c>
      <c r="J63" s="16" t="n"/>
      <c r="K63" s="16" t="n"/>
      <c r="L63" s="16">
        <f>(D63*6)+(E63*4)</f>
        <v/>
      </c>
      <c r="M63" s="16" t="n"/>
      <c r="N63" s="16" t="n"/>
      <c r="O63" s="16" t="n"/>
      <c r="P63" s="16" t="n"/>
      <c r="Q63" s="16" t="n"/>
    </row>
    <row r="64" ht="20.05" customHeight="1" s="47">
      <c r="A64" s="8" t="inlineStr">
        <is>
          <t>Star Crusader</t>
        </is>
      </c>
      <c r="B64" s="9" t="inlineStr">
        <is>
          <t>Unit</t>
        </is>
      </c>
      <c r="C64" s="16" t="n">
        <v>250</v>
      </c>
      <c r="D64" s="16" t="n">
        <v>25</v>
      </c>
      <c r="E64" s="16" t="n">
        <v>25</v>
      </c>
      <c r="F64" s="17" t="inlineStr">
        <is>
          <t>Divine</t>
        </is>
      </c>
      <c r="G64" s="16" t="n">
        <v>1</v>
      </c>
      <c r="H64" s="17" t="inlineStr">
        <is>
          <t>None</t>
        </is>
      </c>
      <c r="J64" s="16" t="n"/>
      <c r="K64" s="16" t="n"/>
      <c r="L64" s="16">
        <f>(D64*6)+(E64*4)</f>
        <v/>
      </c>
      <c r="M64" s="16" t="n"/>
      <c r="N64" s="16" t="n"/>
      <c r="O64" s="16" t="n"/>
      <c r="P64" s="16" t="n"/>
      <c r="Q64" s="16" t="n"/>
    </row>
    <row r="65" ht="20.05" customHeight="1" s="47">
      <c r="A65" s="8" t="inlineStr">
        <is>
          <t>Gryphon</t>
        </is>
      </c>
      <c r="B65" s="9" t="inlineStr">
        <is>
          <t>Unit</t>
        </is>
      </c>
      <c r="C65" s="16" t="n">
        <v>1150</v>
      </c>
      <c r="D65" s="16" t="n">
        <v>100</v>
      </c>
      <c r="E65" s="16" t="n">
        <v>85</v>
      </c>
      <c r="F65" s="17" t="inlineStr">
        <is>
          <t>Nature</t>
        </is>
      </c>
      <c r="G65" s="16" t="n">
        <v>5</v>
      </c>
      <c r="H65" s="17" t="inlineStr">
        <is>
          <t>None</t>
        </is>
      </c>
      <c r="J65" s="16" t="n"/>
      <c r="K65" s="17" t="inlineStr">
        <is>
          <t>Yes</t>
        </is>
      </c>
      <c r="L65" s="16">
        <f>(D65*6)+(E65*4)</f>
        <v/>
      </c>
      <c r="M65" s="17" t="inlineStr">
        <is>
          <t>Yes</t>
        </is>
      </c>
      <c r="N65" s="16" t="n"/>
      <c r="O65" s="16" t="n"/>
      <c r="P65" s="17" t="inlineStr">
        <is>
          <t>Yes</t>
        </is>
      </c>
      <c r="Q65" s="16" t="n"/>
    </row>
    <row r="66" ht="20.05" customHeight="1" s="47">
      <c r="A66" s="8" t="inlineStr">
        <is>
          <t>Cleaver Saint</t>
        </is>
      </c>
      <c r="B66" s="9" t="inlineStr">
        <is>
          <t>Unit</t>
        </is>
      </c>
      <c r="C66" s="16" t="n">
        <v>1200</v>
      </c>
      <c r="D66" s="16" t="n">
        <v>95</v>
      </c>
      <c r="E66" s="16" t="n">
        <v>80</v>
      </c>
      <c r="F66" s="17" t="inlineStr">
        <is>
          <t>DIvine</t>
        </is>
      </c>
      <c r="G66" s="16" t="n">
        <v>4</v>
      </c>
      <c r="H66" s="17" t="inlineStr">
        <is>
          <t>None</t>
        </is>
      </c>
      <c r="J66" s="16" t="n"/>
      <c r="K66" s="16" t="n"/>
      <c r="L66" s="16">
        <f>(D66*6)+(E66*4)</f>
        <v/>
      </c>
      <c r="M66" s="16" t="n"/>
      <c r="N66" s="16" t="n"/>
      <c r="O66" s="16" t="n"/>
      <c r="P66" s="16" t="n"/>
      <c r="Q66" s="16" t="n"/>
    </row>
    <row r="67" ht="44.05" customHeight="1" s="47">
      <c r="A67" s="8" t="inlineStr">
        <is>
          <t>Succubus</t>
        </is>
      </c>
      <c r="B67" s="9" t="inlineStr">
        <is>
          <t>Unit</t>
        </is>
      </c>
      <c r="C67" s="16" t="n">
        <v>600</v>
      </c>
      <c r="D67" s="16" t="n">
        <v>10</v>
      </c>
      <c r="E67" s="16" t="n">
        <v>30</v>
      </c>
      <c r="F67" s="17" t="inlineStr">
        <is>
          <t>Chaos</t>
        </is>
      </c>
      <c r="G67" s="16" t="n">
        <v>1</v>
      </c>
      <c r="H67" s="17" t="inlineStr">
        <is>
          <t>Once: if survived Reckoning: +ATK and DEF equal to half of that foe’s card</t>
        </is>
      </c>
      <c r="I67" t="inlineStr">
        <is>
          <t>ATK&amp;DEF→ATK and DEF</t>
        </is>
      </c>
      <c r="J67" s="16" t="n"/>
      <c r="K67" s="17" t="inlineStr">
        <is>
          <t>Yes</t>
        </is>
      </c>
      <c r="L67" s="16">
        <f>(D67*6)+(E67*4)</f>
        <v/>
      </c>
      <c r="M67" s="17" t="inlineStr">
        <is>
          <t>Yes</t>
        </is>
      </c>
      <c r="N67" s="16" t="n"/>
      <c r="O67" s="16" t="n"/>
      <c r="P67" s="17" t="inlineStr">
        <is>
          <t>Yes</t>
        </is>
      </c>
      <c r="Q67" s="16" t="n"/>
    </row>
    <row r="68" ht="20.05" customHeight="1" s="47">
      <c r="A68" s="8" t="inlineStr">
        <is>
          <t>Wide smile lady</t>
        </is>
      </c>
      <c r="B68" s="9" t="inlineStr">
        <is>
          <t>Unit</t>
        </is>
      </c>
      <c r="C68" s="16" t="n">
        <v>200</v>
      </c>
      <c r="D68" s="16" t="n">
        <v>25</v>
      </c>
      <c r="E68" s="16" t="n">
        <v>0</v>
      </c>
      <c r="F68" s="17" t="inlineStr">
        <is>
          <t>Chaos</t>
        </is>
      </c>
      <c r="G68" s="16" t="n">
        <v>1</v>
      </c>
      <c r="H68" s="17" t="inlineStr">
        <is>
          <t>None</t>
        </is>
      </c>
      <c r="J68" s="16" t="n"/>
      <c r="K68" s="16" t="n"/>
      <c r="L68" s="16">
        <f>(D68*6)+(E68*4)</f>
        <v/>
      </c>
      <c r="M68" s="16" t="n"/>
      <c r="N68" s="16" t="n"/>
      <c r="O68" s="16" t="n"/>
      <c r="P68" s="16" t="n"/>
      <c r="Q68" s="16" t="n"/>
    </row>
    <row r="69" ht="44.05" customHeight="1" s="47">
      <c r="A69" s="8" t="inlineStr">
        <is>
          <t>Nuki the Tanuki</t>
        </is>
      </c>
      <c r="B69" s="9" t="inlineStr">
        <is>
          <t>Unit</t>
        </is>
      </c>
      <c r="C69" s="16" t="n">
        <v>100</v>
      </c>
      <c r="D69" s="16" t="n">
        <v>10</v>
      </c>
      <c r="E69" s="16" t="n">
        <v>10</v>
      </c>
      <c r="F69" s="17" t="inlineStr">
        <is>
          <t>Nature</t>
        </is>
      </c>
      <c r="G69" s="16" t="n">
        <v>1</v>
      </c>
      <c r="H69" s="17" t="inlineStr">
        <is>
          <t>Before Reckoning, flip a coin. Heads: swap position with any of own unit. Repeat Reckoning.</t>
        </is>
      </c>
      <c r="I69" t="inlineStr">
        <is>
          <t>Head→Heads</t>
        </is>
      </c>
      <c r="J69" s="16" t="n"/>
      <c r="K69" s="17" t="inlineStr">
        <is>
          <t>Yes</t>
        </is>
      </c>
      <c r="L69" s="16">
        <f>(D69*6)+(E69*4)</f>
        <v/>
      </c>
      <c r="M69" s="17" t="inlineStr">
        <is>
          <t>Yes</t>
        </is>
      </c>
      <c r="N69" s="16" t="n"/>
      <c r="O69" s="16" t="n"/>
      <c r="P69" s="16" t="n"/>
      <c r="Q69" s="17" t="inlineStr">
        <is>
          <t>Yes</t>
        </is>
      </c>
    </row>
    <row r="70" ht="20.05" customHeight="1" s="47">
      <c r="A70" s="8" t="inlineStr">
        <is>
          <t>Tiny Pixie</t>
        </is>
      </c>
      <c r="B70" s="9" t="inlineStr">
        <is>
          <t>Unit</t>
        </is>
      </c>
      <c r="C70" s="16" t="n">
        <v>100</v>
      </c>
      <c r="D70" s="16" t="n">
        <v>0</v>
      </c>
      <c r="E70" s="16" t="n">
        <v>0</v>
      </c>
      <c r="F70" s="17" t="inlineStr">
        <is>
          <t>Divine</t>
        </is>
      </c>
      <c r="G70" s="16" t="n">
        <v>1</v>
      </c>
      <c r="H70" s="17" t="inlineStr">
        <is>
          <t>Once: this card is not destroyed</t>
        </is>
      </c>
      <c r="I70" t="inlineStr">
        <is>
          <t>wording polish</t>
        </is>
      </c>
      <c r="J70" s="16" t="n"/>
      <c r="K70" s="17" t="inlineStr">
        <is>
          <t>Yes</t>
        </is>
      </c>
      <c r="L70" s="16">
        <f>(D70*6)+(E70*4)</f>
        <v/>
      </c>
      <c r="M70" s="17" t="inlineStr">
        <is>
          <t>Yes</t>
        </is>
      </c>
      <c r="N70" s="16" t="n"/>
      <c r="O70" s="17" t="inlineStr">
        <is>
          <t>Yes</t>
        </is>
      </c>
      <c r="P70" s="16" t="n"/>
      <c r="Q70" s="16" t="n"/>
    </row>
    <row r="71" ht="44.05" customHeight="1" s="47">
      <c r="A71" s="8" t="inlineStr">
        <is>
          <t>Melissa the Healer</t>
        </is>
      </c>
      <c r="B71" s="9" t="inlineStr">
        <is>
          <t>Unit</t>
        </is>
      </c>
      <c r="C71" s="16" t="n">
        <v>700</v>
      </c>
      <c r="D71" s="16" t="n">
        <v>0</v>
      </c>
      <c r="E71" s="16" t="n">
        <v>25</v>
      </c>
      <c r="F71" s="17" t="inlineStr">
        <is>
          <t>Divine</t>
        </is>
      </c>
      <c r="G71" s="16" t="n">
        <v>1</v>
      </c>
      <c r="H71" s="17" t="inlineStr">
        <is>
          <t>If the owner lose 500 or more Crystals, they recover 300 Crystals</t>
        </is>
      </c>
      <c r="J71" s="16" t="n"/>
      <c r="K71" s="17" t="inlineStr">
        <is>
          <t>Yes</t>
        </is>
      </c>
      <c r="L71" s="16">
        <f>(D71*6)+(E71*4)</f>
        <v/>
      </c>
      <c r="M71" s="17" t="inlineStr">
        <is>
          <t>Yes</t>
        </is>
      </c>
      <c r="N71" s="16" t="n"/>
      <c r="O71" s="17" t="inlineStr">
        <is>
          <t>Yes</t>
        </is>
      </c>
      <c r="P71" s="16" t="n"/>
      <c r="Q71" s="16" t="n"/>
    </row>
    <row r="72" ht="32.05" customHeight="1" s="47">
      <c r="A72" s="8" t="inlineStr">
        <is>
          <t>Heavy Tome Preacher</t>
        </is>
      </c>
      <c r="B72" s="9" t="inlineStr">
        <is>
          <t>Unit</t>
        </is>
      </c>
      <c r="C72" s="16" t="n">
        <v>300</v>
      </c>
      <c r="D72" s="16" t="n">
        <v>25</v>
      </c>
      <c r="E72" s="16" t="n">
        <v>20</v>
      </c>
      <c r="F72" s="17" t="inlineStr">
        <is>
          <t>Divine</t>
        </is>
      </c>
      <c r="G72" s="16" t="n">
        <v>1</v>
      </c>
      <c r="H72" s="17" t="inlineStr">
        <is>
          <t>None</t>
        </is>
      </c>
      <c r="J72" s="16" t="n"/>
      <c r="K72" s="17" t="inlineStr">
        <is>
          <t>Yes</t>
        </is>
      </c>
      <c r="L72" s="16">
        <f>(D72*6)+(E72*4)</f>
        <v/>
      </c>
      <c r="M72" s="17" t="inlineStr">
        <is>
          <t>Yes</t>
        </is>
      </c>
      <c r="N72" s="16" t="n"/>
      <c r="O72" s="16" t="n"/>
      <c r="P72" s="16" t="n"/>
      <c r="Q72" s="17" t="inlineStr">
        <is>
          <t>Yes</t>
        </is>
      </c>
    </row>
    <row r="73" ht="20.05" customHeight="1" s="47">
      <c r="A73" s="8" t="inlineStr">
        <is>
          <t>Holy Wisp</t>
        </is>
      </c>
      <c r="B73" s="9" t="inlineStr">
        <is>
          <t>Unit</t>
        </is>
      </c>
      <c r="C73" s="16" t="n">
        <v>200</v>
      </c>
      <c r="D73" s="16" t="n">
        <v>10</v>
      </c>
      <c r="E73" s="16" t="n">
        <v>20</v>
      </c>
      <c r="F73" s="17" t="inlineStr">
        <is>
          <t>Divine</t>
        </is>
      </c>
      <c r="G73" s="16" t="n">
        <v>1</v>
      </c>
      <c r="H73" s="17" t="inlineStr">
        <is>
          <t>+10 ATK vs Chaos</t>
        </is>
      </c>
      <c r="J73" s="16" t="n"/>
      <c r="K73" s="16" t="n"/>
      <c r="L73" s="16">
        <f>(D73*6)+(E73*4)</f>
        <v/>
      </c>
      <c r="M73" s="16" t="n"/>
      <c r="N73" s="16" t="n"/>
      <c r="O73" s="16" t="n"/>
      <c r="P73" s="16" t="n"/>
      <c r="Q73" s="16" t="n"/>
    </row>
    <row r="74" ht="20.05" customHeight="1" s="47">
      <c r="A74" s="8" t="inlineStr">
        <is>
          <t>Cloud Soldier</t>
        </is>
      </c>
      <c r="B74" s="9" t="inlineStr">
        <is>
          <t>Unit</t>
        </is>
      </c>
      <c r="C74" s="16" t="n">
        <v>200</v>
      </c>
      <c r="D74" s="16" t="n">
        <v>20</v>
      </c>
      <c r="E74" s="16" t="n">
        <v>15</v>
      </c>
      <c r="F74" s="17" t="inlineStr">
        <is>
          <t>Divine</t>
        </is>
      </c>
      <c r="G74" s="16" t="n">
        <v>1</v>
      </c>
      <c r="H74" s="17" t="inlineStr">
        <is>
          <t>None</t>
        </is>
      </c>
      <c r="J74" s="16" t="n"/>
      <c r="K74" s="16" t="n"/>
      <c r="L74" s="16">
        <f>(D74*6)+(E74*4)</f>
        <v/>
      </c>
      <c r="M74" s="16" t="n"/>
      <c r="N74" s="16" t="n"/>
      <c r="O74" s="16" t="n"/>
      <c r="P74" s="16" t="n"/>
      <c r="Q74" s="16" t="n"/>
    </row>
    <row r="75" ht="20.05" customHeight="1" s="47">
      <c r="A75" s="8" t="inlineStr">
        <is>
          <t>Sleeping Kirin</t>
        </is>
      </c>
      <c r="B75" s="9" t="inlineStr">
        <is>
          <t>Unit</t>
        </is>
      </c>
      <c r="C75" s="16" t="n">
        <v>400</v>
      </c>
      <c r="D75" s="16" t="n">
        <v>0</v>
      </c>
      <c r="E75" s="16" t="n">
        <v>25</v>
      </c>
      <c r="F75" s="17" t="inlineStr">
        <is>
          <t>Divine</t>
        </is>
      </c>
      <c r="G75" s="16" t="n">
        <v>1</v>
      </c>
      <c r="H75" s="17" t="inlineStr">
        <is>
          <t>+25 ATK permanently</t>
        </is>
      </c>
      <c r="J75" s="16" t="n"/>
      <c r="K75" s="16" t="n"/>
      <c r="L75" s="16">
        <f>(D75*6)+(E75*4)</f>
        <v/>
      </c>
      <c r="M75" s="16" t="n"/>
      <c r="N75" s="16" t="n"/>
      <c r="O75" s="16" t="n"/>
      <c r="P75" s="16" t="n"/>
      <c r="Q75" s="16" t="n"/>
    </row>
    <row r="76" ht="20.05" customHeight="1" s="47">
      <c r="A76" s="8" t="inlineStr">
        <is>
          <t>Ponycorn</t>
        </is>
      </c>
      <c r="B76" s="9" t="inlineStr">
        <is>
          <t>Unit</t>
        </is>
      </c>
      <c r="C76" s="16" t="n">
        <v>300</v>
      </c>
      <c r="D76" s="16" t="n">
        <v>25</v>
      </c>
      <c r="E76" s="16" t="n">
        <v>20</v>
      </c>
      <c r="F76" s="17" t="inlineStr">
        <is>
          <t>Divine</t>
        </is>
      </c>
      <c r="G76" s="16" t="n">
        <v>2</v>
      </c>
      <c r="H76" s="17" t="inlineStr">
        <is>
          <t>None</t>
        </is>
      </c>
      <c r="J76" s="16" t="n"/>
      <c r="K76" s="17" t="inlineStr">
        <is>
          <t>Yes</t>
        </is>
      </c>
      <c r="L76" s="16">
        <f>(D76*6)+(E76*4)</f>
        <v/>
      </c>
      <c r="M76" s="17" t="inlineStr">
        <is>
          <t>Yes</t>
        </is>
      </c>
      <c r="N76" s="16" t="n"/>
      <c r="O76" s="17" t="inlineStr">
        <is>
          <t>Yes</t>
        </is>
      </c>
      <c r="P76" s="16" t="n"/>
      <c r="Q76" s="16" t="n"/>
    </row>
    <row r="77" ht="20.05" customHeight="1" s="47">
      <c r="A77" s="8" t="inlineStr">
        <is>
          <t>Nunchuck Nun</t>
        </is>
      </c>
      <c r="B77" s="9" t="inlineStr">
        <is>
          <t>Unit</t>
        </is>
      </c>
      <c r="C77" s="16" t="n">
        <v>320</v>
      </c>
      <c r="D77" s="16" t="n">
        <v>25</v>
      </c>
      <c r="E77" s="16" t="n">
        <v>15</v>
      </c>
      <c r="F77" s="17" t="inlineStr">
        <is>
          <t>Divine</t>
        </is>
      </c>
      <c r="G77" s="16" t="n">
        <v>1</v>
      </c>
      <c r="H77" s="17" t="inlineStr">
        <is>
          <t>+ 5 ATK and DEF vs Chaos card</t>
        </is>
      </c>
      <c r="I77" t="inlineStr">
        <is>
          <t>ATK&amp;DEF→ATK and DEF</t>
        </is>
      </c>
      <c r="J77" s="16" t="n"/>
      <c r="K77" s="16" t="n"/>
      <c r="L77" s="16">
        <f>(D77*6)+(E77*4)</f>
        <v/>
      </c>
      <c r="M77" s="16" t="n"/>
      <c r="N77" s="16" t="n"/>
      <c r="O77" s="16" t="n"/>
      <c r="P77" s="16" t="n"/>
      <c r="Q77" s="16" t="n"/>
    </row>
    <row r="78" ht="44.05" customHeight="1" s="47">
      <c r="A78" s="8" t="inlineStr">
        <is>
          <t>Joan the Faithful Warrior</t>
        </is>
      </c>
      <c r="B78" s="9" t="inlineStr">
        <is>
          <t>Unit</t>
        </is>
      </c>
      <c r="C78" s="16" t="n">
        <v>280</v>
      </c>
      <c r="D78" s="16" t="n">
        <v>25</v>
      </c>
      <c r="E78" s="16" t="n">
        <v>5</v>
      </c>
      <c r="F78" s="17" t="inlineStr">
        <is>
          <t>Divine</t>
        </is>
      </c>
      <c r="G78" s="16" t="n">
        <v>1</v>
      </c>
      <c r="H78" s="17" t="inlineStr">
        <is>
          <t>If at least 1 exposed Divine unit is on the field, this card gain 35 DEF</t>
        </is>
      </c>
      <c r="J78" s="16" t="n"/>
      <c r="K78" s="17" t="inlineStr">
        <is>
          <t>Yes</t>
        </is>
      </c>
      <c r="L78" s="16">
        <f>(D78*6)+(E78*4)</f>
        <v/>
      </c>
      <c r="M78" s="17" t="inlineStr">
        <is>
          <t>Yes</t>
        </is>
      </c>
      <c r="N78" s="16" t="n"/>
      <c r="O78" s="16" t="n"/>
      <c r="P78" s="17" t="inlineStr">
        <is>
          <t>Yes</t>
        </is>
      </c>
      <c r="Q78" s="16" t="n"/>
    </row>
    <row r="79" ht="20.05" customHeight="1" s="47">
      <c r="A79" s="8" t="inlineStr">
        <is>
          <t>Choir Lady Alice</t>
        </is>
      </c>
      <c r="B79" s="9" t="inlineStr">
        <is>
          <t>Unit</t>
        </is>
      </c>
      <c r="C79" s="16" t="n">
        <v>250</v>
      </c>
      <c r="D79" s="16" t="n">
        <v>20</v>
      </c>
      <c r="E79" s="16" t="n">
        <v>25</v>
      </c>
      <c r="F79" s="17" t="inlineStr">
        <is>
          <t>Divine</t>
        </is>
      </c>
      <c r="G79" s="16" t="n">
        <v>1</v>
      </c>
      <c r="H79" s="17" t="inlineStr">
        <is>
          <t>None</t>
        </is>
      </c>
      <c r="J79" s="16" t="n"/>
      <c r="K79" s="17" t="inlineStr">
        <is>
          <t>Yes</t>
        </is>
      </c>
      <c r="L79" s="16">
        <f>(D79*6)+(E79*4)</f>
        <v/>
      </c>
      <c r="M79" s="17" t="inlineStr">
        <is>
          <t>Yes</t>
        </is>
      </c>
      <c r="N79" s="16" t="n"/>
      <c r="O79" s="16" t="n"/>
      <c r="P79" s="17" t="inlineStr">
        <is>
          <t>Yes</t>
        </is>
      </c>
      <c r="Q79" s="16" t="n"/>
    </row>
    <row r="80" ht="20.05" customHeight="1" s="47">
      <c r="A80" s="8" t="inlineStr">
        <is>
          <t>Choir Lady Anna</t>
        </is>
      </c>
      <c r="B80" s="9" t="inlineStr">
        <is>
          <t>Unit</t>
        </is>
      </c>
      <c r="C80" s="16" t="n">
        <v>250</v>
      </c>
      <c r="D80" s="16" t="n">
        <v>20</v>
      </c>
      <c r="E80" s="16" t="n">
        <v>20</v>
      </c>
      <c r="F80" s="17" t="inlineStr">
        <is>
          <t>Divine</t>
        </is>
      </c>
      <c r="G80" s="16" t="n">
        <v>1</v>
      </c>
      <c r="H80" s="17" t="inlineStr">
        <is>
          <t>None</t>
        </is>
      </c>
      <c r="J80" s="16" t="n"/>
      <c r="K80" s="17" t="inlineStr">
        <is>
          <t>Yes</t>
        </is>
      </c>
      <c r="L80" s="16">
        <f>(D80*6)+(E80*4)</f>
        <v/>
      </c>
      <c r="M80" s="17" t="inlineStr">
        <is>
          <t>Yes</t>
        </is>
      </c>
      <c r="N80" s="16" t="n"/>
      <c r="O80" s="16" t="n"/>
      <c r="P80" s="17" t="inlineStr">
        <is>
          <t>Yes</t>
        </is>
      </c>
      <c r="Q80" s="16" t="n"/>
    </row>
    <row r="81" ht="20.05" customHeight="1" s="47">
      <c r="A81" s="8" t="inlineStr">
        <is>
          <t>Choir Lady Abigail</t>
        </is>
      </c>
      <c r="B81" s="9" t="inlineStr">
        <is>
          <t>Unit</t>
        </is>
      </c>
      <c r="C81" s="16" t="n">
        <v>250</v>
      </c>
      <c r="D81" s="16" t="n">
        <v>25</v>
      </c>
      <c r="E81" s="16" t="n">
        <v>15</v>
      </c>
      <c r="F81" s="17" t="inlineStr">
        <is>
          <t>Divine</t>
        </is>
      </c>
      <c r="G81" s="16" t="n">
        <v>1</v>
      </c>
      <c r="H81" s="17" t="inlineStr">
        <is>
          <t>None</t>
        </is>
      </c>
      <c r="J81" s="16" t="n"/>
      <c r="K81" s="17" t="inlineStr">
        <is>
          <t>Yes</t>
        </is>
      </c>
      <c r="L81" s="16">
        <f>(D81*6)+(E81*4)</f>
        <v/>
      </c>
      <c r="M81" s="17" t="inlineStr">
        <is>
          <t>Yes</t>
        </is>
      </c>
      <c r="N81" s="16" t="n"/>
      <c r="O81" s="16" t="n"/>
      <c r="P81" s="17" t="inlineStr">
        <is>
          <t>Yes</t>
        </is>
      </c>
      <c r="Q81" s="16" t="n"/>
    </row>
    <row r="82" ht="20.05" customHeight="1" s="47">
      <c r="A82" s="8" t="inlineStr">
        <is>
          <t>Church Guard</t>
        </is>
      </c>
      <c r="B82" s="9" t="inlineStr">
        <is>
          <t>Unit</t>
        </is>
      </c>
      <c r="C82" s="16" t="n">
        <v>150</v>
      </c>
      <c r="D82" s="16" t="n">
        <v>0</v>
      </c>
      <c r="E82" s="16" t="n">
        <v>35</v>
      </c>
      <c r="F82" s="17" t="inlineStr">
        <is>
          <t>Divine</t>
        </is>
      </c>
      <c r="G82" s="16" t="n">
        <v>1</v>
      </c>
      <c r="H82" s="17" t="inlineStr">
        <is>
          <t>None</t>
        </is>
      </c>
      <c r="J82" s="16" t="n"/>
      <c r="K82" s="17" t="inlineStr">
        <is>
          <t>Yes</t>
        </is>
      </c>
      <c r="L82" s="16">
        <f>(D82*6)+(E82*4)</f>
        <v/>
      </c>
      <c r="M82" s="17" t="inlineStr">
        <is>
          <t>Yes</t>
        </is>
      </c>
      <c r="N82" s="16" t="n"/>
      <c r="O82" s="16" t="n"/>
      <c r="P82" s="16" t="n"/>
      <c r="Q82" s="17" t="inlineStr">
        <is>
          <t>Yes</t>
        </is>
      </c>
    </row>
    <row r="83" ht="32.05" customHeight="1" s="47">
      <c r="A83" s="8" t="inlineStr">
        <is>
          <t>Sniping Fairy</t>
        </is>
      </c>
      <c r="B83" s="9" t="inlineStr">
        <is>
          <t>Unit</t>
        </is>
      </c>
      <c r="C83" s="16" t="n">
        <v>350</v>
      </c>
      <c r="D83" s="16" t="n">
        <v>40</v>
      </c>
      <c r="E83" s="16" t="n">
        <v>20</v>
      </c>
      <c r="F83" s="17" t="inlineStr">
        <is>
          <t>Divine</t>
        </is>
      </c>
      <c r="G83" s="16" t="n">
        <v>2</v>
      </c>
      <c r="H83" s="17" t="inlineStr">
        <is>
          <t>After it becomes exposed, -20 ATK at that turn’s end.</t>
        </is>
      </c>
      <c r="J83" s="16" t="n"/>
      <c r="K83" s="17" t="inlineStr">
        <is>
          <t>Yes</t>
        </is>
      </c>
      <c r="L83" s="16">
        <f>(D83*6)+(E83*4)</f>
        <v/>
      </c>
      <c r="M83" s="17" t="inlineStr">
        <is>
          <t>Yes</t>
        </is>
      </c>
      <c r="N83" s="16" t="n"/>
      <c r="O83" s="17" t="inlineStr">
        <is>
          <t>Yes</t>
        </is>
      </c>
      <c r="P83" s="16" t="n"/>
      <c r="Q83" s="16" t="n"/>
    </row>
    <row r="84" ht="44.05" customHeight="1" s="47">
      <c r="A84" s="8" t="inlineStr">
        <is>
          <t>Bomber Fairy</t>
        </is>
      </c>
      <c r="B84" s="9" t="inlineStr">
        <is>
          <t>Unit</t>
        </is>
      </c>
      <c r="C84" s="16" t="n">
        <v>500</v>
      </c>
      <c r="D84" s="16" t="n">
        <v>30</v>
      </c>
      <c r="E84" s="16" t="n">
        <v>15</v>
      </c>
      <c r="F84" s="17" t="inlineStr">
        <is>
          <t>Divine</t>
        </is>
      </c>
      <c r="G84" s="16" t="n">
        <v>2</v>
      </c>
      <c r="H84" s="17" t="inlineStr">
        <is>
          <t>Once: after destroyed a unit, this card can attack 1 more time.</t>
        </is>
      </c>
      <c r="I84" t="inlineStr">
        <is>
          <t>wording polish</t>
        </is>
      </c>
      <c r="J84" s="16" t="n"/>
      <c r="K84" s="17" t="inlineStr">
        <is>
          <t>Yes</t>
        </is>
      </c>
      <c r="L84" s="16">
        <f>(D84*6)+(E84*4)</f>
        <v/>
      </c>
      <c r="M84" s="17" t="inlineStr">
        <is>
          <t>Yes</t>
        </is>
      </c>
      <c r="N84" s="16" t="n"/>
      <c r="O84" s="17" t="inlineStr">
        <is>
          <t>Yes</t>
        </is>
      </c>
      <c r="P84" s="16" t="n"/>
      <c r="Q84" s="16" t="n"/>
    </row>
    <row r="85" ht="20.05" customHeight="1" s="47">
      <c r="A85" s="8" t="inlineStr">
        <is>
          <t>Totem Granpa</t>
        </is>
      </c>
      <c r="B85" s="9" t="inlineStr">
        <is>
          <t>Unit</t>
        </is>
      </c>
      <c r="C85" s="16" t="n">
        <v>420</v>
      </c>
      <c r="D85" s="16" t="n">
        <v>20</v>
      </c>
      <c r="E85" s="16" t="n">
        <v>20</v>
      </c>
      <c r="F85" s="17" t="inlineStr">
        <is>
          <t>Divine</t>
        </is>
      </c>
      <c r="G85" s="16" t="n">
        <v>2</v>
      </c>
      <c r="H85" s="17" t="inlineStr">
        <is>
          <t>+30 DEF vs Nature</t>
        </is>
      </c>
      <c r="J85" s="16" t="n"/>
      <c r="K85" s="16" t="n"/>
      <c r="L85" s="16">
        <f>(D85*6)+(E85*4)</f>
        <v/>
      </c>
      <c r="M85" s="16" t="n"/>
      <c r="N85" s="16" t="n"/>
      <c r="O85" s="16" t="n"/>
      <c r="P85" s="16" t="n"/>
      <c r="Q85" s="16" t="n"/>
    </row>
    <row r="86" ht="44.05" customHeight="1" s="47">
      <c r="A86" s="8" t="inlineStr">
        <is>
          <t>Golden Senju</t>
        </is>
      </c>
      <c r="B86" s="9" t="inlineStr">
        <is>
          <t>Unit</t>
        </is>
      </c>
      <c r="C86" s="16" t="n">
        <v>200</v>
      </c>
      <c r="D86" s="16" t="n">
        <v>15</v>
      </c>
      <c r="E86" s="16" t="n">
        <v>0</v>
      </c>
      <c r="F86" s="17" t="inlineStr">
        <is>
          <t>Divine</t>
        </is>
      </c>
      <c r="G86" s="16" t="n">
        <v>2</v>
      </c>
      <c r="H86" s="17" t="inlineStr">
        <is>
          <t>Once: after attacked a non-unit cell, this card can attack 1 more time.</t>
        </is>
      </c>
      <c r="I86" t="inlineStr">
        <is>
          <t>wording polish</t>
        </is>
      </c>
      <c r="J86" s="16" t="n"/>
      <c r="K86" s="17" t="inlineStr">
        <is>
          <t>Yes</t>
        </is>
      </c>
      <c r="L86" s="16">
        <f>(D86*6)+(E86*4)</f>
        <v/>
      </c>
      <c r="M86" s="17" t="inlineStr">
        <is>
          <t>Yes</t>
        </is>
      </c>
      <c r="N86" s="16" t="n"/>
      <c r="O86" s="16" t="n"/>
      <c r="P86" s="17" t="inlineStr">
        <is>
          <t>Yes</t>
        </is>
      </c>
      <c r="Q86" s="16" t="n"/>
    </row>
    <row r="87" ht="32.05" customHeight="1" s="47">
      <c r="A87" s="8" t="inlineStr">
        <is>
          <t>Cruel Angel</t>
        </is>
      </c>
      <c r="B87" s="9" t="inlineStr">
        <is>
          <t>Unit</t>
        </is>
      </c>
      <c r="C87" s="16" t="n">
        <v>250</v>
      </c>
      <c r="D87" s="16" t="n">
        <v>20</v>
      </c>
      <c r="E87" s="16" t="n">
        <v>10</v>
      </c>
      <c r="F87" s="17" t="inlineStr">
        <is>
          <t>Divine</t>
        </is>
      </c>
      <c r="G87" s="16" t="n">
        <v>1</v>
      </c>
      <c r="H87" s="17" t="inlineStr">
        <is>
          <t>Once: destroy Anima card during battle calculation</t>
        </is>
      </c>
      <c r="I87" t="inlineStr">
        <is>
          <t>wording polish</t>
        </is>
      </c>
      <c r="J87" s="16" t="n"/>
      <c r="K87" s="16" t="n"/>
      <c r="L87" s="16">
        <f>(D87*6)+(E87*4)</f>
        <v/>
      </c>
      <c r="M87" s="16" t="n"/>
      <c r="N87" s="16" t="n"/>
      <c r="O87" s="16" t="n"/>
      <c r="P87" s="16" t="n"/>
      <c r="Q87" s="16" t="n"/>
    </row>
    <row r="88" ht="44.05" customHeight="1" s="47">
      <c r="A88" s="8" t="inlineStr">
        <is>
          <t>Sandy Sphinx</t>
        </is>
      </c>
      <c r="B88" s="9" t="inlineStr">
        <is>
          <t>Unit</t>
        </is>
      </c>
      <c r="C88" s="16" t="n">
        <v>450</v>
      </c>
      <c r="D88" s="16" t="n">
        <v>20</v>
      </c>
      <c r="E88" s="16" t="n">
        <v>20</v>
      </c>
      <c r="F88" s="17" t="inlineStr">
        <is>
          <t>Divine</t>
        </is>
      </c>
      <c r="G88" s="16" t="n">
        <v>1</v>
      </c>
      <c r="H88" s="17" t="inlineStr">
        <is>
          <t>In Reckoning if it defends, flip a coin. Heads: the attack does nothing.</t>
        </is>
      </c>
      <c r="I88" t="inlineStr">
        <is>
          <t>Head→Heads</t>
        </is>
      </c>
      <c r="J88" s="16" t="n"/>
      <c r="K88" s="16" t="n"/>
      <c r="L88" s="16">
        <f>(D88*6)+(E88*4)</f>
        <v/>
      </c>
      <c r="M88" s="16" t="n"/>
      <c r="N88" s="16" t="n"/>
      <c r="O88" s="16" t="n"/>
      <c r="P88" s="16" t="n"/>
      <c r="Q88" s="16" t="n"/>
    </row>
    <row r="89" ht="44.05" customHeight="1" s="47">
      <c r="A89" s="8" t="inlineStr">
        <is>
          <t>Gemmed Sphinx</t>
        </is>
      </c>
      <c r="B89" s="9" t="inlineStr">
        <is>
          <t>Unit</t>
        </is>
      </c>
      <c r="C89" s="16" t="n">
        <v>700</v>
      </c>
      <c r="D89" s="16" t="n">
        <v>40</v>
      </c>
      <c r="E89" s="16" t="n">
        <v>40</v>
      </c>
      <c r="F89" s="17" t="inlineStr">
        <is>
          <t>Divine</t>
        </is>
      </c>
      <c r="G89" s="16" t="n">
        <v>2</v>
      </c>
      <c r="H89" s="17" t="inlineStr">
        <is>
          <t>In Reckoning if it defends, flip a coin. Heads: the attack does nothing.</t>
        </is>
      </c>
      <c r="I89" t="inlineStr">
        <is>
          <t>Head→Heads</t>
        </is>
      </c>
      <c r="J89" s="16" t="n"/>
      <c r="K89" s="16" t="n"/>
      <c r="L89" s="16">
        <f>(D89*6)+(E89*4)</f>
        <v/>
      </c>
      <c r="M89" s="16" t="n"/>
      <c r="N89" s="16" t="n"/>
      <c r="O89" s="16" t="n"/>
      <c r="P89" s="16" t="n"/>
      <c r="Q89" s="16" t="n"/>
    </row>
    <row r="90" ht="32.05" customHeight="1" s="47">
      <c r="A90" s="8" t="inlineStr">
        <is>
          <t>Black Anubis</t>
        </is>
      </c>
      <c r="B90" s="9" t="inlineStr">
        <is>
          <t>Unit</t>
        </is>
      </c>
      <c r="C90" s="16" t="n">
        <v>1100</v>
      </c>
      <c r="D90" s="16" t="n">
        <v>75</v>
      </c>
      <c r="E90" s="16" t="n">
        <v>90</v>
      </c>
      <c r="F90" s="17" t="inlineStr">
        <is>
          <t>Divine</t>
        </is>
      </c>
      <c r="G90" s="16" t="n">
        <v>4</v>
      </c>
      <c r="H90" s="17" t="inlineStr">
        <is>
          <t>+5 ATK at their turn end. This bonus does not exceed 25</t>
        </is>
      </c>
      <c r="J90" s="16" t="n"/>
      <c r="K90" s="16" t="n"/>
      <c r="L90" s="16">
        <f>(D90*6)+(E90*4)</f>
        <v/>
      </c>
      <c r="M90" s="16" t="n"/>
      <c r="N90" s="16" t="n"/>
      <c r="O90" s="16" t="n"/>
      <c r="P90" s="16" t="n"/>
      <c r="Q90" s="16" t="n"/>
    </row>
    <row r="91" ht="32.05" customHeight="1" s="47">
      <c r="A91" s="8" t="inlineStr">
        <is>
          <t>Sunrise Lady</t>
        </is>
      </c>
      <c r="B91" s="9" t="inlineStr">
        <is>
          <t>Unit</t>
        </is>
      </c>
      <c r="C91" s="16" t="n">
        <v>300</v>
      </c>
      <c r="D91" s="16" t="n">
        <v>20</v>
      </c>
      <c r="E91" s="16" t="n">
        <v>25</v>
      </c>
      <c r="F91" s="17" t="inlineStr">
        <is>
          <t>Divine</t>
        </is>
      </c>
      <c r="G91" s="16" t="n">
        <v>1</v>
      </c>
      <c r="H91" s="17" t="inlineStr">
        <is>
          <t>If it attacks: +10 ATK,-10 DEF permanently</t>
        </is>
      </c>
      <c r="J91" s="16" t="n"/>
      <c r="K91" s="17" t="inlineStr">
        <is>
          <t>Yes</t>
        </is>
      </c>
      <c r="L91" s="16">
        <f>(D91*6)+(E91*4)</f>
        <v/>
      </c>
      <c r="M91" s="17" t="inlineStr">
        <is>
          <t>Yes</t>
        </is>
      </c>
      <c r="N91" s="16" t="n"/>
      <c r="O91" s="16" t="n"/>
      <c r="P91" s="16" t="n"/>
      <c r="Q91" s="17" t="inlineStr">
        <is>
          <t>Yes</t>
        </is>
      </c>
    </row>
    <row r="92" ht="20.05" customHeight="1" s="47">
      <c r="A92" s="8" t="inlineStr">
        <is>
          <t>Lucky Statue</t>
        </is>
      </c>
      <c r="B92" s="9" t="inlineStr">
        <is>
          <t>Unit</t>
        </is>
      </c>
      <c r="C92" s="16" t="n">
        <v>400</v>
      </c>
      <c r="D92" s="16" t="n">
        <v>40</v>
      </c>
      <c r="E92" s="16" t="n">
        <v>30</v>
      </c>
      <c r="F92" s="17" t="inlineStr">
        <is>
          <t>Divine</t>
        </is>
      </c>
      <c r="G92" s="16" t="n">
        <v>2</v>
      </c>
      <c r="H92" s="17" t="inlineStr">
        <is>
          <t>+20 DEF vs Chaos</t>
        </is>
      </c>
      <c r="J92" s="16" t="n"/>
      <c r="K92" s="16" t="n"/>
      <c r="L92" s="16">
        <f>(D92*6)+(E92*4)</f>
        <v/>
      </c>
      <c r="M92" s="16" t="n"/>
      <c r="N92" s="16" t="n"/>
      <c r="O92" s="16" t="n"/>
      <c r="P92" s="16" t="n"/>
      <c r="Q92" s="16" t="n"/>
    </row>
    <row r="93" ht="20.05" customHeight="1" s="47">
      <c r="A93" s="8" t="inlineStr">
        <is>
          <t>Flame Seraph</t>
        </is>
      </c>
      <c r="B93" s="9" t="inlineStr">
        <is>
          <t>Unit</t>
        </is>
      </c>
      <c r="C93" s="16" t="n">
        <v>500</v>
      </c>
      <c r="D93" s="16" t="n">
        <v>50</v>
      </c>
      <c r="E93" s="16" t="n">
        <v>10</v>
      </c>
      <c r="F93" s="17" t="inlineStr">
        <is>
          <t>Divine</t>
        </is>
      </c>
      <c r="G93" s="16" t="n">
        <v>2</v>
      </c>
      <c r="H93" s="17" t="inlineStr">
        <is>
          <t>None</t>
        </is>
      </c>
      <c r="J93" s="16" t="n"/>
      <c r="K93" s="17" t="inlineStr">
        <is>
          <t>Yes</t>
        </is>
      </c>
      <c r="L93" s="16">
        <f>(D93*6)+(E93*4)</f>
        <v/>
      </c>
      <c r="M93" s="17" t="inlineStr">
        <is>
          <t>Yes</t>
        </is>
      </c>
      <c r="N93" s="16" t="n"/>
      <c r="O93" s="16" t="n"/>
      <c r="P93" s="17" t="inlineStr">
        <is>
          <t>Yes</t>
        </is>
      </c>
      <c r="Q93" s="16" t="n"/>
    </row>
    <row r="94" ht="32.05" customHeight="1" s="47">
      <c r="A94" s="8" t="inlineStr">
        <is>
          <t>Halo Guardian</t>
        </is>
      </c>
      <c r="B94" s="9" t="inlineStr">
        <is>
          <t>Unit</t>
        </is>
      </c>
      <c r="C94" s="16" t="n">
        <v>450</v>
      </c>
      <c r="D94" s="16" t="n">
        <v>35</v>
      </c>
      <c r="E94" s="16" t="n">
        <v>35</v>
      </c>
      <c r="F94" s="17" t="inlineStr">
        <is>
          <t>Divine</t>
        </is>
      </c>
      <c r="G94" s="16" t="n">
        <v>2</v>
      </c>
      <c r="H94" s="17" t="inlineStr">
        <is>
          <t>+5 ATK and DEF for each exposed Chaos unit on foe’s field</t>
        </is>
      </c>
      <c r="I94" t="inlineStr">
        <is>
          <t>ATK&amp;DEF→ATK and DEF</t>
        </is>
      </c>
      <c r="J94" s="16" t="n"/>
      <c r="K94" s="16" t="n"/>
      <c r="L94" s="16">
        <f>(D94*6)+(E94*4)</f>
        <v/>
      </c>
      <c r="M94" s="16" t="n"/>
      <c r="N94" s="16" t="n"/>
      <c r="O94" s="16" t="n"/>
      <c r="P94" s="16" t="n"/>
      <c r="Q94" s="16" t="n"/>
    </row>
    <row r="95" ht="32.05" customHeight="1" s="47">
      <c r="A95" s="8" t="inlineStr">
        <is>
          <t>Benjamin the Holy Craftsman</t>
        </is>
      </c>
      <c r="B95" s="9" t="inlineStr">
        <is>
          <t>Unit</t>
        </is>
      </c>
      <c r="C95" s="16" t="n">
        <v>300</v>
      </c>
      <c r="D95" s="16" t="n">
        <v>25</v>
      </c>
      <c r="E95" s="16" t="n">
        <v>30</v>
      </c>
      <c r="F95" s="17" t="inlineStr">
        <is>
          <t>Divine</t>
        </is>
      </c>
      <c r="G95" s="16" t="n">
        <v>2</v>
      </c>
      <c r="H95" s="17" t="inlineStr">
        <is>
          <t>+10 ATK and DEF to other Divine card on its side</t>
        </is>
      </c>
      <c r="I95" t="inlineStr">
        <is>
          <t>ATK&amp;DEF→ATK and DEF</t>
        </is>
      </c>
      <c r="J95" s="16" t="n"/>
      <c r="K95" s="16" t="n"/>
      <c r="L95" s="16">
        <f>(D95*6)+(E95*4)</f>
        <v/>
      </c>
      <c r="M95" s="16" t="n"/>
      <c r="N95" s="16" t="n"/>
      <c r="O95" s="16" t="n"/>
      <c r="P95" s="16" t="n"/>
      <c r="Q95" s="16" t="n"/>
    </row>
    <row r="96" ht="20.05" customHeight="1" s="47">
      <c r="A96" s="8" t="inlineStr">
        <is>
          <t>Raijin</t>
        </is>
      </c>
      <c r="B96" s="9" t="inlineStr">
        <is>
          <t>Unit</t>
        </is>
      </c>
      <c r="C96" s="16" t="n">
        <v>550</v>
      </c>
      <c r="D96" s="16" t="n">
        <v>60</v>
      </c>
      <c r="E96" s="16" t="n">
        <v>0</v>
      </c>
      <c r="F96" s="17" t="inlineStr">
        <is>
          <t>Divine</t>
        </is>
      </c>
      <c r="G96" s="16" t="n">
        <v>3</v>
      </c>
      <c r="H96" s="17" t="inlineStr">
        <is>
          <t>None</t>
        </is>
      </c>
      <c r="J96" s="16" t="n"/>
      <c r="K96" s="17" t="inlineStr">
        <is>
          <t>Yes</t>
        </is>
      </c>
      <c r="L96" s="16">
        <f>(D96*6)+(E96*4)</f>
        <v/>
      </c>
      <c r="M96" s="17" t="inlineStr">
        <is>
          <t>Yes</t>
        </is>
      </c>
      <c r="N96" s="16" t="n"/>
      <c r="O96" s="17" t="inlineStr">
        <is>
          <t>Yes</t>
        </is>
      </c>
      <c r="P96" s="16" t="n"/>
      <c r="Q96" s="16" t="n"/>
    </row>
    <row r="97" ht="32.05" customHeight="1" s="47">
      <c r="A97" s="8" t="inlineStr">
        <is>
          <t>Moonrise Gentleman</t>
        </is>
      </c>
      <c r="B97" s="9" t="inlineStr">
        <is>
          <t>Unit</t>
        </is>
      </c>
      <c r="C97" s="16" t="n">
        <v>400</v>
      </c>
      <c r="D97" s="16" t="n">
        <v>40</v>
      </c>
      <c r="E97" s="16" t="n">
        <v>30</v>
      </c>
      <c r="F97" s="17" t="inlineStr">
        <is>
          <t>Divine</t>
        </is>
      </c>
      <c r="G97" s="16" t="n">
        <v>2</v>
      </c>
      <c r="H97" s="17" t="inlineStr">
        <is>
          <t>If it defends: +10 DEF,-10 ATK</t>
        </is>
      </c>
      <c r="J97" s="16" t="n"/>
      <c r="K97" s="17" t="inlineStr">
        <is>
          <t>Yes</t>
        </is>
      </c>
      <c r="L97" s="16">
        <f>(D97*6)+(E97*4)</f>
        <v/>
      </c>
      <c r="M97" s="17" t="inlineStr">
        <is>
          <t>Yes</t>
        </is>
      </c>
      <c r="N97" s="16" t="n"/>
      <c r="O97" s="16" t="n"/>
      <c r="P97" s="16" t="n"/>
      <c r="Q97" s="17" t="inlineStr">
        <is>
          <t>Yes</t>
        </is>
      </c>
    </row>
    <row r="98" ht="20.05" customHeight="1" s="47">
      <c r="A98" s="8" t="inlineStr">
        <is>
          <t>Fujin</t>
        </is>
      </c>
      <c r="B98" s="9" t="inlineStr">
        <is>
          <t>Unit</t>
        </is>
      </c>
      <c r="C98" s="16" t="n">
        <v>450</v>
      </c>
      <c r="D98" s="16" t="n">
        <v>35</v>
      </c>
      <c r="E98" s="16" t="n">
        <v>40</v>
      </c>
      <c r="F98" s="17" t="inlineStr">
        <is>
          <t>Divine</t>
        </is>
      </c>
      <c r="G98" s="16" t="n">
        <v>2</v>
      </c>
      <c r="H98" s="17" t="inlineStr">
        <is>
          <t>None</t>
        </is>
      </c>
      <c r="J98" s="16" t="n"/>
      <c r="K98" s="17" t="inlineStr">
        <is>
          <t>Yes</t>
        </is>
      </c>
      <c r="L98" s="16">
        <f>(D98*6)+(E98*4)</f>
        <v/>
      </c>
      <c r="M98" s="17" t="inlineStr">
        <is>
          <t>Yes</t>
        </is>
      </c>
      <c r="N98" s="16" t="n"/>
      <c r="O98" s="17" t="inlineStr">
        <is>
          <t>Yes</t>
        </is>
      </c>
      <c r="P98" s="16" t="n"/>
      <c r="Q98" s="16" t="n"/>
    </row>
    <row r="99" ht="44.05" customHeight="1" s="47">
      <c r="A99" s="8" t="inlineStr">
        <is>
          <t>Hachiman the Battlemaster</t>
        </is>
      </c>
      <c r="B99" s="9" t="inlineStr">
        <is>
          <t>Unit</t>
        </is>
      </c>
      <c r="C99" s="16" t="n">
        <v>500</v>
      </c>
      <c r="D99" s="16" t="n">
        <v>65</v>
      </c>
      <c r="E99" s="16" t="n">
        <v>30</v>
      </c>
      <c r="F99" s="17" t="inlineStr">
        <is>
          <t>Divine</t>
        </is>
      </c>
      <c r="G99" s="16" t="n">
        <v>3</v>
      </c>
      <c r="H99" s="17" t="inlineStr">
        <is>
          <t>-10 ATK permanently at the end of that turn if this card has not performed attack.</t>
        </is>
      </c>
      <c r="J99" s="16" t="n"/>
      <c r="K99" s="16" t="n"/>
      <c r="L99" s="16">
        <f>(D99*6)+(E99*4)</f>
        <v/>
      </c>
      <c r="M99" s="16" t="n"/>
      <c r="N99" s="16" t="n"/>
      <c r="O99" s="16" t="n"/>
      <c r="P99" s="16" t="n"/>
      <c r="Q99" s="16" t="n"/>
    </row>
    <row r="100" ht="32.05" customHeight="1" s="47">
      <c r="A100" s="8" t="inlineStr">
        <is>
          <t>Angel Mauler</t>
        </is>
      </c>
      <c r="B100" s="9" t="inlineStr">
        <is>
          <t>Unit</t>
        </is>
      </c>
      <c r="C100" s="16" t="n">
        <v>700</v>
      </c>
      <c r="D100" s="16" t="n">
        <v>45</v>
      </c>
      <c r="E100" s="16" t="n">
        <v>40</v>
      </c>
      <c r="F100" s="17" t="inlineStr">
        <is>
          <t>Divine</t>
        </is>
      </c>
      <c r="G100" s="16" t="n">
        <v>2</v>
      </c>
      <c r="H100" s="17" t="inlineStr">
        <is>
          <t>This card is not destroyed by Chaos cards</t>
        </is>
      </c>
      <c r="J100" s="16" t="n"/>
      <c r="K100" s="16" t="n"/>
      <c r="L100" s="16">
        <f>(D100*6)+(E100*4)</f>
        <v/>
      </c>
      <c r="M100" s="16" t="n"/>
      <c r="N100" s="16" t="n"/>
      <c r="O100" s="16" t="n"/>
      <c r="P100" s="16" t="n"/>
      <c r="Q100" s="16" t="n"/>
    </row>
    <row r="101" ht="44.05" customHeight="1" s="47">
      <c r="A101" s="8" t="inlineStr">
        <is>
          <t>Bloom Fairy</t>
        </is>
      </c>
      <c r="B101" s="9" t="inlineStr">
        <is>
          <t>Unit</t>
        </is>
      </c>
      <c r="C101" s="16" t="n">
        <v>500</v>
      </c>
      <c r="D101" s="16" t="n">
        <v>35</v>
      </c>
      <c r="E101" s="16" t="n">
        <v>40</v>
      </c>
      <c r="F101" s="17" t="inlineStr">
        <is>
          <t>Divine</t>
        </is>
      </c>
      <c r="G101" s="16" t="n">
        <v>2</v>
      </c>
      <c r="H101" s="17" t="inlineStr">
        <is>
          <t>At the end of this turn, +5 ATK permanently. This bonus does not exceed maximum of 25</t>
        </is>
      </c>
      <c r="J101" s="16" t="n"/>
      <c r="K101" s="16" t="n"/>
      <c r="L101" s="16">
        <f>(D101*6)+(E101*4)</f>
        <v/>
      </c>
      <c r="M101" s="16" t="n"/>
      <c r="N101" s="16" t="n"/>
      <c r="O101" s="16" t="n"/>
      <c r="P101" s="16" t="n"/>
      <c r="Q101" s="16" t="n"/>
    </row>
    <row r="102" ht="32.05" customHeight="1" s="47">
      <c r="A102" s="8" t="inlineStr">
        <is>
          <t>Maybell the Doverider</t>
        </is>
      </c>
      <c r="B102" s="9" t="inlineStr">
        <is>
          <t>Unit</t>
        </is>
      </c>
      <c r="C102" s="16" t="n">
        <v>500</v>
      </c>
      <c r="D102" s="16" t="n">
        <v>40</v>
      </c>
      <c r="E102" s="16" t="n">
        <v>40</v>
      </c>
      <c r="F102" s="17" t="inlineStr">
        <is>
          <t>Divine</t>
        </is>
      </c>
      <c r="G102" s="16" t="n">
        <v>2</v>
      </c>
      <c r="H102" s="17" t="inlineStr">
        <is>
          <t>Once: this card is not destroyed with unsuccessful attack</t>
        </is>
      </c>
      <c r="I102" t="inlineStr">
        <is>
          <t>wording polish</t>
        </is>
      </c>
      <c r="J102" s="16" t="n"/>
      <c r="K102" s="16" t="n"/>
      <c r="L102" s="16">
        <f>(D102*6)+(E102*4)</f>
        <v/>
      </c>
      <c r="M102" s="16" t="n"/>
      <c r="N102" s="16" t="n"/>
      <c r="O102" s="16" t="n"/>
      <c r="P102" s="16" t="n"/>
      <c r="Q102" s="16" t="n"/>
    </row>
    <row r="103" ht="32.05" customHeight="1" s="47">
      <c r="A103" s="8" t="inlineStr">
        <is>
          <t>Steel Angel</t>
        </is>
      </c>
      <c r="B103" s="9" t="inlineStr">
        <is>
          <t>Unit</t>
        </is>
      </c>
      <c r="C103" s="16" t="n">
        <v>500</v>
      </c>
      <c r="D103" s="16" t="n">
        <v>45</v>
      </c>
      <c r="E103" s="16" t="n">
        <v>75</v>
      </c>
      <c r="F103" s="17" t="inlineStr">
        <is>
          <t>Divine</t>
        </is>
      </c>
      <c r="G103" s="16" t="n">
        <v>3</v>
      </c>
      <c r="H103" s="17" t="inlineStr">
        <is>
          <t>Swap this card’s ATK and DEF if performs attack on Chaos</t>
        </is>
      </c>
      <c r="I103" t="inlineStr">
        <is>
          <t>ATK&amp;DEF→ATK and DEF</t>
        </is>
      </c>
      <c r="J103" s="16" t="n"/>
      <c r="K103" s="16" t="n"/>
      <c r="L103" s="16">
        <f>(D103*6)+(E103*4)</f>
        <v/>
      </c>
      <c r="M103" s="16" t="n"/>
      <c r="N103" s="16" t="n"/>
      <c r="O103" s="16" t="n"/>
      <c r="P103" s="16" t="n"/>
      <c r="Q103" s="16" t="n"/>
    </row>
    <row r="104" ht="32.05" customHeight="1" s="47">
      <c r="A104" s="8" t="inlineStr">
        <is>
          <t>Lady of the Sacred Pond</t>
        </is>
      </c>
      <c r="B104" s="9" t="inlineStr">
        <is>
          <t>Unit</t>
        </is>
      </c>
      <c r="C104" s="16" t="n">
        <v>450</v>
      </c>
      <c r="D104" s="16" t="n">
        <v>25</v>
      </c>
      <c r="E104" s="16" t="n">
        <v>35</v>
      </c>
      <c r="F104" s="17" t="inlineStr">
        <is>
          <t>Divine</t>
        </is>
      </c>
      <c r="G104" s="16" t="n">
        <v>3</v>
      </c>
      <c r="H104" s="17" t="inlineStr">
        <is>
          <t>+20 ATK and DEF to Anima unit</t>
        </is>
      </c>
      <c r="I104" t="inlineStr">
        <is>
          <t>ATK&amp;DEF→ATK and DEF</t>
        </is>
      </c>
      <c r="J104" s="16" t="n"/>
      <c r="K104" s="16" t="n"/>
      <c r="L104" s="16">
        <f>(D104*6)+(E104*4)</f>
        <v/>
      </c>
      <c r="M104" s="16" t="n"/>
      <c r="N104" s="16" t="n"/>
      <c r="O104" s="16" t="n"/>
      <c r="P104" s="16" t="n"/>
      <c r="Q104" s="16" t="n"/>
    </row>
    <row r="105" ht="20.05" customHeight="1" s="47">
      <c r="A105" s="8" t="inlineStr">
        <is>
          <t>Unwavering Cleric</t>
        </is>
      </c>
      <c r="B105" s="9" t="inlineStr">
        <is>
          <t>Unit</t>
        </is>
      </c>
      <c r="C105" s="16" t="n">
        <v>550</v>
      </c>
      <c r="D105" s="16" t="n">
        <v>45</v>
      </c>
      <c r="E105" s="16" t="n">
        <v>65</v>
      </c>
      <c r="F105" s="17" t="inlineStr">
        <is>
          <t>Divine</t>
        </is>
      </c>
      <c r="G105" s="16" t="n">
        <v>3</v>
      </c>
      <c r="H105" s="17" t="inlineStr">
        <is>
          <t>None</t>
        </is>
      </c>
      <c r="J105" s="16" t="n"/>
      <c r="K105" s="16" t="n"/>
      <c r="L105" s="16">
        <f>(D105*6)+(E105*4)</f>
        <v/>
      </c>
      <c r="M105" s="16" t="n"/>
      <c r="N105" s="16" t="n"/>
      <c r="O105" s="16" t="n"/>
      <c r="P105" s="16" t="n"/>
      <c r="Q105" s="16" t="n"/>
    </row>
    <row r="106" ht="44.05" customHeight="1" s="47">
      <c r="A106" s="8" t="inlineStr">
        <is>
          <t>Jill the Merciful Priestess</t>
        </is>
      </c>
      <c r="B106" s="9" t="inlineStr">
        <is>
          <t>Unit</t>
        </is>
      </c>
      <c r="C106" s="16" t="n">
        <v>800</v>
      </c>
      <c r="D106" s="16" t="n">
        <v>0</v>
      </c>
      <c r="E106" s="16" t="n">
        <v>0</v>
      </c>
      <c r="F106" s="17" t="inlineStr">
        <is>
          <t>Divine</t>
        </is>
      </c>
      <c r="G106" s="16" t="n">
        <v>3</v>
      </c>
      <c r="H106" s="17" t="inlineStr">
        <is>
          <t>+20 ATK and DEF for each exposed Divine cards on its side</t>
        </is>
      </c>
      <c r="I106" t="inlineStr">
        <is>
          <t>ATK&amp;DEF→ATK and DEF</t>
        </is>
      </c>
      <c r="J106" s="16" t="n"/>
      <c r="K106" s="16" t="n"/>
      <c r="L106" s="16">
        <f>(D106*6)+(E106*4)</f>
        <v/>
      </c>
      <c r="M106" s="16" t="n"/>
      <c r="N106" s="16" t="n"/>
      <c r="O106" s="16" t="n"/>
      <c r="P106" s="16" t="n"/>
      <c r="Q106" s="16" t="n"/>
    </row>
    <row r="107" ht="44.05" customHeight="1" s="47">
      <c r="A107" s="8" t="inlineStr">
        <is>
          <t>Mephisto the Fallen</t>
        </is>
      </c>
      <c r="B107" s="9" t="inlineStr">
        <is>
          <t>Unit</t>
        </is>
      </c>
      <c r="C107" s="16" t="n">
        <v>860</v>
      </c>
      <c r="D107" s="16" t="n">
        <v>75</v>
      </c>
      <c r="E107" s="16" t="n">
        <v>0</v>
      </c>
      <c r="F107" s="17" t="inlineStr">
        <is>
          <t>Divine</t>
        </is>
      </c>
      <c r="G107" s="16" t="n">
        <v>3</v>
      </c>
      <c r="H107" s="17" t="inlineStr">
        <is>
          <t>After this card attacked unit successfully, its ATK becomes 0 permanently</t>
        </is>
      </c>
      <c r="J107" s="16" t="n"/>
      <c r="K107" s="17" t="inlineStr">
        <is>
          <t>Yes</t>
        </is>
      </c>
      <c r="L107" s="16">
        <f>(D107*6)+(E107*4)</f>
        <v/>
      </c>
      <c r="M107" s="17" t="inlineStr">
        <is>
          <t>Yes</t>
        </is>
      </c>
      <c r="N107" s="16" t="n"/>
      <c r="O107" s="16" t="n"/>
      <c r="P107" s="17" t="inlineStr">
        <is>
          <t>Yes</t>
        </is>
      </c>
      <c r="Q107" s="16" t="n"/>
    </row>
    <row r="108" ht="32.05" customHeight="1" s="47">
      <c r="A108" s="8" t="inlineStr">
        <is>
          <t>Joseph the Battle Priest</t>
        </is>
      </c>
      <c r="B108" s="9" t="inlineStr">
        <is>
          <t>Unit</t>
        </is>
      </c>
      <c r="C108" s="16" t="n">
        <v>600</v>
      </c>
      <c r="D108" s="16" t="n">
        <v>60</v>
      </c>
      <c r="E108" s="16" t="n">
        <v>25</v>
      </c>
      <c r="F108" s="17" t="inlineStr">
        <is>
          <t>Divine</t>
        </is>
      </c>
      <c r="G108" s="16" t="n">
        <v>3</v>
      </c>
      <c r="H108" s="17" t="inlineStr">
        <is>
          <t>In Reckoning: flip a coin. Heads: +10 ATK</t>
        </is>
      </c>
      <c r="I108" t="inlineStr">
        <is>
          <t>Head→Heads</t>
        </is>
      </c>
      <c r="J108" s="16" t="n"/>
      <c r="K108" s="17" t="inlineStr">
        <is>
          <t>Yes</t>
        </is>
      </c>
      <c r="L108" s="16">
        <f>(D108*6)+(E108*4)</f>
        <v/>
      </c>
      <c r="M108" s="17" t="inlineStr">
        <is>
          <t>Yes</t>
        </is>
      </c>
      <c r="N108" s="16" t="n"/>
      <c r="O108" s="16" t="n"/>
      <c r="P108" s="17" t="inlineStr">
        <is>
          <t>Yes</t>
        </is>
      </c>
      <c r="Q108" s="16" t="n"/>
    </row>
    <row r="109" ht="32.05" customHeight="1" s="47">
      <c r="A109" s="8" t="inlineStr">
        <is>
          <t>Sonic Seraph</t>
        </is>
      </c>
      <c r="B109" s="9" t="inlineStr">
        <is>
          <t>Unit</t>
        </is>
      </c>
      <c r="C109" s="16" t="n">
        <v>550</v>
      </c>
      <c r="D109" s="16" t="n">
        <v>45</v>
      </c>
      <c r="E109" s="16" t="n">
        <v>50</v>
      </c>
      <c r="F109" s="17" t="inlineStr">
        <is>
          <t>Divine</t>
        </is>
      </c>
      <c r="G109" s="16" t="n">
        <v>3</v>
      </c>
      <c r="H109" s="17" t="inlineStr">
        <is>
          <t>Once per turn, if it attacked Dead End, it can attack again</t>
        </is>
      </c>
      <c r="J109" s="16" t="n"/>
      <c r="K109" s="17" t="inlineStr">
        <is>
          <t>Yes</t>
        </is>
      </c>
      <c r="L109" s="16">
        <f>(D109*6)+(E109*4)</f>
        <v/>
      </c>
      <c r="M109" s="17" t="inlineStr">
        <is>
          <t>Yes</t>
        </is>
      </c>
      <c r="N109" s="16" t="n"/>
      <c r="O109" s="16" t="n"/>
      <c r="P109" s="17" t="inlineStr">
        <is>
          <t>Yes</t>
        </is>
      </c>
      <c r="Q109" s="16" t="n"/>
    </row>
    <row r="110" ht="32.05" customHeight="1" s="47">
      <c r="A110" s="8" t="inlineStr">
        <is>
          <t>Nova Angel</t>
        </is>
      </c>
      <c r="B110" s="9" t="inlineStr">
        <is>
          <t>Unit</t>
        </is>
      </c>
      <c r="C110" s="16" t="n">
        <v>650</v>
      </c>
      <c r="D110" s="16" t="n">
        <v>50</v>
      </c>
      <c r="E110" s="16" t="n">
        <v>25</v>
      </c>
      <c r="F110" s="17" t="inlineStr">
        <is>
          <t>Divine</t>
        </is>
      </c>
      <c r="G110" s="16" t="n">
        <v>3</v>
      </c>
      <c r="H110" s="17" t="inlineStr">
        <is>
          <t>+25 ATK and DEF vs Arcane and Cosmic</t>
        </is>
      </c>
      <c r="I110" t="inlineStr">
        <is>
          <t>ATK&amp;DEF→ATK and DEF</t>
        </is>
      </c>
      <c r="J110" s="16" t="n"/>
      <c r="K110" s="16" t="n"/>
      <c r="L110" s="16">
        <f>(D110*6)+(E110*4)</f>
        <v/>
      </c>
      <c r="M110" s="16" t="n"/>
      <c r="N110" s="16" t="n"/>
      <c r="O110" s="16" t="n"/>
      <c r="P110" s="16" t="n"/>
      <c r="Q110" s="16" t="n"/>
    </row>
    <row r="111" ht="32.05" customHeight="1" s="47">
      <c r="A111" s="8" t="inlineStr">
        <is>
          <t>Gerald of the Heavenly Light</t>
        </is>
      </c>
      <c r="B111" s="9" t="inlineStr">
        <is>
          <t>Unit</t>
        </is>
      </c>
      <c r="C111" s="16" t="n">
        <v>750</v>
      </c>
      <c r="D111" s="16" t="n">
        <v>80</v>
      </c>
      <c r="E111" s="16" t="n">
        <v>50</v>
      </c>
      <c r="F111" s="17" t="inlineStr">
        <is>
          <t>Divine</t>
        </is>
      </c>
      <c r="G111" s="16" t="n">
        <v>4</v>
      </c>
      <c r="H111" s="17" t="inlineStr">
        <is>
          <t>None</t>
        </is>
      </c>
      <c r="J111" s="16" t="n"/>
      <c r="K111" s="16" t="n"/>
      <c r="L111" s="16">
        <f>(D111*6)+(E111*4)</f>
        <v/>
      </c>
      <c r="M111" s="16" t="n"/>
      <c r="N111" s="16" t="n"/>
      <c r="O111" s="16" t="n"/>
      <c r="P111" s="16" t="n"/>
      <c r="Q111" s="16" t="n"/>
    </row>
    <row r="112" ht="32.05" customHeight="1" s="47">
      <c r="A112" s="8" t="inlineStr">
        <is>
          <t>Mad Exorcist</t>
        </is>
      </c>
      <c r="B112" s="9" t="inlineStr">
        <is>
          <t>Unit</t>
        </is>
      </c>
      <c r="C112" s="16" t="n">
        <v>700</v>
      </c>
      <c r="D112" s="16" t="n">
        <v>55</v>
      </c>
      <c r="E112" s="16" t="n">
        <v>30</v>
      </c>
      <c r="F112" s="17" t="inlineStr">
        <is>
          <t>Divine</t>
        </is>
      </c>
      <c r="G112" s="16" t="n">
        <v>3</v>
      </c>
      <c r="H112" s="17" t="inlineStr">
        <is>
          <t>Destroy Chaos card after battle calculation</t>
        </is>
      </c>
      <c r="J112" s="16" t="n"/>
      <c r="K112" s="16" t="n"/>
      <c r="L112" s="16">
        <f>(D112*6)+(E112*4)</f>
        <v/>
      </c>
      <c r="M112" s="16" t="n"/>
      <c r="N112" s="16" t="n"/>
      <c r="O112" s="16" t="n"/>
      <c r="P112" s="16" t="n"/>
      <c r="Q112" s="16" t="n"/>
    </row>
    <row r="113" ht="44.05" customHeight="1" s="47">
      <c r="A113" s="8" t="inlineStr">
        <is>
          <t>Oak Guardian</t>
        </is>
      </c>
      <c r="B113" s="9" t="inlineStr">
        <is>
          <t>Unit</t>
        </is>
      </c>
      <c r="C113" s="16" t="n">
        <v>450</v>
      </c>
      <c r="D113" s="16" t="n">
        <v>30</v>
      </c>
      <c r="E113" s="16" t="n">
        <v>50</v>
      </c>
      <c r="F113" s="17" t="inlineStr">
        <is>
          <t>Divine</t>
        </is>
      </c>
      <c r="G113" s="16" t="n">
        <v>3</v>
      </c>
      <c r="H113" s="17" t="inlineStr">
        <is>
          <t>Once: if a exposed Nature card will be destroyed, it cannot be destroyed. Usable face-down.</t>
        </is>
      </c>
      <c r="I113" t="inlineStr">
        <is>
          <t>wording polish</t>
        </is>
      </c>
      <c r="J113" s="16" t="n"/>
      <c r="K113" s="16" t="n"/>
      <c r="L113" s="16">
        <f>(D113*6)+(E113*4)</f>
        <v/>
      </c>
      <c r="M113" s="16" t="n"/>
      <c r="N113" s="16" t="n"/>
      <c r="O113" s="16" t="n"/>
      <c r="P113" s="16" t="n"/>
      <c r="Q113" s="16" t="n"/>
    </row>
    <row r="114" ht="20.05" customHeight="1" s="47">
      <c r="A114" s="8" t="inlineStr">
        <is>
          <t>Samurai Angel</t>
        </is>
      </c>
      <c r="B114" s="9" t="inlineStr">
        <is>
          <t>Unit</t>
        </is>
      </c>
      <c r="C114" s="16" t="n">
        <v>900</v>
      </c>
      <c r="D114" s="16" t="n">
        <v>90</v>
      </c>
      <c r="E114" s="16" t="n">
        <v>45</v>
      </c>
      <c r="F114" s="17" t="inlineStr">
        <is>
          <t>Divine</t>
        </is>
      </c>
      <c r="G114" s="16" t="n">
        <v>4</v>
      </c>
      <c r="H114" s="17" t="inlineStr">
        <is>
          <t>None</t>
        </is>
      </c>
      <c r="J114" s="16" t="n"/>
      <c r="K114" s="16" t="n"/>
      <c r="L114" s="16">
        <f>(D114*6)+(E114*4)</f>
        <v/>
      </c>
      <c r="M114" s="16" t="n"/>
      <c r="N114" s="16" t="n"/>
      <c r="O114" s="16" t="n"/>
      <c r="P114" s="16" t="n"/>
      <c r="Q114" s="16" t="n"/>
    </row>
    <row r="115" ht="32.05" customHeight="1" s="47">
      <c r="A115" s="8" t="inlineStr">
        <is>
          <t>Cloud Beast</t>
        </is>
      </c>
      <c r="B115" s="9" t="inlineStr">
        <is>
          <t>Unit</t>
        </is>
      </c>
      <c r="C115" s="16" t="n">
        <v>850</v>
      </c>
      <c r="D115" s="16" t="n">
        <v>65</v>
      </c>
      <c r="E115" s="16" t="n">
        <v>30</v>
      </c>
      <c r="F115" s="17" t="inlineStr">
        <is>
          <t>Divine</t>
        </is>
      </c>
      <c r="G115" s="16" t="n">
        <v>3</v>
      </c>
      <c r="H115" s="17" t="inlineStr">
        <is>
          <t>This card is not destroyed by Anima card</t>
        </is>
      </c>
      <c r="J115" s="16" t="n"/>
      <c r="K115" s="16" t="n"/>
      <c r="L115" s="16">
        <f>(D115*6)+(E115*4)</f>
        <v/>
      </c>
      <c r="M115" s="16" t="n"/>
      <c r="N115" s="16" t="n"/>
      <c r="O115" s="16" t="n"/>
      <c r="P115" s="16" t="n"/>
      <c r="Q115" s="16" t="n"/>
    </row>
    <row r="116" ht="20.05" customHeight="1" s="47">
      <c r="A116" s="8" t="inlineStr">
        <is>
          <t>Da Loong</t>
        </is>
      </c>
      <c r="B116" s="9" t="inlineStr">
        <is>
          <t>Unit</t>
        </is>
      </c>
      <c r="C116" s="16" t="n">
        <v>1100</v>
      </c>
      <c r="D116" s="16" t="n">
        <v>60</v>
      </c>
      <c r="E116" s="16" t="n">
        <v>80</v>
      </c>
      <c r="F116" s="17" t="inlineStr">
        <is>
          <t>Divine</t>
        </is>
      </c>
      <c r="G116" s="16" t="n">
        <v>4</v>
      </c>
      <c r="H116" s="17" t="inlineStr">
        <is>
          <t>+40 ATK if Exposed</t>
        </is>
      </c>
      <c r="I116" t="inlineStr">
        <is>
          <t>wording polish</t>
        </is>
      </c>
      <c r="J116" s="16" t="n"/>
      <c r="K116" s="16" t="n"/>
      <c r="L116" s="16">
        <f>(D116*6)+(E116*4)</f>
        <v/>
      </c>
      <c r="M116" s="16" t="n"/>
      <c r="N116" s="16" t="n"/>
      <c r="O116" s="16" t="n"/>
      <c r="P116" s="16" t="n"/>
      <c r="Q116" s="16" t="n"/>
    </row>
    <row r="117" ht="32.05" customHeight="1" s="47">
      <c r="A117" s="8" t="inlineStr">
        <is>
          <t>Rama the Justice Arrow</t>
        </is>
      </c>
      <c r="B117" s="9" t="inlineStr">
        <is>
          <t>Unit</t>
        </is>
      </c>
      <c r="C117" s="16" t="n">
        <v>990</v>
      </c>
      <c r="D117" s="16" t="n">
        <v>85</v>
      </c>
      <c r="E117" s="16" t="n">
        <v>70</v>
      </c>
      <c r="F117" s="17" t="inlineStr">
        <is>
          <t>Divine</t>
        </is>
      </c>
      <c r="G117" s="16" t="n">
        <v>4</v>
      </c>
      <c r="H117" s="17" t="inlineStr">
        <is>
          <t>At battle calculation, -20 DEF to the defender</t>
        </is>
      </c>
      <c r="J117" s="16" t="n"/>
      <c r="K117" s="16" t="n"/>
      <c r="L117" s="16">
        <f>(D117*6)+(E117*4)</f>
        <v/>
      </c>
      <c r="M117" s="16" t="n"/>
      <c r="N117" s="16" t="n"/>
      <c r="O117" s="16" t="n"/>
      <c r="P117" s="16" t="n"/>
      <c r="Q117" s="16" t="n"/>
    </row>
    <row r="118" ht="32.05" customHeight="1" s="47">
      <c r="A118" s="8" t="inlineStr">
        <is>
          <t>Hanuman the Second Wind</t>
        </is>
      </c>
      <c r="B118" s="9" t="inlineStr">
        <is>
          <t>Unit</t>
        </is>
      </c>
      <c r="C118" s="16" t="n">
        <v>1250</v>
      </c>
      <c r="D118" s="16" t="n">
        <v>95</v>
      </c>
      <c r="E118" s="16" t="n">
        <v>60</v>
      </c>
      <c r="F118" s="17" t="inlineStr">
        <is>
          <t>Nature</t>
        </is>
      </c>
      <c r="G118" s="16" t="n">
        <v>5</v>
      </c>
      <c r="H118" s="17" t="inlineStr">
        <is>
          <t>Once: if there is Divine monster on its side, revive itself</t>
        </is>
      </c>
      <c r="I118" t="inlineStr">
        <is>
          <t>wording polish</t>
        </is>
      </c>
      <c r="J118" s="16" t="n"/>
      <c r="K118" s="16" t="n"/>
      <c r="L118" s="16">
        <f>(D118*6)+(E118*4)</f>
        <v/>
      </c>
      <c r="M118" s="16" t="n"/>
      <c r="N118" s="16" t="n"/>
      <c r="O118" s="16" t="n"/>
      <c r="P118" s="16" t="n"/>
      <c r="Q118" s="16" t="n"/>
    </row>
    <row r="119" ht="44.05" customHeight="1" s="47">
      <c r="A119" s="8" t="inlineStr">
        <is>
          <t>Goldmancer</t>
        </is>
      </c>
      <c r="B119" s="9" t="inlineStr">
        <is>
          <t>Unit</t>
        </is>
      </c>
      <c r="C119" s="16" t="n">
        <v>700</v>
      </c>
      <c r="D119" s="16" t="n">
        <v>25</v>
      </c>
      <c r="E119" s="16" t="n">
        <v>125</v>
      </c>
      <c r="F119" s="17" t="inlineStr">
        <is>
          <t>Arcane</t>
        </is>
      </c>
      <c r="G119" s="16" t="n">
        <v>4</v>
      </c>
      <c r="H119" s="17" t="inlineStr">
        <is>
          <t>After this card successfully defended, its cost becomes 1500</t>
        </is>
      </c>
      <c r="J119" s="16" t="n"/>
      <c r="K119" s="16" t="n"/>
      <c r="L119" s="16">
        <f>(D119*6)+(E119*4)</f>
        <v/>
      </c>
      <c r="M119" s="16" t="n"/>
      <c r="N119" s="16" t="n"/>
      <c r="O119" s="16" t="n"/>
      <c r="P119" s="16" t="n"/>
      <c r="Q119" s="16" t="n"/>
    </row>
    <row r="120" ht="44.05" customHeight="1" s="47">
      <c r="A120" s="8" t="inlineStr">
        <is>
          <t>Full-armored Seraphim</t>
        </is>
      </c>
      <c r="B120" s="9" t="inlineStr">
        <is>
          <t>Unit</t>
        </is>
      </c>
      <c r="C120" s="16" t="n">
        <v>2200</v>
      </c>
      <c r="D120" s="16" t="n">
        <v>150</v>
      </c>
      <c r="E120" s="16" t="n">
        <v>150</v>
      </c>
      <c r="F120" s="17" t="inlineStr">
        <is>
          <t>Divine</t>
        </is>
      </c>
      <c r="G120" s="16" t="n">
        <v>5</v>
      </c>
      <c r="H120" s="17" t="inlineStr">
        <is>
          <t>After this card performed attack, it cannot attack on their next turn.</t>
        </is>
      </c>
      <c r="J120" s="16" t="n"/>
      <c r="K120" s="16" t="n"/>
      <c r="L120" s="16">
        <f>(D120*6)+(E120*4)</f>
        <v/>
      </c>
      <c r="M120" s="16" t="n"/>
      <c r="N120" s="16" t="n"/>
      <c r="O120" s="16" t="n"/>
      <c r="P120" s="16" t="n"/>
      <c r="Q120" s="16" t="n"/>
    </row>
    <row r="121" ht="32.05" customHeight="1" s="47">
      <c r="A121" s="8" t="inlineStr">
        <is>
          <t>Goddess of Virtue</t>
        </is>
      </c>
      <c r="B121" s="9" t="inlineStr">
        <is>
          <t>Unit</t>
        </is>
      </c>
      <c r="C121" s="16" t="n">
        <v>1400</v>
      </c>
      <c r="D121" s="16" t="n">
        <v>80</v>
      </c>
      <c r="E121" s="16" t="n">
        <v>100</v>
      </c>
      <c r="F121" s="17" t="inlineStr">
        <is>
          <t>Divine</t>
        </is>
      </c>
      <c r="G121" s="16" t="n">
        <v>5</v>
      </c>
      <c r="H121" s="17" t="inlineStr">
        <is>
          <t>In Reckoning: destroy Chaos before any calculation</t>
        </is>
      </c>
      <c r="I121" t="inlineStr">
        <is>
          <t>wording polish</t>
        </is>
      </c>
      <c r="J121" s="16" t="n"/>
      <c r="K121" s="17" t="inlineStr">
        <is>
          <t>Yes</t>
        </is>
      </c>
      <c r="L121" s="16">
        <f>(D121*6)+(E121*4)</f>
        <v/>
      </c>
      <c r="M121" s="17" t="inlineStr">
        <is>
          <t>Yes</t>
        </is>
      </c>
      <c r="N121" s="16" t="n"/>
      <c r="O121" s="16" t="n"/>
      <c r="P121" s="16" t="n"/>
      <c r="Q121" s="17" t="inlineStr">
        <is>
          <t>Yes</t>
        </is>
      </c>
    </row>
    <row r="122" ht="20.05" customHeight="1" s="47">
      <c r="A122" s="8" t="inlineStr">
        <is>
          <t>Angel Cannoneer</t>
        </is>
      </c>
      <c r="B122" s="9" t="inlineStr">
        <is>
          <t>Unit</t>
        </is>
      </c>
      <c r="C122" s="16" t="n">
        <v>800</v>
      </c>
      <c r="D122" s="16" t="n">
        <v>85</v>
      </c>
      <c r="E122" s="16" t="n">
        <v>50</v>
      </c>
      <c r="F122" s="17" t="inlineStr">
        <is>
          <t>Divine</t>
        </is>
      </c>
      <c r="G122" s="16" t="n">
        <v>4</v>
      </c>
      <c r="H122" s="17" t="inlineStr">
        <is>
          <t>-50 DEF after become Exposed</t>
        </is>
      </c>
      <c r="I122" t="inlineStr">
        <is>
          <t>wording polish</t>
        </is>
      </c>
      <c r="J122" s="16" t="n"/>
      <c r="K122" s="16" t="n"/>
      <c r="L122" s="16">
        <f>(D122*6)+(E122*4)</f>
        <v/>
      </c>
      <c r="M122" s="16" t="n"/>
      <c r="N122" s="16" t="n"/>
      <c r="O122" s="16" t="n"/>
      <c r="P122" s="16" t="n"/>
      <c r="Q122" s="16" t="n"/>
    </row>
    <row r="123" ht="32.05" customHeight="1" s="47">
      <c r="A123" s="8" t="inlineStr">
        <is>
          <t>The First Angel</t>
        </is>
      </c>
      <c r="B123" s="9" t="inlineStr">
        <is>
          <t>Unit</t>
        </is>
      </c>
      <c r="C123" s="16" t="n">
        <v>2000</v>
      </c>
      <c r="D123" s="16" t="n">
        <v>140</v>
      </c>
      <c r="E123" s="16" t="n">
        <v>100</v>
      </c>
      <c r="F123" s="17" t="inlineStr">
        <is>
          <t>Divine</t>
        </is>
      </c>
      <c r="G123" s="16" t="n">
        <v>5</v>
      </c>
      <c r="H123" s="17" t="inlineStr">
        <is>
          <t>Start of their turn: while in void, revive with halved ATK and DEF</t>
        </is>
      </c>
      <c r="I123" t="inlineStr">
        <is>
          <t>ATK&amp;DEF→ATK and DEF</t>
        </is>
      </c>
      <c r="J123" s="16" t="n"/>
      <c r="K123" s="16" t="n"/>
      <c r="L123" s="16">
        <f>(D123*6)+(E123*4)</f>
        <v/>
      </c>
      <c r="M123" s="16" t="n"/>
      <c r="N123" s="16" t="n"/>
      <c r="O123" s="16" t="n"/>
      <c r="P123" s="16" t="n"/>
      <c r="Q123" s="16" t="n"/>
    </row>
    <row r="124" ht="32.05" customHeight="1" s="47">
      <c r="A124" s="8" t="inlineStr">
        <is>
          <t>Cursed Well</t>
        </is>
      </c>
      <c r="B124" s="9" t="inlineStr">
        <is>
          <t>Unit</t>
        </is>
      </c>
      <c r="C124" s="16" t="n">
        <v>300</v>
      </c>
      <c r="D124" s="16" t="n">
        <v>0</v>
      </c>
      <c r="E124" s="16" t="n">
        <v>25</v>
      </c>
      <c r="F124" s="17" t="inlineStr">
        <is>
          <t>Chaos</t>
        </is>
      </c>
      <c r="G124" s="16" t="n">
        <v>1</v>
      </c>
      <c r="H124" s="17" t="inlineStr">
        <is>
          <t>At the end of the turn that it’s been exposed, +15 ATK</t>
        </is>
      </c>
      <c r="J124" s="16" t="n"/>
      <c r="K124" s="17" t="inlineStr">
        <is>
          <t>Yes</t>
        </is>
      </c>
      <c r="L124" s="16">
        <f>(D124*6)+(E124*4)</f>
        <v/>
      </c>
      <c r="M124" s="17" t="inlineStr">
        <is>
          <t>Yes</t>
        </is>
      </c>
      <c r="N124" s="16" t="n"/>
      <c r="O124" s="17" t="inlineStr">
        <is>
          <t>Yes</t>
        </is>
      </c>
      <c r="P124" s="16" t="n"/>
      <c r="Q124" s="16" t="n"/>
    </row>
    <row r="125" ht="20.05" customHeight="1" s="47">
      <c r="A125" s="8" t="inlineStr">
        <is>
          <t>Shredder Doll</t>
        </is>
      </c>
      <c r="B125" s="9" t="inlineStr">
        <is>
          <t>Unit</t>
        </is>
      </c>
      <c r="C125" s="16" t="n">
        <v>250</v>
      </c>
      <c r="D125" s="16" t="n">
        <v>25</v>
      </c>
      <c r="E125" s="16" t="n">
        <v>5</v>
      </c>
      <c r="F125" s="17" t="inlineStr">
        <is>
          <t>Chaos</t>
        </is>
      </c>
      <c r="G125" s="16" t="n">
        <v>1</v>
      </c>
      <c r="H125" s="17" t="inlineStr">
        <is>
          <t>None</t>
        </is>
      </c>
      <c r="J125" s="16" t="n"/>
      <c r="K125" s="17" t="inlineStr">
        <is>
          <t>Yes</t>
        </is>
      </c>
      <c r="L125" s="16">
        <f>(D125*6)+(E125*4)</f>
        <v/>
      </c>
      <c r="M125" s="17" t="inlineStr">
        <is>
          <t>Yes</t>
        </is>
      </c>
      <c r="N125" s="16" t="n"/>
      <c r="O125" s="17" t="inlineStr">
        <is>
          <t>Yes</t>
        </is>
      </c>
      <c r="P125" s="16" t="n"/>
      <c r="Q125" s="16" t="n"/>
    </row>
    <row r="126" ht="20.05" customHeight="1" s="47">
      <c r="A126" s="8" t="inlineStr">
        <is>
          <t>Evil Windchime</t>
        </is>
      </c>
      <c r="B126" s="9" t="inlineStr">
        <is>
          <t>Unit</t>
        </is>
      </c>
      <c r="C126" s="16" t="n">
        <v>200</v>
      </c>
      <c r="D126" s="16" t="n">
        <v>20</v>
      </c>
      <c r="E126" s="16" t="n">
        <v>10</v>
      </c>
      <c r="F126" s="17" t="inlineStr">
        <is>
          <t>Chaos</t>
        </is>
      </c>
      <c r="G126" s="16" t="n">
        <v>1</v>
      </c>
      <c r="H126" s="17" t="inlineStr">
        <is>
          <t>None</t>
        </is>
      </c>
      <c r="J126" s="16" t="n"/>
      <c r="K126" s="16" t="n"/>
      <c r="L126" s="16">
        <f>(D126*6)+(E126*4)</f>
        <v/>
      </c>
      <c r="M126" s="16" t="n"/>
      <c r="N126" s="16" t="n"/>
      <c r="O126" s="16" t="n"/>
      <c r="P126" s="16" t="n"/>
      <c r="Q126" s="16" t="n"/>
    </row>
    <row r="127" ht="20.05" customHeight="1" s="47">
      <c r="A127" s="8" t="inlineStr">
        <is>
          <t>Hands in the Attic</t>
        </is>
      </c>
      <c r="B127" s="9" t="inlineStr">
        <is>
          <t>Unit</t>
        </is>
      </c>
      <c r="C127" s="16" t="n">
        <v>300</v>
      </c>
      <c r="D127" s="16" t="n">
        <v>20</v>
      </c>
      <c r="E127" s="16" t="n">
        <v>20</v>
      </c>
      <c r="F127" s="17" t="inlineStr">
        <is>
          <t>Chaos</t>
        </is>
      </c>
      <c r="G127" s="16" t="n">
        <v>1</v>
      </c>
      <c r="H127" s="17" t="inlineStr">
        <is>
          <t>+10 ATK until Reckoning ends</t>
        </is>
      </c>
      <c r="J127" s="16" t="n"/>
      <c r="K127" s="17" t="inlineStr">
        <is>
          <t>Yes</t>
        </is>
      </c>
      <c r="L127" s="16">
        <f>(D127*6)+(E127*4)</f>
        <v/>
      </c>
      <c r="M127" s="17" t="inlineStr">
        <is>
          <t>Yes</t>
        </is>
      </c>
      <c r="N127" s="16" t="n"/>
      <c r="O127" s="17" t="inlineStr">
        <is>
          <t>Yes</t>
        </is>
      </c>
      <c r="P127" s="16" t="n"/>
      <c r="Q127" s="16" t="n"/>
    </row>
    <row r="128" ht="32.05" customHeight="1" s="47">
      <c r="A128" s="8" t="inlineStr">
        <is>
          <t>Miner Probe</t>
        </is>
      </c>
      <c r="B128" s="9" t="inlineStr">
        <is>
          <t>Unit</t>
        </is>
      </c>
      <c r="C128" s="16" t="n">
        <v>200</v>
      </c>
      <c r="D128" s="16" t="n">
        <v>10</v>
      </c>
      <c r="E128" s="16" t="n">
        <v>10</v>
      </c>
      <c r="F128" s="17" t="inlineStr">
        <is>
          <t>Cosmic</t>
        </is>
      </c>
      <c r="G128" s="16" t="n">
        <v>1</v>
      </c>
      <c r="H128" s="17" t="inlineStr">
        <is>
          <t>Gain 20 Crystals upon hitting Dead End</t>
        </is>
      </c>
      <c r="J128" s="16" t="n"/>
      <c r="K128" s="17" t="inlineStr">
        <is>
          <t>Yes</t>
        </is>
      </c>
      <c r="L128" s="16">
        <f>(D128*6)+(E128*4)</f>
        <v/>
      </c>
      <c r="M128" s="17" t="inlineStr">
        <is>
          <t>Yes</t>
        </is>
      </c>
      <c r="N128" s="16" t="n"/>
      <c r="O128" s="17" t="inlineStr">
        <is>
          <t>Yes</t>
        </is>
      </c>
      <c r="P128" s="16" t="n"/>
      <c r="Q128" s="16" t="n"/>
    </row>
    <row r="129" ht="56.05" customHeight="1" s="47">
      <c r="A129" s="8" t="inlineStr">
        <is>
          <t>Mine Guard</t>
        </is>
      </c>
      <c r="B129" s="9" t="inlineStr">
        <is>
          <t>Unit</t>
        </is>
      </c>
      <c r="C129" s="16" t="n">
        <v>300</v>
      </c>
      <c r="D129" s="16" t="n">
        <v>20</v>
      </c>
      <c r="E129" s="16" t="n">
        <v>15</v>
      </c>
      <c r="F129" s="17" t="inlineStr">
        <is>
          <t>Cosmic</t>
        </is>
      </c>
      <c r="G129" s="16" t="n">
        <v>2</v>
      </c>
      <c r="H129" s="17" t="inlineStr">
        <is>
          <t>Prevent ‘Miner’ or ‘Mining’ card from being destroyed, but destroy this card instead. Usable face-down</t>
        </is>
      </c>
      <c r="J129" s="16" t="n"/>
      <c r="K129" s="17" t="inlineStr">
        <is>
          <t>Yes</t>
        </is>
      </c>
      <c r="L129" s="16">
        <f>(D129*6)+(E129*4)</f>
        <v/>
      </c>
      <c r="M129" s="17" t="inlineStr">
        <is>
          <t>Yes</t>
        </is>
      </c>
      <c r="N129" s="16" t="n"/>
      <c r="O129" s="16" t="n"/>
      <c r="P129" s="17" t="inlineStr">
        <is>
          <t>Yes</t>
        </is>
      </c>
      <c r="Q129" s="17" t="inlineStr">
        <is>
          <t>Yes</t>
        </is>
      </c>
    </row>
    <row r="130" ht="20.05" customHeight="1" s="47">
      <c r="A130" s="8" t="inlineStr">
        <is>
          <t>Gravedigger</t>
        </is>
      </c>
      <c r="B130" s="9" t="inlineStr">
        <is>
          <t>Unit</t>
        </is>
      </c>
      <c r="C130" s="16" t="n">
        <v>250</v>
      </c>
      <c r="D130" s="16" t="n">
        <v>20</v>
      </c>
      <c r="E130" s="16" t="n">
        <v>15</v>
      </c>
      <c r="F130" s="17" t="inlineStr">
        <is>
          <t>Anima</t>
        </is>
      </c>
      <c r="G130" s="16" t="n">
        <v>1</v>
      </c>
      <c r="H130" s="17" t="inlineStr">
        <is>
          <t>-20 DEF to Chaos defender</t>
        </is>
      </c>
      <c r="J130" s="16" t="n"/>
      <c r="K130" s="16" t="n"/>
      <c r="L130" s="16">
        <f>(D130*6)+(E130*4)</f>
        <v/>
      </c>
      <c r="M130" s="16" t="n"/>
      <c r="N130" s="16" t="n"/>
      <c r="O130" s="16" t="n"/>
      <c r="P130" s="16" t="n"/>
      <c r="Q130" s="16" t="n"/>
    </row>
    <row r="131" ht="32.05" customHeight="1" s="47">
      <c r="A131" s="8" t="inlineStr">
        <is>
          <t>Hoody by the Grave</t>
        </is>
      </c>
      <c r="B131" s="9" t="inlineStr">
        <is>
          <t>Unit</t>
        </is>
      </c>
      <c r="C131" s="16" t="n">
        <v>150</v>
      </c>
      <c r="D131" s="16" t="n">
        <v>15</v>
      </c>
      <c r="E131" s="16" t="n">
        <v>15</v>
      </c>
      <c r="F131" s="17" t="inlineStr">
        <is>
          <t>Chaos</t>
        </is>
      </c>
      <c r="G131" s="16" t="n">
        <v>1</v>
      </c>
      <c r="H131" s="17" t="inlineStr">
        <is>
          <t>None</t>
        </is>
      </c>
      <c r="J131" s="16" t="n"/>
      <c r="K131" s="16" t="n"/>
      <c r="L131" s="16">
        <f>(D131*6)+(E131*4)</f>
        <v/>
      </c>
      <c r="M131" s="16" t="n"/>
      <c r="N131" s="16" t="n"/>
      <c r="O131" s="16" t="n"/>
      <c r="P131" s="16" t="n"/>
      <c r="Q131" s="16" t="n"/>
    </row>
    <row r="132" ht="32.05" customHeight="1" s="47">
      <c r="A132" s="8" t="inlineStr">
        <is>
          <t>Jacob the Ski Mask</t>
        </is>
      </c>
      <c r="B132" s="9" t="inlineStr">
        <is>
          <t>Unit</t>
        </is>
      </c>
      <c r="C132" s="16" t="n">
        <v>350</v>
      </c>
      <c r="D132" s="16" t="n">
        <v>15</v>
      </c>
      <c r="E132" s="16" t="n">
        <v>20</v>
      </c>
      <c r="F132" s="17" t="inlineStr">
        <is>
          <t>Chaos</t>
        </is>
      </c>
      <c r="G132" s="16" t="n">
        <v>1</v>
      </c>
      <c r="H132" s="17" t="inlineStr">
        <is>
          <t>+5 ATK vs Anima</t>
        </is>
      </c>
      <c r="J132" s="16" t="n"/>
      <c r="K132" s="17" t="inlineStr">
        <is>
          <t>Yes</t>
        </is>
      </c>
      <c r="L132" s="16">
        <f>(D132*6)+(E132*4)</f>
        <v/>
      </c>
      <c r="M132" s="17" t="inlineStr">
        <is>
          <t>Yes</t>
        </is>
      </c>
      <c r="N132" s="16" t="n"/>
      <c r="O132" s="17" t="inlineStr">
        <is>
          <t>Yes</t>
        </is>
      </c>
      <c r="P132" s="16" t="n"/>
      <c r="Q132" s="16" t="n"/>
    </row>
    <row r="133" ht="20.05" customHeight="1" s="47">
      <c r="A133" s="8" t="inlineStr">
        <is>
          <t>Karakasa</t>
        </is>
      </c>
      <c r="B133" s="9" t="inlineStr">
        <is>
          <t>Unit</t>
        </is>
      </c>
      <c r="C133" s="16" t="n">
        <v>200</v>
      </c>
      <c r="D133" s="16" t="n">
        <v>25</v>
      </c>
      <c r="E133" s="16" t="n">
        <v>15</v>
      </c>
      <c r="F133" s="17" t="inlineStr">
        <is>
          <t>Chaos</t>
        </is>
      </c>
      <c r="G133" s="16" t="n">
        <v>1</v>
      </c>
      <c r="H133" s="17" t="inlineStr">
        <is>
          <t>None</t>
        </is>
      </c>
      <c r="J133" s="16" t="n"/>
      <c r="K133" s="16" t="n"/>
      <c r="L133" s="16">
        <f>(D133*6)+(E133*4)</f>
        <v/>
      </c>
      <c r="M133" s="16" t="n"/>
      <c r="N133" s="16" t="n"/>
      <c r="O133" s="16" t="n"/>
      <c r="P133" s="16" t="n"/>
      <c r="Q133" s="16" t="n"/>
    </row>
    <row r="134" ht="20.05" customHeight="1" s="47">
      <c r="A134" s="8" t="inlineStr">
        <is>
          <t>Staggered Man</t>
        </is>
      </c>
      <c r="B134" s="9" t="inlineStr">
        <is>
          <t>Unit</t>
        </is>
      </c>
      <c r="C134" s="16" t="n">
        <v>200</v>
      </c>
      <c r="D134" s="16" t="n">
        <v>20</v>
      </c>
      <c r="E134" s="16" t="n">
        <v>20</v>
      </c>
      <c r="F134" s="17" t="inlineStr">
        <is>
          <t>Chaos</t>
        </is>
      </c>
      <c r="G134" s="16" t="n">
        <v>1</v>
      </c>
      <c r="H134" s="17" t="inlineStr">
        <is>
          <t>None</t>
        </is>
      </c>
      <c r="J134" s="16" t="n"/>
      <c r="K134" s="16" t="n"/>
      <c r="L134" s="16">
        <f>(D134*6)+(E134*4)</f>
        <v/>
      </c>
      <c r="M134" s="16" t="n"/>
      <c r="N134" s="16" t="n"/>
      <c r="O134" s="16" t="n"/>
      <c r="P134" s="16" t="n"/>
      <c r="Q134" s="16" t="n"/>
    </row>
    <row r="135" ht="32.05" customHeight="1" s="47">
      <c r="A135" s="8" t="inlineStr">
        <is>
          <t>Franky the Steel Claw</t>
        </is>
      </c>
      <c r="B135" s="9" t="inlineStr">
        <is>
          <t>Unit</t>
        </is>
      </c>
      <c r="C135" s="16" t="n">
        <v>500</v>
      </c>
      <c r="D135" s="16" t="n">
        <v>20</v>
      </c>
      <c r="E135" s="16" t="n">
        <v>15</v>
      </c>
      <c r="F135" s="17" t="inlineStr">
        <is>
          <t>Chaos</t>
        </is>
      </c>
      <c r="G135" s="16" t="n">
        <v>1</v>
      </c>
      <c r="H135" s="17" t="inlineStr">
        <is>
          <t>+5 ATK to ally, until the end of this turn</t>
        </is>
      </c>
      <c r="J135" s="16" t="n"/>
      <c r="K135" s="16" t="n"/>
      <c r="L135" s="16">
        <f>(D135*6)+(E135*4)</f>
        <v/>
      </c>
      <c r="M135" s="16" t="n"/>
      <c r="N135" s="16" t="n"/>
      <c r="O135" s="16" t="n"/>
      <c r="P135" s="16" t="n"/>
      <c r="Q135" s="16" t="n"/>
    </row>
    <row r="136" ht="44.05" customHeight="1" s="47">
      <c r="A136" s="8" t="inlineStr">
        <is>
          <t>Dark Tengu</t>
        </is>
      </c>
      <c r="B136" s="9" t="inlineStr">
        <is>
          <t>Unit</t>
        </is>
      </c>
      <c r="C136" s="16" t="n">
        <v>250</v>
      </c>
      <c r="D136" s="16" t="n">
        <v>25</v>
      </c>
      <c r="E136" s="16" t="n">
        <v>25</v>
      </c>
      <c r="F136" s="17" t="inlineStr">
        <is>
          <t>Chaos</t>
        </is>
      </c>
      <c r="G136" s="16" t="n">
        <v>1</v>
      </c>
      <c r="H136" s="17" t="inlineStr">
        <is>
          <t>-5 ATK once it successfully attacked. -5 DEF once it successfully defended.</t>
        </is>
      </c>
      <c r="J136" s="16" t="n"/>
      <c r="K136" s="17" t="inlineStr">
        <is>
          <t>Yes</t>
        </is>
      </c>
      <c r="L136" s="16">
        <f>(D136*6)+(E136*4)</f>
        <v/>
      </c>
      <c r="M136" s="17" t="inlineStr">
        <is>
          <t>Yes</t>
        </is>
      </c>
      <c r="N136" s="16" t="n"/>
      <c r="O136" s="17" t="inlineStr">
        <is>
          <t>Yes</t>
        </is>
      </c>
      <c r="P136" s="16" t="n"/>
      <c r="Q136" s="16" t="n"/>
    </row>
    <row r="137" ht="20.05" customHeight="1" s="47">
      <c r="A137" s="8" t="inlineStr">
        <is>
          <t>Cursed Box</t>
        </is>
      </c>
      <c r="B137" s="9" t="inlineStr">
        <is>
          <t>Unit</t>
        </is>
      </c>
      <c r="C137" s="16" t="n">
        <v>150</v>
      </c>
      <c r="D137" s="16" t="n">
        <v>0</v>
      </c>
      <c r="E137" s="16" t="n">
        <v>30</v>
      </c>
      <c r="F137" s="17" t="inlineStr">
        <is>
          <t>Chaos</t>
        </is>
      </c>
      <c r="G137" s="16" t="n">
        <v>1</v>
      </c>
      <c r="H137" s="17" t="inlineStr">
        <is>
          <t>None</t>
        </is>
      </c>
      <c r="J137" s="16" t="n"/>
      <c r="K137" s="16" t="n"/>
      <c r="L137" s="16">
        <f>(D137*6)+(E137*4)</f>
        <v/>
      </c>
      <c r="M137" s="16" t="n"/>
      <c r="N137" s="16" t="n"/>
      <c r="O137" s="16" t="n"/>
      <c r="P137" s="16" t="n"/>
      <c r="Q137" s="16" t="n"/>
    </row>
    <row r="138" ht="32.05" customHeight="1" s="47">
      <c r="A138" s="8" t="inlineStr">
        <is>
          <t>Goat Head</t>
        </is>
      </c>
      <c r="B138" s="9" t="inlineStr">
        <is>
          <t>Unit</t>
        </is>
      </c>
      <c r="C138" s="16" t="n">
        <v>400</v>
      </c>
      <c r="D138" s="16" t="n">
        <v>25</v>
      </c>
      <c r="E138" s="16" t="n">
        <v>10</v>
      </c>
      <c r="F138" s="17" t="inlineStr">
        <is>
          <t>Chaos</t>
        </is>
      </c>
      <c r="G138" s="16" t="n">
        <v>1</v>
      </c>
      <c r="H138" s="17" t="inlineStr">
        <is>
          <t>Immune to traps.</t>
        </is>
      </c>
      <c r="I138" t="inlineStr">
        <is>
          <t>Shortened immunity wording.</t>
        </is>
      </c>
      <c r="J138" s="16" t="n"/>
      <c r="K138" s="16" t="n"/>
      <c r="L138" s="16">
        <f>(D138*6)+(E138*4)</f>
        <v/>
      </c>
      <c r="M138" s="16" t="n"/>
      <c r="N138" s="16" t="n"/>
      <c r="O138" s="16" t="n"/>
      <c r="P138" s="16" t="n"/>
      <c r="Q138" s="16" t="n"/>
    </row>
    <row r="139" ht="32.05" customHeight="1" s="47">
      <c r="A139" s="8" t="inlineStr">
        <is>
          <t>Araya the Eerie Dancer</t>
        </is>
      </c>
      <c r="B139" s="9" t="inlineStr">
        <is>
          <t>Unit</t>
        </is>
      </c>
      <c r="C139" s="16" t="n">
        <v>400</v>
      </c>
      <c r="D139" s="16" t="n">
        <v>15</v>
      </c>
      <c r="E139" s="16" t="n">
        <v>20</v>
      </c>
      <c r="F139" s="17" t="inlineStr">
        <is>
          <t>Chaos</t>
        </is>
      </c>
      <c r="G139" s="16" t="n">
        <v>1</v>
      </c>
      <c r="H139" s="17" t="inlineStr">
        <is>
          <t>Immune to Tech.</t>
        </is>
      </c>
      <c r="I139" t="inlineStr">
        <is>
          <t>Shortened immunity wording.</t>
        </is>
      </c>
      <c r="J139" s="16" t="n"/>
      <c r="K139" s="17" t="inlineStr">
        <is>
          <t>Yes</t>
        </is>
      </c>
      <c r="L139" s="16">
        <f>(D139*6)+(E139*4)</f>
        <v/>
      </c>
      <c r="M139" s="17" t="inlineStr">
        <is>
          <t>Yes</t>
        </is>
      </c>
      <c r="N139" s="16" t="n"/>
      <c r="O139" s="16" t="n"/>
      <c r="P139" s="16" t="n"/>
      <c r="Q139" s="17" t="inlineStr">
        <is>
          <t>Yes</t>
        </is>
      </c>
    </row>
    <row r="140" ht="32.05" customHeight="1" s="47">
      <c r="A140" s="8" t="inlineStr">
        <is>
          <t>Skeleton Grappler</t>
        </is>
      </c>
      <c r="B140" s="9" t="inlineStr">
        <is>
          <t>Unit</t>
        </is>
      </c>
      <c r="C140" s="16" t="n">
        <v>150</v>
      </c>
      <c r="D140" s="16" t="n">
        <v>20</v>
      </c>
      <c r="E140" s="16" t="n">
        <v>5</v>
      </c>
      <c r="F140" s="17" t="inlineStr">
        <is>
          <t>Chaos</t>
        </is>
      </c>
      <c r="G140" s="16" t="n">
        <v>1</v>
      </c>
      <c r="H140" s="17" t="inlineStr">
        <is>
          <t>After Reckoning: that foe’s unit must wait until foe’s turn ends</t>
        </is>
      </c>
      <c r="J140" s="16" t="n"/>
      <c r="K140" s="17" t="inlineStr">
        <is>
          <t>Yes</t>
        </is>
      </c>
      <c r="L140" s="16">
        <f>(D140*6)+(E140*4)</f>
        <v/>
      </c>
      <c r="M140" s="17" t="inlineStr">
        <is>
          <t>Yes</t>
        </is>
      </c>
      <c r="N140" s="16" t="n"/>
      <c r="O140" s="17" t="inlineStr">
        <is>
          <t>Yes</t>
        </is>
      </c>
      <c r="P140" s="16" t="n"/>
      <c r="Q140" s="16" t="n"/>
    </row>
    <row r="141" ht="32.05" customHeight="1" s="47">
      <c r="A141" s="8" t="inlineStr">
        <is>
          <t>Skeleton Scout</t>
        </is>
      </c>
      <c r="B141" s="9" t="inlineStr">
        <is>
          <t>Unit</t>
        </is>
      </c>
      <c r="C141" s="16" t="n">
        <v>150</v>
      </c>
      <c r="D141" s="16" t="n">
        <v>20</v>
      </c>
      <c r="E141" s="16" t="n">
        <v>5</v>
      </c>
      <c r="F141" s="17" t="inlineStr">
        <is>
          <t>Chaos</t>
        </is>
      </c>
      <c r="G141" s="16" t="n">
        <v>1</v>
      </c>
      <c r="H141" s="17" t="inlineStr">
        <is>
          <t>Once: if hitting Dead End: attack again</t>
        </is>
      </c>
      <c r="I141" t="inlineStr">
        <is>
          <t>wording polish</t>
        </is>
      </c>
      <c r="J141" s="16" t="n"/>
      <c r="K141" s="17" t="inlineStr">
        <is>
          <t>Yes</t>
        </is>
      </c>
      <c r="L141" s="16">
        <f>(D141*6)+(E141*4)</f>
        <v/>
      </c>
      <c r="M141" s="17" t="inlineStr">
        <is>
          <t>Yes</t>
        </is>
      </c>
      <c r="N141" s="16" t="n"/>
      <c r="O141" s="17" t="inlineStr">
        <is>
          <t>Yes</t>
        </is>
      </c>
      <c r="P141" s="16" t="n"/>
      <c r="Q141" s="16" t="n"/>
    </row>
    <row r="142" ht="32.05" customHeight="1" s="47">
      <c r="A142" s="8" t="inlineStr">
        <is>
          <t>Skeleton Sickleman</t>
        </is>
      </c>
      <c r="B142" s="9" t="inlineStr">
        <is>
          <t>Unit</t>
        </is>
      </c>
      <c r="C142" s="16" t="n">
        <v>150</v>
      </c>
      <c r="D142" s="16" t="n">
        <v>25</v>
      </c>
      <c r="E142" s="16" t="n">
        <v>5</v>
      </c>
      <c r="F142" s="17" t="inlineStr">
        <is>
          <t>Chaos</t>
        </is>
      </c>
      <c r="G142" s="16" t="n">
        <v>1</v>
      </c>
      <c r="H142" s="17" t="inlineStr">
        <is>
          <t>None</t>
        </is>
      </c>
      <c r="J142" s="16" t="n"/>
      <c r="K142" s="16" t="n"/>
      <c r="L142" s="16">
        <f>(D142*6)+(E142*4)</f>
        <v/>
      </c>
      <c r="M142" s="16" t="n"/>
      <c r="N142" s="16" t="n"/>
      <c r="O142" s="16" t="n"/>
      <c r="P142" s="16" t="n"/>
      <c r="Q142" s="16" t="n"/>
    </row>
    <row r="143" ht="32.05" customHeight="1" s="47">
      <c r="A143" s="8" t="inlineStr">
        <is>
          <t>Human-faced Dog</t>
        </is>
      </c>
      <c r="B143" s="9" t="inlineStr">
        <is>
          <t>Unit</t>
        </is>
      </c>
      <c r="C143" s="16" t="n">
        <v>250</v>
      </c>
      <c r="D143" s="16" t="n">
        <v>20</v>
      </c>
      <c r="E143" s="16" t="n">
        <v>15</v>
      </c>
      <c r="F143" s="17" t="inlineStr">
        <is>
          <t>Chaos</t>
        </is>
      </c>
      <c r="G143" s="16" t="n">
        <v>1</v>
      </c>
      <c r="H143" s="17" t="inlineStr">
        <is>
          <t>+10 ATK if there is Anima or Nature card on its side</t>
        </is>
      </c>
      <c r="J143" s="16" t="n"/>
      <c r="K143" s="16" t="n"/>
      <c r="L143" s="16">
        <f>(D143*6)+(E143*4)</f>
        <v/>
      </c>
      <c r="M143" s="16" t="n"/>
      <c r="N143" s="16" t="n"/>
      <c r="O143" s="16" t="n"/>
      <c r="P143" s="16" t="n"/>
      <c r="Q143" s="16" t="n"/>
    </row>
    <row r="144" ht="32.05" customHeight="1" s="47">
      <c r="A144" s="8" t="inlineStr">
        <is>
          <t>Wicked Nurse</t>
        </is>
      </c>
      <c r="B144" s="9" t="inlineStr">
        <is>
          <t>Unit</t>
        </is>
      </c>
      <c r="C144" s="16" t="n">
        <v>240</v>
      </c>
      <c r="D144" s="16" t="n">
        <v>15</v>
      </c>
      <c r="E144" s="16" t="n">
        <v>25</v>
      </c>
      <c r="F144" s="17" t="inlineStr">
        <is>
          <t>Chaos</t>
        </is>
      </c>
      <c r="G144" s="16" t="n">
        <v>1</v>
      </c>
      <c r="H144" s="17" t="inlineStr">
        <is>
          <t>+20 Crystal when it successfully defended</t>
        </is>
      </c>
      <c r="J144" s="16" t="n"/>
      <c r="K144" s="16" t="n"/>
      <c r="L144" s="16">
        <f>(D144*6)+(E144*4)</f>
        <v/>
      </c>
      <c r="M144" s="16" t="n"/>
      <c r="N144" s="16" t="n"/>
      <c r="O144" s="16" t="n"/>
      <c r="P144" s="16" t="n"/>
      <c r="Q144" s="16" t="n"/>
    </row>
    <row r="145" ht="44.05" customHeight="1" s="47">
      <c r="A145" s="8" t="inlineStr">
        <is>
          <t>Hungry Imp</t>
        </is>
      </c>
      <c r="B145" s="9" t="inlineStr">
        <is>
          <t>Unit</t>
        </is>
      </c>
      <c r="C145" s="16" t="n">
        <v>300</v>
      </c>
      <c r="D145" s="16" t="n">
        <v>30</v>
      </c>
      <c r="E145" s="16" t="n">
        <v>20</v>
      </c>
      <c r="F145" s="17" t="inlineStr">
        <is>
          <t>Chaos</t>
        </is>
      </c>
      <c r="G145" s="16" t="n">
        <v>2</v>
      </c>
      <c r="H145" s="17" t="inlineStr">
        <is>
          <t>+5 ATK and DEF for each exposed Anima or Nature cards on foe’s side</t>
        </is>
      </c>
      <c r="I145" t="inlineStr">
        <is>
          <t>ATK&amp;DEF→ATK and DEF</t>
        </is>
      </c>
      <c r="J145" s="16" t="n"/>
      <c r="K145" s="16" t="n"/>
      <c r="L145" s="16">
        <f>(D145*6)+(E145*4)</f>
        <v/>
      </c>
      <c r="M145" s="16" t="n"/>
      <c r="N145" s="16" t="n"/>
      <c r="O145" s="16" t="n"/>
      <c r="P145" s="16" t="n"/>
      <c r="Q145" s="16" t="n"/>
    </row>
    <row r="146" ht="20.05" customHeight="1" s="47">
      <c r="A146" s="8" t="inlineStr">
        <is>
          <t>Dark Monk</t>
        </is>
      </c>
      <c r="B146" s="9" t="inlineStr">
        <is>
          <t>Unit</t>
        </is>
      </c>
      <c r="C146" s="16" t="n">
        <v>300</v>
      </c>
      <c r="D146" s="16" t="n">
        <v>15</v>
      </c>
      <c r="E146" s="16" t="n">
        <v>25</v>
      </c>
      <c r="F146" s="17" t="inlineStr">
        <is>
          <t>Chaos</t>
        </is>
      </c>
      <c r="G146" s="16" t="n">
        <v>2</v>
      </c>
      <c r="H146" s="17" t="inlineStr">
        <is>
          <t>None</t>
        </is>
      </c>
      <c r="J146" s="16" t="n"/>
      <c r="K146" s="17" t="inlineStr">
        <is>
          <t>Yes</t>
        </is>
      </c>
      <c r="L146" s="16">
        <f>(D146*6)+(E146*4)</f>
        <v/>
      </c>
      <c r="M146" s="17" t="inlineStr">
        <is>
          <t>Yes</t>
        </is>
      </c>
      <c r="N146" s="16" t="n"/>
      <c r="O146" s="16" t="n"/>
      <c r="P146" s="17" t="inlineStr">
        <is>
          <t>Yes</t>
        </is>
      </c>
      <c r="Q146" s="16" t="n"/>
    </row>
    <row r="147" ht="20.05" customHeight="1" s="47">
      <c r="A147" s="8" t="inlineStr">
        <is>
          <t>Yaksa</t>
        </is>
      </c>
      <c r="B147" s="9" t="inlineStr">
        <is>
          <t>Unit</t>
        </is>
      </c>
      <c r="C147" s="16" t="n">
        <v>500</v>
      </c>
      <c r="D147" s="16" t="n">
        <v>30</v>
      </c>
      <c r="E147" s="16" t="n">
        <v>30</v>
      </c>
      <c r="F147" s="17" t="inlineStr">
        <is>
          <t>Chaos</t>
        </is>
      </c>
      <c r="G147" s="16" t="n">
        <v>2</v>
      </c>
      <c r="H147" s="17" t="inlineStr">
        <is>
          <t>None</t>
        </is>
      </c>
      <c r="J147" s="16" t="n"/>
      <c r="K147" s="17" t="inlineStr">
        <is>
          <t>Yes</t>
        </is>
      </c>
      <c r="L147" s="16">
        <f>(D147*6)+(E147*4)</f>
        <v/>
      </c>
      <c r="M147" s="17" t="inlineStr">
        <is>
          <t>Yes</t>
        </is>
      </c>
      <c r="N147" s="16" t="n"/>
      <c r="O147" s="16" t="n"/>
      <c r="P147" s="16" t="n"/>
      <c r="Q147" s="17" t="inlineStr">
        <is>
          <t>Yes</t>
        </is>
      </c>
    </row>
    <row r="148" ht="20.05" customHeight="1" s="47">
      <c r="A148" s="8" t="inlineStr">
        <is>
          <t>Demon Spawn</t>
        </is>
      </c>
      <c r="B148" s="9" t="inlineStr">
        <is>
          <t>Unit</t>
        </is>
      </c>
      <c r="C148" s="16" t="n">
        <v>400</v>
      </c>
      <c r="D148" s="16" t="n">
        <v>40</v>
      </c>
      <c r="E148" s="16" t="n">
        <v>30</v>
      </c>
      <c r="F148" s="17" t="inlineStr">
        <is>
          <t>Chaos</t>
        </is>
      </c>
      <c r="G148" s="16" t="n">
        <v>2</v>
      </c>
      <c r="H148" s="17" t="inlineStr">
        <is>
          <t>None</t>
        </is>
      </c>
      <c r="J148" s="16" t="n"/>
      <c r="K148" s="17" t="inlineStr">
        <is>
          <t>Yes</t>
        </is>
      </c>
      <c r="L148" s="16">
        <f>(D148*6)+(E148*4)</f>
        <v/>
      </c>
      <c r="M148" s="17" t="inlineStr">
        <is>
          <t>Yes</t>
        </is>
      </c>
      <c r="N148" s="16" t="n"/>
      <c r="O148" s="16" t="n"/>
      <c r="P148" s="17" t="inlineStr">
        <is>
          <t>Yes</t>
        </is>
      </c>
      <c r="Q148" s="16" t="n"/>
    </row>
    <row r="149" ht="20.05" customHeight="1" s="47">
      <c r="A149" s="8" t="inlineStr">
        <is>
          <t>Skeleton Archer</t>
        </is>
      </c>
      <c r="B149" s="9" t="inlineStr">
        <is>
          <t>Unit</t>
        </is>
      </c>
      <c r="C149" s="16" t="n">
        <v>300</v>
      </c>
      <c r="D149" s="16" t="n">
        <v>35</v>
      </c>
      <c r="E149" s="16" t="n">
        <v>5</v>
      </c>
      <c r="F149" s="17" t="inlineStr">
        <is>
          <t>Chaos</t>
        </is>
      </c>
      <c r="G149" s="16" t="n">
        <v>2</v>
      </c>
      <c r="H149" s="17" t="inlineStr">
        <is>
          <t>+5 ATK vs face-down Defender</t>
        </is>
      </c>
      <c r="J149" s="16" t="n"/>
      <c r="K149" s="17" t="inlineStr">
        <is>
          <t>Yes</t>
        </is>
      </c>
      <c r="L149" s="16">
        <f>(D149*6)+(E149*4)</f>
        <v/>
      </c>
      <c r="M149" s="17" t="inlineStr">
        <is>
          <t>Yes</t>
        </is>
      </c>
      <c r="N149" s="16" t="n"/>
      <c r="O149" s="17" t="inlineStr">
        <is>
          <t>Yes</t>
        </is>
      </c>
      <c r="P149" s="16" t="n"/>
      <c r="Q149" s="16" t="n"/>
    </row>
    <row r="150" ht="20.05" customHeight="1" s="47">
      <c r="A150" s="8" t="inlineStr">
        <is>
          <t>Skeleton Lancer</t>
        </is>
      </c>
      <c r="B150" s="9" t="inlineStr">
        <is>
          <t>Unit</t>
        </is>
      </c>
      <c r="C150" s="16" t="n">
        <v>300</v>
      </c>
      <c r="D150" s="16" t="n">
        <v>45</v>
      </c>
      <c r="E150" s="16" t="n">
        <v>5</v>
      </c>
      <c r="F150" s="17" t="inlineStr">
        <is>
          <t>Chaos</t>
        </is>
      </c>
      <c r="G150" s="16" t="n">
        <v>2</v>
      </c>
      <c r="H150" s="17" t="inlineStr">
        <is>
          <t>None</t>
        </is>
      </c>
      <c r="J150" s="16" t="n"/>
      <c r="K150" s="17" t="inlineStr">
        <is>
          <t>Yes</t>
        </is>
      </c>
      <c r="L150" s="16">
        <f>(D150*6)+(E150*4)</f>
        <v/>
      </c>
      <c r="M150" s="17" t="inlineStr">
        <is>
          <t>Yes</t>
        </is>
      </c>
      <c r="N150" s="16" t="n"/>
      <c r="O150" s="17" t="inlineStr">
        <is>
          <t>Yes</t>
        </is>
      </c>
      <c r="P150" s="16" t="n"/>
      <c r="Q150" s="16" t="n"/>
    </row>
    <row r="151" ht="32.05" customHeight="1" s="47">
      <c r="A151" s="8" t="inlineStr">
        <is>
          <t>Dark Blob</t>
        </is>
      </c>
      <c r="B151" s="9" t="inlineStr">
        <is>
          <t>Unit</t>
        </is>
      </c>
      <c r="C151" s="16" t="n">
        <v>500</v>
      </c>
      <c r="D151" s="16" t="n">
        <v>20</v>
      </c>
      <c r="E151" s="16" t="n">
        <v>50</v>
      </c>
      <c r="F151" s="17" t="inlineStr">
        <is>
          <t>Chaos</t>
        </is>
      </c>
      <c r="G151" s="16" t="n">
        <v>2</v>
      </c>
      <c r="H151" s="17" t="inlineStr">
        <is>
          <t>After Reckoning: +5 ATK at the end of foe’s turn</t>
        </is>
      </c>
      <c r="J151" s="16" t="n"/>
      <c r="K151" s="17" t="inlineStr">
        <is>
          <t>Yes</t>
        </is>
      </c>
      <c r="L151" s="16">
        <f>(D151*6)+(E151*4)</f>
        <v/>
      </c>
      <c r="M151" s="17" t="inlineStr">
        <is>
          <t>Yes</t>
        </is>
      </c>
      <c r="N151" s="16" t="n"/>
      <c r="O151" s="16" t="n"/>
      <c r="P151" s="17" t="inlineStr">
        <is>
          <t>Yes</t>
        </is>
      </c>
      <c r="Q151" s="16" t="n"/>
    </row>
    <row r="152" ht="20.05" customHeight="1" s="47">
      <c r="A152" s="8" t="inlineStr">
        <is>
          <t>Rotten Dog</t>
        </is>
      </c>
      <c r="B152" s="9" t="inlineStr">
        <is>
          <t>Unit</t>
        </is>
      </c>
      <c r="C152" s="16" t="n">
        <v>200</v>
      </c>
      <c r="D152" s="16" t="n">
        <v>25</v>
      </c>
      <c r="E152" s="16" t="n">
        <v>15</v>
      </c>
      <c r="F152" s="17" t="inlineStr">
        <is>
          <t>Chaos</t>
        </is>
      </c>
      <c r="G152" s="16" t="n">
        <v>2</v>
      </c>
      <c r="H152" s="17" t="inlineStr">
        <is>
          <t>None</t>
        </is>
      </c>
      <c r="J152" s="16" t="n"/>
      <c r="K152" s="16" t="n"/>
      <c r="L152" s="16">
        <f>(D152*6)+(E152*4)</f>
        <v/>
      </c>
      <c r="M152" s="16" t="n"/>
      <c r="N152" s="16" t="n"/>
      <c r="O152" s="16" t="n"/>
      <c r="P152" s="16" t="n"/>
      <c r="Q152" s="16" t="n"/>
    </row>
    <row r="153" ht="32.05" customHeight="1" s="47">
      <c r="A153" s="8" t="inlineStr">
        <is>
          <t>Grave Worm</t>
        </is>
      </c>
      <c r="B153" s="9" t="inlineStr">
        <is>
          <t>Unit</t>
        </is>
      </c>
      <c r="C153" s="16" t="n">
        <v>250</v>
      </c>
      <c r="D153" s="16" t="n">
        <v>15</v>
      </c>
      <c r="E153" s="16" t="n">
        <v>30</v>
      </c>
      <c r="F153" s="17" t="inlineStr">
        <is>
          <t>Chaos</t>
        </is>
      </c>
      <c r="G153" s="16" t="n">
        <v>2</v>
      </c>
      <c r="H153" s="17" t="inlineStr">
        <is>
          <t>Each time foe loses Crystal: foe loses 20 more Crystals</t>
        </is>
      </c>
      <c r="I153" t="inlineStr">
        <is>
          <t>wording polish</t>
        </is>
      </c>
      <c r="J153" s="16" t="n"/>
      <c r="K153" s="17" t="inlineStr">
        <is>
          <t>Yes</t>
        </is>
      </c>
      <c r="L153" s="16">
        <f>(D153*6)+(E153*4)</f>
        <v/>
      </c>
      <c r="M153" s="17" t="inlineStr">
        <is>
          <t>Yes</t>
        </is>
      </c>
      <c r="N153" s="16" t="n"/>
      <c r="O153" s="16" t="n"/>
      <c r="P153" s="17" t="inlineStr">
        <is>
          <t>Yes</t>
        </is>
      </c>
      <c r="Q153" s="16" t="n"/>
    </row>
    <row r="154" ht="20.05" customHeight="1" s="47">
      <c r="A154" s="8" t="inlineStr">
        <is>
          <t>Coffin Spider</t>
        </is>
      </c>
      <c r="B154" s="9" t="inlineStr">
        <is>
          <t>Unit</t>
        </is>
      </c>
      <c r="C154" s="16" t="n">
        <v>250</v>
      </c>
      <c r="D154" s="16" t="n">
        <v>25</v>
      </c>
      <c r="E154" s="16" t="n">
        <v>25</v>
      </c>
      <c r="F154" s="17" t="inlineStr">
        <is>
          <t>Chaos</t>
        </is>
      </c>
      <c r="G154" s="16" t="n">
        <v>2</v>
      </c>
      <c r="H154" s="17" t="inlineStr">
        <is>
          <t>None</t>
        </is>
      </c>
      <c r="J154" s="16" t="n"/>
      <c r="K154" s="16" t="n"/>
      <c r="L154" s="16">
        <f>(D154*6)+(E154*4)</f>
        <v/>
      </c>
      <c r="M154" s="16" t="n"/>
      <c r="N154" s="16" t="n"/>
      <c r="O154" s="16" t="n"/>
      <c r="P154" s="16" t="n"/>
      <c r="Q154" s="16" t="n"/>
    </row>
    <row r="155" ht="32.05" customHeight="1" s="47">
      <c r="A155" s="8" t="inlineStr">
        <is>
          <t>Mysterious Miner</t>
        </is>
      </c>
      <c r="B155" s="9" t="inlineStr">
        <is>
          <t>Unit</t>
        </is>
      </c>
      <c r="C155" s="16" t="n">
        <v>250</v>
      </c>
      <c r="D155" s="16" t="n">
        <v>25</v>
      </c>
      <c r="E155" s="16" t="n">
        <v>15</v>
      </c>
      <c r="F155" s="17" t="inlineStr">
        <is>
          <t>Chaos</t>
        </is>
      </c>
      <c r="G155" s="16" t="n">
        <v>2</v>
      </c>
      <c r="H155" s="17" t="inlineStr">
        <is>
          <t>After attacked: reveal 1 foe’s cell</t>
        </is>
      </c>
      <c r="J155" s="16" t="n"/>
      <c r="K155" s="17" t="inlineStr">
        <is>
          <t>Yes</t>
        </is>
      </c>
      <c r="L155" s="16">
        <f>(D155*6)+(E155*4)</f>
        <v/>
      </c>
      <c r="M155" s="17" t="inlineStr">
        <is>
          <t>Yes</t>
        </is>
      </c>
      <c r="N155" s="16" t="n"/>
      <c r="O155" s="16" t="n"/>
      <c r="P155" s="16" t="n"/>
      <c r="Q155" s="17" t="inlineStr">
        <is>
          <t>Yes</t>
        </is>
      </c>
    </row>
    <row r="156" ht="20.05" customHeight="1" s="47">
      <c r="A156" s="8" t="inlineStr">
        <is>
          <t>Staircase Lady</t>
        </is>
      </c>
      <c r="B156" s="9" t="inlineStr">
        <is>
          <t>Unit</t>
        </is>
      </c>
      <c r="C156" s="16" t="n">
        <v>180</v>
      </c>
      <c r="D156" s="16" t="n">
        <v>30</v>
      </c>
      <c r="E156" s="16" t="n">
        <v>0</v>
      </c>
      <c r="F156" s="17" t="inlineStr">
        <is>
          <t>Chaos</t>
        </is>
      </c>
      <c r="G156" s="16" t="n">
        <v>2</v>
      </c>
      <c r="H156" s="17" t="inlineStr">
        <is>
          <t>None</t>
        </is>
      </c>
      <c r="J156" s="16" t="n"/>
      <c r="K156" s="17" t="inlineStr">
        <is>
          <t>Yes</t>
        </is>
      </c>
      <c r="L156" s="16">
        <f>(D156*6)+(E156*4)</f>
        <v/>
      </c>
      <c r="M156" s="17" t="inlineStr">
        <is>
          <t>Yes</t>
        </is>
      </c>
      <c r="N156" s="16" t="n"/>
      <c r="O156" s="16" t="n"/>
      <c r="P156" s="17" t="inlineStr">
        <is>
          <t>Yes</t>
        </is>
      </c>
      <c r="Q156" s="16" t="n"/>
    </row>
    <row r="157" ht="32.05" customHeight="1" s="47">
      <c r="A157" s="8" t="inlineStr">
        <is>
          <t>Feral Vampire</t>
        </is>
      </c>
      <c r="B157" s="9" t="inlineStr">
        <is>
          <t>Unit</t>
        </is>
      </c>
      <c r="C157" s="16" t="n">
        <v>400</v>
      </c>
      <c r="D157" s="16" t="n">
        <v>40</v>
      </c>
      <c r="E157" s="16" t="n">
        <v>25</v>
      </c>
      <c r="F157" s="17" t="inlineStr">
        <is>
          <t>Chaos</t>
        </is>
      </c>
      <c r="G157" s="16" t="n">
        <v>2</v>
      </c>
      <c r="H157" s="17" t="inlineStr">
        <is>
          <t>In Reckoning with Divine, destroy this card</t>
        </is>
      </c>
      <c r="J157" s="16" t="n"/>
      <c r="K157" s="17" t="inlineStr">
        <is>
          <t>Yes</t>
        </is>
      </c>
      <c r="L157" s="16">
        <f>(D157*6)+(E157*4)</f>
        <v/>
      </c>
      <c r="M157" s="17" t="inlineStr">
        <is>
          <t>Yes</t>
        </is>
      </c>
      <c r="N157" s="16" t="n"/>
      <c r="O157" s="16" t="n"/>
      <c r="P157" s="17" t="inlineStr">
        <is>
          <t>Yes</t>
        </is>
      </c>
      <c r="Q157" s="16" t="n"/>
    </row>
    <row r="158" ht="56.05" customHeight="1" s="47">
      <c r="A158" s="8" t="inlineStr">
        <is>
          <t>Laughing Granny</t>
        </is>
      </c>
      <c r="B158" s="9" t="inlineStr">
        <is>
          <t>Unit</t>
        </is>
      </c>
      <c r="C158" s="16" t="n">
        <v>350</v>
      </c>
      <c r="D158" s="16" t="n">
        <v>15</v>
      </c>
      <c r="E158" s="16" t="n">
        <v>20</v>
      </c>
      <c r="F158" s="17" t="inlineStr">
        <is>
          <t>Chaos</t>
        </is>
      </c>
      <c r="G158" s="16" t="n">
        <v>2</v>
      </c>
      <c r="H158" s="17" t="inlineStr">
        <is>
          <t>Once when defending, +10 DEF until end of turn. Once when attacking, +10 ATK until end of turn</t>
        </is>
      </c>
      <c r="J158" s="16" t="n"/>
      <c r="K158" s="17" t="inlineStr">
        <is>
          <t>Yes</t>
        </is>
      </c>
      <c r="L158" s="16">
        <f>(D158*6)+(E158*4)</f>
        <v/>
      </c>
      <c r="M158" s="17" t="inlineStr">
        <is>
          <t>Yes</t>
        </is>
      </c>
      <c r="N158" s="16" t="n"/>
      <c r="O158" s="17" t="inlineStr">
        <is>
          <t>Yes</t>
        </is>
      </c>
      <c r="P158" s="16" t="n"/>
      <c r="Q158" s="17" t="inlineStr">
        <is>
          <t>Yes</t>
        </is>
      </c>
    </row>
    <row r="159" ht="32.05" customHeight="1" s="47">
      <c r="A159" s="8" t="inlineStr">
        <is>
          <t>Silent Stabber</t>
        </is>
      </c>
      <c r="B159" s="9" t="inlineStr">
        <is>
          <t>Unit</t>
        </is>
      </c>
      <c r="C159" s="16" t="n">
        <v>280</v>
      </c>
      <c r="D159" s="16" t="n">
        <v>40</v>
      </c>
      <c r="E159" s="16" t="n">
        <v>10</v>
      </c>
      <c r="F159" s="17" t="inlineStr">
        <is>
          <t>Chaos</t>
        </is>
      </c>
      <c r="G159" s="16" t="n">
        <v>2</v>
      </c>
      <c r="H159" s="17" t="inlineStr">
        <is>
          <t>Once: at the end of Exposed turn, halve its attack.</t>
        </is>
      </c>
      <c r="I159" t="inlineStr">
        <is>
          <t>wording polish</t>
        </is>
      </c>
      <c r="J159" s="16" t="n"/>
      <c r="K159" s="16" t="n"/>
      <c r="L159" s="16">
        <f>(D159*6)+(E159*4)</f>
        <v/>
      </c>
      <c r="M159" s="16" t="n"/>
      <c r="N159" s="16" t="n"/>
      <c r="O159" s="16" t="n"/>
      <c r="P159" s="16" t="n"/>
      <c r="Q159" s="16" t="n"/>
    </row>
    <row r="160" ht="32.05" customHeight="1" s="47">
      <c r="A160" s="8" t="inlineStr">
        <is>
          <t>Mad Familiar</t>
        </is>
      </c>
      <c r="B160" s="9" t="inlineStr">
        <is>
          <t>Unit</t>
        </is>
      </c>
      <c r="C160" s="16" t="n">
        <v>180</v>
      </c>
      <c r="D160" s="16" t="n">
        <v>25</v>
      </c>
      <c r="E160" s="16" t="n">
        <v>0</v>
      </c>
      <c r="F160" s="17" t="inlineStr">
        <is>
          <t>Chaos</t>
        </is>
      </c>
      <c r="G160" s="16" t="n">
        <v>2</v>
      </c>
      <c r="H160" s="17" t="inlineStr">
        <is>
          <t>This card is unaffected by 0-cost traps</t>
        </is>
      </c>
      <c r="I160" t="inlineStr">
        <is>
          <t>0 cost→0-cost</t>
        </is>
      </c>
      <c r="J160" s="16" t="n"/>
      <c r="K160" s="16" t="n"/>
      <c r="L160" s="16">
        <f>(D160*6)+(E160*4)</f>
        <v/>
      </c>
      <c r="M160" s="16" t="n"/>
      <c r="N160" s="16" t="n"/>
      <c r="O160" s="16" t="n"/>
      <c r="P160" s="16" t="n"/>
      <c r="Q160" s="16" t="n"/>
    </row>
    <row r="161" ht="20.05" customHeight="1" s="47">
      <c r="A161" s="8" t="inlineStr">
        <is>
          <t>Unearthed Warrior</t>
        </is>
      </c>
      <c r="B161" s="9" t="inlineStr">
        <is>
          <t>Unit</t>
        </is>
      </c>
      <c r="C161" s="16" t="n">
        <v>500</v>
      </c>
      <c r="D161" s="16" t="n">
        <v>50</v>
      </c>
      <c r="E161" s="16" t="n">
        <v>50</v>
      </c>
      <c r="F161" s="17" t="inlineStr">
        <is>
          <t>Chaos</t>
        </is>
      </c>
      <c r="G161" s="16" t="n">
        <v>3</v>
      </c>
      <c r="H161" s="17" t="inlineStr">
        <is>
          <t>None</t>
        </is>
      </c>
      <c r="J161" s="16" t="n"/>
      <c r="K161" s="16" t="n"/>
      <c r="L161" s="16">
        <f>(D161*6)+(E161*4)</f>
        <v/>
      </c>
      <c r="M161" s="16" t="n"/>
      <c r="N161" s="16" t="n"/>
      <c r="O161" s="16" t="n"/>
      <c r="P161" s="16" t="n"/>
      <c r="Q161" s="16" t="n"/>
    </row>
    <row r="162" ht="32.05" customHeight="1" s="47">
      <c r="A162" s="8" t="inlineStr">
        <is>
          <t>Mello the Hooded Killer</t>
        </is>
      </c>
      <c r="B162" s="9" t="inlineStr">
        <is>
          <t>Unit</t>
        </is>
      </c>
      <c r="C162" s="16" t="n">
        <v>600</v>
      </c>
      <c r="D162" s="16" t="n">
        <v>80</v>
      </c>
      <c r="E162" s="16" t="n">
        <v>40</v>
      </c>
      <c r="F162" s="17" t="inlineStr">
        <is>
          <t>Chaos</t>
        </is>
      </c>
      <c r="G162" s="16" t="n">
        <v>3</v>
      </c>
      <c r="H162" s="17" t="inlineStr">
        <is>
          <t>Once: at the end of Exposed turn, halve its attack.</t>
        </is>
      </c>
      <c r="I162" t="inlineStr">
        <is>
          <t>wording polish</t>
        </is>
      </c>
      <c r="J162" s="16" t="n"/>
      <c r="K162" s="16" t="n"/>
      <c r="L162" s="16">
        <f>(D162*6)+(E162*4)</f>
        <v/>
      </c>
      <c r="M162" s="16" t="n"/>
      <c r="N162" s="16" t="n"/>
      <c r="O162" s="16" t="n"/>
      <c r="P162" s="16" t="n"/>
      <c r="Q162" s="16" t="n"/>
    </row>
    <row r="163" ht="20.05" customHeight="1" s="47">
      <c r="A163" s="8" t="inlineStr">
        <is>
          <t>Tall Black Coat</t>
        </is>
      </c>
      <c r="B163" s="9" t="inlineStr">
        <is>
          <t>Unit</t>
        </is>
      </c>
      <c r="C163" s="16" t="n">
        <v>550</v>
      </c>
      <c r="D163" s="16" t="n">
        <v>55</v>
      </c>
      <c r="E163" s="16" t="n">
        <v>40</v>
      </c>
      <c r="F163" s="17" t="inlineStr">
        <is>
          <t>Chaos</t>
        </is>
      </c>
      <c r="G163" s="16" t="n">
        <v>3</v>
      </c>
      <c r="H163" s="17" t="inlineStr">
        <is>
          <t>None</t>
        </is>
      </c>
      <c r="J163" s="16" t="n"/>
      <c r="K163" s="16" t="n"/>
      <c r="L163" s="16">
        <f>(D163*6)+(E163*4)</f>
        <v/>
      </c>
      <c r="M163" s="16" t="n"/>
      <c r="N163" s="16" t="n"/>
      <c r="O163" s="16" t="n"/>
      <c r="P163" s="16" t="n"/>
      <c r="Q163" s="16" t="n"/>
    </row>
    <row r="164" ht="32.05" customHeight="1" s="47">
      <c r="A164" s="8" t="inlineStr">
        <is>
          <t>Lady at the Station</t>
        </is>
      </c>
      <c r="B164" s="9" t="inlineStr">
        <is>
          <t>Unit</t>
        </is>
      </c>
      <c r="C164" s="16" t="n">
        <v>700</v>
      </c>
      <c r="D164" s="16" t="n">
        <v>30</v>
      </c>
      <c r="E164" s="16" t="n">
        <v>90</v>
      </c>
      <c r="F164" s="17" t="inlineStr">
        <is>
          <t>Chaos</t>
        </is>
      </c>
      <c r="G164" s="16" t="n">
        <v>3</v>
      </c>
      <c r="H164" s="17" t="inlineStr">
        <is>
          <t>None</t>
        </is>
      </c>
      <c r="J164" s="16" t="n"/>
      <c r="K164" s="16" t="n"/>
      <c r="L164" s="16">
        <f>(D164*6)+(E164*4)</f>
        <v/>
      </c>
      <c r="M164" s="16" t="n"/>
      <c r="N164" s="16" t="n"/>
      <c r="O164" s="16" t="n"/>
      <c r="P164" s="16" t="n"/>
      <c r="Q164" s="16" t="n"/>
    </row>
    <row r="165" ht="56.05" customHeight="1" s="47">
      <c r="A165" s="8" t="inlineStr">
        <is>
          <t>Vampire Duchess</t>
        </is>
      </c>
      <c r="B165" s="9" t="inlineStr">
        <is>
          <t>Unit</t>
        </is>
      </c>
      <c r="C165" s="16" t="n">
        <v>800</v>
      </c>
      <c r="D165" s="16" t="n">
        <v>50</v>
      </c>
      <c r="E165" s="16" t="n">
        <v>50</v>
      </c>
      <c r="F165" s="17" t="inlineStr">
        <is>
          <t>Chaos</t>
        </is>
      </c>
      <c r="G165" s="16" t="n">
        <v>3</v>
      </c>
      <c r="H165" s="17" t="inlineStr">
        <is>
          <t>In Reckoning with Divine, destroy this card. In Reckoning with non-Divine, Drain 5 ATK and DEF permanently</t>
        </is>
      </c>
      <c r="I165" t="inlineStr">
        <is>
          <t>ATK&amp;DEF→ATK and DEF</t>
        </is>
      </c>
      <c r="J165" s="16" t="n"/>
      <c r="K165" s="17" t="inlineStr">
        <is>
          <t>Yes</t>
        </is>
      </c>
      <c r="L165" s="16">
        <f>(D165*6)+(E165*4)</f>
        <v/>
      </c>
      <c r="M165" s="17" t="inlineStr">
        <is>
          <t>Yes</t>
        </is>
      </c>
      <c r="N165" s="16" t="n"/>
      <c r="O165" s="16" t="n"/>
      <c r="P165" s="16" t="n"/>
      <c r="Q165" s="17" t="inlineStr">
        <is>
          <t>Yes</t>
        </is>
      </c>
    </row>
    <row r="166" ht="44.05" customHeight="1" s="47">
      <c r="A166" s="8" t="inlineStr">
        <is>
          <t>Tentacle Face</t>
        </is>
      </c>
      <c r="B166" s="9" t="inlineStr">
        <is>
          <t>Unit</t>
        </is>
      </c>
      <c r="C166" s="16" t="n">
        <v>900</v>
      </c>
      <c r="D166" s="16" t="n">
        <v>65</v>
      </c>
      <c r="E166" s="16" t="n">
        <v>60</v>
      </c>
      <c r="F166" s="17" t="inlineStr">
        <is>
          <t>Chaos</t>
        </is>
      </c>
      <c r="G166" s="16" t="n">
        <v>3</v>
      </c>
      <c r="H166" s="17" t="inlineStr">
        <is>
          <t>If the owner has 1000 or less Crystals, this card can attack twice.</t>
        </is>
      </c>
      <c r="I166" t="inlineStr">
        <is>
          <t>subject-verb grammar</t>
        </is>
      </c>
      <c r="J166" s="16" t="n"/>
      <c r="K166" s="16" t="n"/>
      <c r="L166" s="16">
        <f>(D166*6)+(E166*4)</f>
        <v/>
      </c>
      <c r="M166" s="16" t="n"/>
      <c r="N166" s="16" t="n"/>
      <c r="O166" s="16" t="n"/>
      <c r="P166" s="16" t="n"/>
      <c r="Q166" s="16" t="n"/>
    </row>
    <row r="167" ht="32.05" customHeight="1" s="47">
      <c r="A167" s="8" t="inlineStr">
        <is>
          <t>Mad Doctor</t>
        </is>
      </c>
      <c r="B167" s="9" t="inlineStr">
        <is>
          <t>Unit</t>
        </is>
      </c>
      <c r="C167" s="16" t="n">
        <v>700</v>
      </c>
      <c r="D167" s="16" t="n">
        <v>70</v>
      </c>
      <c r="E167" s="16" t="n">
        <v>50</v>
      </c>
      <c r="F167" s="17" t="inlineStr">
        <is>
          <t>Chaos</t>
        </is>
      </c>
      <c r="G167" s="16" t="n">
        <v>3</v>
      </c>
      <c r="H167" s="17" t="inlineStr">
        <is>
          <t>+50 Crystal whenever any player use Tech card</t>
        </is>
      </c>
      <c r="J167" s="16" t="n"/>
      <c r="K167" s="16" t="n"/>
      <c r="L167" s="16">
        <f>(D167*6)+(E167*4)</f>
        <v/>
      </c>
      <c r="M167" s="16" t="n"/>
      <c r="N167" s="16" t="n"/>
      <c r="O167" s="16" t="n"/>
      <c r="P167" s="16" t="n"/>
      <c r="Q167" s="16" t="n"/>
    </row>
    <row r="168" ht="32.05" customHeight="1" s="47">
      <c r="A168" s="8" t="inlineStr">
        <is>
          <t>Chainsaw Maniac</t>
        </is>
      </c>
      <c r="B168" s="9" t="inlineStr">
        <is>
          <t>Unit</t>
        </is>
      </c>
      <c r="C168" s="16" t="n">
        <v>400</v>
      </c>
      <c r="D168" s="16" t="n">
        <v>35</v>
      </c>
      <c r="E168" s="16" t="n">
        <v>35</v>
      </c>
      <c r="F168" s="17" t="inlineStr">
        <is>
          <t>Chaos</t>
        </is>
      </c>
      <c r="G168" s="16" t="n">
        <v>3</v>
      </c>
      <c r="H168" s="17" t="inlineStr">
        <is>
          <t>-25 ATK to the defending foe until the end of foe’s turn</t>
        </is>
      </c>
      <c r="J168" s="16" t="n"/>
      <c r="K168" s="16" t="n"/>
      <c r="L168" s="16">
        <f>(D168*6)+(E168*4)</f>
        <v/>
      </c>
      <c r="M168" s="16" t="n"/>
      <c r="N168" s="16" t="n"/>
      <c r="O168" s="16" t="n"/>
      <c r="P168" s="16" t="n"/>
      <c r="Q168" s="16" t="n"/>
    </row>
    <row r="169" ht="32.05" customHeight="1" s="47">
      <c r="A169" s="8" t="inlineStr">
        <is>
          <t>Red Devil</t>
        </is>
      </c>
      <c r="B169" s="9" t="inlineStr">
        <is>
          <t>Unit</t>
        </is>
      </c>
      <c r="C169" s="16" t="n">
        <v>750</v>
      </c>
      <c r="D169" s="16" t="n">
        <v>70</v>
      </c>
      <c r="E169" s="16" t="n">
        <v>60</v>
      </c>
      <c r="F169" s="17" t="inlineStr">
        <is>
          <t>Chaos</t>
        </is>
      </c>
      <c r="G169" s="16" t="n">
        <v>3</v>
      </c>
      <c r="H169" s="17" t="inlineStr">
        <is>
          <t>Immune to traps.</t>
        </is>
      </c>
      <c r="I169" t="inlineStr">
        <is>
          <t>Shortened immunity wording.</t>
        </is>
      </c>
      <c r="J169" s="16" t="n"/>
      <c r="K169" s="16" t="n"/>
      <c r="L169" s="16">
        <f>(D169*6)+(E169*4)</f>
        <v/>
      </c>
      <c r="M169" s="16" t="n"/>
      <c r="N169" s="16" t="n"/>
      <c r="O169" s="16" t="n"/>
      <c r="P169" s="16" t="n"/>
      <c r="Q169" s="16" t="n"/>
    </row>
    <row r="170" ht="32.05" customHeight="1" s="47">
      <c r="A170" s="8" t="inlineStr">
        <is>
          <t>Death Knight</t>
        </is>
      </c>
      <c r="B170" s="9" t="inlineStr">
        <is>
          <t>Unit</t>
        </is>
      </c>
      <c r="C170" s="16" t="n">
        <v>850</v>
      </c>
      <c r="D170" s="16" t="n">
        <v>65</v>
      </c>
      <c r="E170" s="16" t="n">
        <v>65</v>
      </c>
      <c r="F170" s="17" t="inlineStr">
        <is>
          <t>Chaos</t>
        </is>
      </c>
      <c r="G170" s="16" t="n">
        <v>3</v>
      </c>
      <c r="H170" s="17" t="inlineStr">
        <is>
          <t>+5 ATK per Chaos unit on their field</t>
        </is>
      </c>
      <c r="J170" s="16" t="n"/>
      <c r="K170" s="17" t="inlineStr">
        <is>
          <t>Yes</t>
        </is>
      </c>
      <c r="L170" s="16">
        <f>(D170*6)+(E170*4)</f>
        <v/>
      </c>
      <c r="M170" s="17" t="inlineStr">
        <is>
          <t>Yes</t>
        </is>
      </c>
      <c r="N170" s="16" t="n"/>
      <c r="O170" s="17" t="inlineStr">
        <is>
          <t>Yes</t>
        </is>
      </c>
      <c r="P170" s="16" t="n"/>
      <c r="Q170" s="16" t="n"/>
    </row>
    <row r="171" ht="20.05" customHeight="1" s="47">
      <c r="A171" s="8" t="inlineStr">
        <is>
          <t>Scissor Man</t>
        </is>
      </c>
      <c r="B171" s="9" t="inlineStr">
        <is>
          <t>Unit</t>
        </is>
      </c>
      <c r="C171" s="16" t="n">
        <v>450</v>
      </c>
      <c r="D171" s="16" t="n">
        <v>50</v>
      </c>
      <c r="E171" s="16" t="n">
        <v>35</v>
      </c>
      <c r="F171" s="17" t="inlineStr">
        <is>
          <t>Chaos</t>
        </is>
      </c>
      <c r="G171" s="16" t="n">
        <v>3</v>
      </c>
      <c r="H171" s="17" t="inlineStr">
        <is>
          <t>None</t>
        </is>
      </c>
      <c r="J171" s="16" t="n"/>
      <c r="K171" s="16" t="n"/>
      <c r="L171" s="16">
        <f>(D171*6)+(E171*4)</f>
        <v/>
      </c>
      <c r="M171" s="16" t="n"/>
      <c r="N171" s="16" t="n"/>
      <c r="O171" s="16" t="n"/>
      <c r="P171" s="16" t="n"/>
      <c r="Q171" s="16" t="n"/>
    </row>
    <row r="172" ht="32.05" customHeight="1" s="47">
      <c r="A172" s="8" t="inlineStr">
        <is>
          <t>Sinister Cultist</t>
        </is>
      </c>
      <c r="B172" s="9" t="inlineStr">
        <is>
          <t>Unit</t>
        </is>
      </c>
      <c r="C172" s="16" t="n">
        <v>450</v>
      </c>
      <c r="D172" s="16" t="n">
        <v>40</v>
      </c>
      <c r="E172" s="16" t="n">
        <v>30</v>
      </c>
      <c r="F172" s="17" t="inlineStr">
        <is>
          <t>Chaos</t>
        </is>
      </c>
      <c r="G172" s="16" t="n">
        <v>3</v>
      </c>
      <c r="H172" s="17" t="inlineStr">
        <is>
          <t>Whenever foe loses Crystal, they lose 100 more Crystals</t>
        </is>
      </c>
      <c r="I172" t="inlineStr">
        <is>
          <t>wording polish</t>
        </is>
      </c>
      <c r="J172" s="16" t="n"/>
      <c r="K172" s="16" t="n"/>
      <c r="L172" s="16">
        <f>(D172*6)+(E172*4)</f>
        <v/>
      </c>
      <c r="M172" s="16" t="n"/>
      <c r="N172" s="16" t="n"/>
      <c r="O172" s="16" t="n"/>
      <c r="P172" s="16" t="n"/>
      <c r="Q172" s="16" t="n"/>
    </row>
    <row r="173" ht="44.05" customHeight="1" s="47">
      <c r="A173" s="8" t="inlineStr">
        <is>
          <t>Nanami the Long Neck</t>
        </is>
      </c>
      <c r="B173" s="9" t="inlineStr">
        <is>
          <t>Unit</t>
        </is>
      </c>
      <c r="C173" s="16" t="n">
        <v>600</v>
      </c>
      <c r="D173" s="16" t="n">
        <v>45</v>
      </c>
      <c r="E173" s="16" t="n">
        <v>45</v>
      </c>
      <c r="F173" s="17" t="inlineStr">
        <is>
          <t>Chaos</t>
        </is>
      </c>
      <c r="G173" s="16" t="n">
        <v>4</v>
      </c>
      <c r="H173" s="17" t="inlineStr">
        <is>
          <t>Once Exposed: foe chooses 1 Tech; show it to owner.</t>
        </is>
      </c>
      <c r="I173" t="inlineStr">
        <is>
          <t>Grammar fix; final design.</t>
        </is>
      </c>
      <c r="J173" s="16" t="n"/>
      <c r="K173" s="16" t="n"/>
      <c r="L173" s="16">
        <f>(D173*6)+(E173*4)</f>
        <v/>
      </c>
      <c r="M173" s="16" t="n"/>
      <c r="N173" s="16" t="n"/>
      <c r="O173" s="16" t="n"/>
      <c r="P173" s="16" t="n"/>
      <c r="Q173" s="16" t="n"/>
    </row>
    <row r="174" ht="32.05" customHeight="1" s="47">
      <c r="A174" s="8" t="inlineStr">
        <is>
          <t>Flying Dutchman</t>
        </is>
      </c>
      <c r="B174" s="9" t="inlineStr">
        <is>
          <t>Unit</t>
        </is>
      </c>
      <c r="C174" s="16" t="n">
        <v>900</v>
      </c>
      <c r="D174" s="16" t="n">
        <v>90</v>
      </c>
      <c r="E174" s="16" t="n">
        <v>65</v>
      </c>
      <c r="F174" s="17" t="inlineStr">
        <is>
          <t>Chaos</t>
        </is>
      </c>
      <c r="G174" s="16" t="n">
        <v>4</v>
      </c>
      <c r="H174" s="17" t="inlineStr">
        <is>
          <t>This card is not affected by Tech</t>
        </is>
      </c>
      <c r="I174" t="inlineStr">
        <is>
          <t>wording polish</t>
        </is>
      </c>
      <c r="J174" s="16" t="n"/>
      <c r="K174" s="16" t="n"/>
      <c r="L174" s="16">
        <f>(D174*6)+(E174*4)</f>
        <v/>
      </c>
      <c r="M174" s="16" t="n"/>
      <c r="N174" s="16" t="n"/>
      <c r="O174" s="16" t="n"/>
      <c r="P174" s="16" t="n"/>
      <c r="Q174" s="16" t="n"/>
    </row>
    <row r="175" ht="32.05" customHeight="1" s="47">
      <c r="A175" s="8" t="inlineStr">
        <is>
          <t>Ice Lich</t>
        </is>
      </c>
      <c r="B175" s="9" t="inlineStr">
        <is>
          <t>Unit</t>
        </is>
      </c>
      <c r="C175" s="16" t="n">
        <v>1250</v>
      </c>
      <c r="D175" s="16" t="n">
        <v>80</v>
      </c>
      <c r="E175" s="16" t="n">
        <v>80</v>
      </c>
      <c r="F175" s="17" t="inlineStr">
        <is>
          <t>Chaos</t>
        </is>
      </c>
      <c r="G175" s="16" t="n">
        <v>4</v>
      </c>
      <c r="H175" s="17" t="inlineStr">
        <is>
          <t>+15 ATK and DEF for each Arcane card on its side.</t>
        </is>
      </c>
      <c r="I175" t="inlineStr">
        <is>
          <t>ATK&amp;DEF→ATK and DEF</t>
        </is>
      </c>
      <c r="J175" s="16" t="n"/>
      <c r="K175" s="16" t="n"/>
      <c r="L175" s="16">
        <f>(D175*6)+(E175*4)</f>
        <v/>
      </c>
      <c r="M175" s="16" t="n"/>
      <c r="N175" s="16" t="n"/>
      <c r="O175" s="16" t="n"/>
      <c r="P175" s="16" t="n"/>
      <c r="Q175" s="16" t="n"/>
    </row>
    <row r="176" ht="44.05" customHeight="1" s="47">
      <c r="A176" s="8" t="inlineStr">
        <is>
          <t>Dark Cavalier</t>
        </is>
      </c>
      <c r="B176" s="9" t="inlineStr">
        <is>
          <t>Unit</t>
        </is>
      </c>
      <c r="C176" s="16" t="n">
        <v>1500</v>
      </c>
      <c r="D176" s="16" t="n">
        <v>100</v>
      </c>
      <c r="E176" s="16" t="n">
        <v>60</v>
      </c>
      <c r="F176" s="17" t="inlineStr">
        <is>
          <t>Chaos</t>
        </is>
      </c>
      <c r="G176" s="16" t="n">
        <v>4</v>
      </c>
      <c r="H176" s="17" t="inlineStr">
        <is>
          <t>If this card has not performed attack, -20 ATK permanently at the end of their turn</t>
        </is>
      </c>
      <c r="J176" s="16" t="n"/>
      <c r="K176" s="16" t="n"/>
      <c r="L176" s="16">
        <f>(D176*6)+(E176*4)</f>
        <v/>
      </c>
      <c r="M176" s="16" t="n"/>
      <c r="N176" s="16" t="n"/>
      <c r="O176" s="16" t="n"/>
      <c r="P176" s="16" t="n"/>
      <c r="Q176" s="16" t="n"/>
    </row>
    <row r="177" ht="44.05" customHeight="1" s="47">
      <c r="A177" s="8" t="inlineStr">
        <is>
          <t>Blood Mage</t>
        </is>
      </c>
      <c r="B177" s="9" t="inlineStr">
        <is>
          <t>Unit</t>
        </is>
      </c>
      <c r="C177" s="16" t="n">
        <v>1300</v>
      </c>
      <c r="D177" s="16" t="n">
        <v>70</v>
      </c>
      <c r="E177" s="16" t="n">
        <v>90</v>
      </c>
      <c r="F177" s="17" t="inlineStr">
        <is>
          <t>Chaos</t>
        </is>
      </c>
      <c r="G177" s="16" t="n">
        <v>4</v>
      </c>
      <c r="H177" s="17" t="inlineStr">
        <is>
          <t>In Reckoning: owner can pay 2000 Crystals to destroy foe unit.</t>
        </is>
      </c>
      <c r="I177" t="inlineStr">
        <is>
          <t>wording polish</t>
        </is>
      </c>
      <c r="J177" s="16" t="n"/>
      <c r="K177" s="16" t="n"/>
      <c r="L177" s="16">
        <f>(D177*6)+(E177*4)</f>
        <v/>
      </c>
      <c r="M177" s="16" t="n"/>
      <c r="N177" s="16" t="n"/>
      <c r="O177" s="16" t="n"/>
      <c r="P177" s="16" t="n"/>
      <c r="Q177" s="16" t="n"/>
    </row>
    <row r="178" ht="20.05" customHeight="1" s="47">
      <c r="A178" s="8" t="inlineStr">
        <is>
          <t>Oni</t>
        </is>
      </c>
      <c r="B178" s="9" t="inlineStr">
        <is>
          <t>Unit</t>
        </is>
      </c>
      <c r="C178" s="16" t="n">
        <v>1200</v>
      </c>
      <c r="D178" s="16" t="n">
        <v>95</v>
      </c>
      <c r="E178" s="16" t="n">
        <v>80</v>
      </c>
      <c r="F178" s="17" t="inlineStr">
        <is>
          <t>Chaos</t>
        </is>
      </c>
      <c r="G178" s="16" t="n">
        <v>4</v>
      </c>
      <c r="H178" s="17" t="inlineStr">
        <is>
          <t>None</t>
        </is>
      </c>
      <c r="J178" s="16" t="n"/>
      <c r="K178" s="16" t="n"/>
      <c r="L178" s="16">
        <f>(D178*6)+(E178*4)</f>
        <v/>
      </c>
      <c r="M178" s="16" t="n"/>
      <c r="N178" s="16" t="n"/>
      <c r="O178" s="16" t="n"/>
      <c r="P178" s="16" t="n"/>
      <c r="Q178" s="16" t="n"/>
    </row>
    <row r="179" ht="56.05" customHeight="1" s="47">
      <c r="A179" s="8" t="inlineStr">
        <is>
          <t>Nostra the Necromancer</t>
        </is>
      </c>
      <c r="B179" s="9" t="inlineStr">
        <is>
          <t>Unit</t>
        </is>
      </c>
      <c r="C179" s="16" t="n">
        <v>1700</v>
      </c>
      <c r="D179" s="16" t="n">
        <v>65</v>
      </c>
      <c r="E179" s="16" t="n">
        <v>65</v>
      </c>
      <c r="F179" s="17" t="inlineStr">
        <is>
          <t>Chaos</t>
        </is>
      </c>
      <c r="G179" s="16" t="n">
        <v>5</v>
      </c>
      <c r="H179" s="17" t="inlineStr">
        <is>
          <t>Once: whenever an ally unit with 600 or less cost is destroyed, revive that unit. Usable face-down</t>
        </is>
      </c>
      <c r="I179" t="inlineStr">
        <is>
          <t>wording polish</t>
        </is>
      </c>
      <c r="J179" s="16" t="n"/>
      <c r="K179" s="16" t="n"/>
      <c r="L179" s="16">
        <f>(D179*6)+(E179*4)</f>
        <v/>
      </c>
      <c r="M179" s="16" t="n"/>
      <c r="N179" s="16" t="n"/>
      <c r="O179" s="16" t="n"/>
      <c r="P179" s="16" t="n"/>
      <c r="Q179" s="16" t="n"/>
    </row>
    <row r="180" ht="44.05" customHeight="1" s="47">
      <c r="A180" s="8" t="inlineStr">
        <is>
          <t>Bone Dragon</t>
        </is>
      </c>
      <c r="B180" s="9" t="inlineStr">
        <is>
          <t>Unit</t>
        </is>
      </c>
      <c r="C180" s="16" t="n">
        <v>1550</v>
      </c>
      <c r="D180" s="16" t="n">
        <v>135</v>
      </c>
      <c r="E180" s="16" t="n">
        <v>0</v>
      </c>
      <c r="F180" s="17" t="inlineStr">
        <is>
          <t>Chaos</t>
        </is>
      </c>
      <c r="G180" s="16" t="n">
        <v>5</v>
      </c>
      <c r="H180" s="17" t="inlineStr">
        <is>
          <t>When it’s destroyed, at the end of foe’s turn, flip a coin. Heads: revive it.</t>
        </is>
      </c>
      <c r="I180" t="inlineStr">
        <is>
          <t>Head→Heads</t>
        </is>
      </c>
      <c r="J180" s="16" t="n"/>
      <c r="K180" s="16" t="n"/>
      <c r="L180" s="16">
        <f>(D180*6)+(E180*4)</f>
        <v/>
      </c>
      <c r="M180" s="16" t="n"/>
      <c r="N180" s="16" t="n"/>
      <c r="O180" s="16" t="n"/>
      <c r="P180" s="16" t="n"/>
      <c r="Q180" s="16" t="n"/>
    </row>
    <row r="181" ht="32.05" customHeight="1" s="47">
      <c r="A181" s="8" t="inlineStr">
        <is>
          <t>Eldritch Overlord</t>
        </is>
      </c>
      <c r="B181" s="9" t="inlineStr">
        <is>
          <t>Unit</t>
        </is>
      </c>
      <c r="C181" s="16" t="n">
        <v>1700</v>
      </c>
      <c r="D181" s="16" t="n">
        <v>140</v>
      </c>
      <c r="E181" s="16" t="n">
        <v>140</v>
      </c>
      <c r="F181" s="17" t="inlineStr">
        <is>
          <t>Chaos</t>
        </is>
      </c>
      <c r="G181" s="16" t="n">
        <v>5</v>
      </c>
      <c r="H181" s="17" t="inlineStr">
        <is>
          <t>+10 ATK for each card in foe’s void</t>
        </is>
      </c>
      <c r="J181" s="16" t="n"/>
      <c r="K181" s="16" t="n"/>
      <c r="L181" s="16">
        <f>(D181*6)+(E181*4)</f>
        <v/>
      </c>
      <c r="M181" s="16" t="n"/>
      <c r="N181" s="16" t="n"/>
      <c r="O181" s="16" t="n"/>
      <c r="P181" s="16" t="n"/>
      <c r="Q181" s="16" t="n"/>
    </row>
    <row r="182" ht="32.05" customHeight="1" s="47">
      <c r="A182" s="8" t="inlineStr">
        <is>
          <t>Azaxuna the Fallen</t>
        </is>
      </c>
      <c r="B182" s="9" t="inlineStr">
        <is>
          <t>Unit</t>
        </is>
      </c>
      <c r="C182" s="16" t="n">
        <v>1500</v>
      </c>
      <c r="D182" s="16" t="n">
        <v>90</v>
      </c>
      <c r="E182" s="16" t="n">
        <v>90</v>
      </c>
      <c r="F182" s="17" t="inlineStr">
        <is>
          <t>Divine</t>
        </is>
      </c>
      <c r="G182" s="16" t="n">
        <v>5</v>
      </c>
      <c r="H182" s="17" t="inlineStr">
        <is>
          <t>+20 ATK and DEF for each Chaos card on its side.</t>
        </is>
      </c>
      <c r="I182" t="inlineStr">
        <is>
          <t>ATK&amp;DEF→ATK and DEF</t>
        </is>
      </c>
      <c r="J182" s="16" t="n"/>
      <c r="K182" s="16" t="n"/>
      <c r="L182" s="16">
        <f>(D182*6)+(E182*4)</f>
        <v/>
      </c>
      <c r="M182" s="16" t="n"/>
      <c r="N182" s="16" t="n"/>
      <c r="O182" s="16" t="n"/>
      <c r="P182" s="16" t="n"/>
      <c r="Q182" s="16" t="n"/>
    </row>
    <row r="183" ht="20.05" customHeight="1" s="47">
      <c r="A183" s="8" t="inlineStr">
        <is>
          <t>Elegant Butterfly</t>
        </is>
      </c>
      <c r="B183" s="9" t="inlineStr">
        <is>
          <t>Unit</t>
        </is>
      </c>
      <c r="C183" s="16" t="n">
        <v>150</v>
      </c>
      <c r="D183" s="16" t="n">
        <v>10</v>
      </c>
      <c r="E183" s="16" t="n">
        <v>10</v>
      </c>
      <c r="F183" s="17" t="inlineStr">
        <is>
          <t>Nature</t>
        </is>
      </c>
      <c r="G183" s="16" t="n">
        <v>1</v>
      </c>
      <c r="H183" s="17" t="inlineStr">
        <is>
          <t>Once: this card is not destroyed</t>
        </is>
      </c>
      <c r="I183" t="inlineStr">
        <is>
          <t>wording polish</t>
        </is>
      </c>
      <c r="J183" s="16" t="n"/>
      <c r="K183" s="16" t="n"/>
      <c r="L183" s="16">
        <f>(D183*6)+(E183*4)</f>
        <v/>
      </c>
      <c r="M183" s="16" t="n"/>
      <c r="N183" s="16" t="n"/>
      <c r="O183" s="16" t="n"/>
      <c r="P183" s="16" t="n"/>
      <c r="Q183" s="16" t="n"/>
    </row>
    <row r="184" ht="56.05" customHeight="1" s="47">
      <c r="A184" s="8" t="inlineStr">
        <is>
          <t>Venom Toad</t>
        </is>
      </c>
      <c r="B184" s="9" t="inlineStr">
        <is>
          <t>Unit</t>
        </is>
      </c>
      <c r="C184" s="16" t="n">
        <v>350</v>
      </c>
      <c r="D184" s="16" t="n">
        <v>15</v>
      </c>
      <c r="E184" s="16" t="n">
        <v>20</v>
      </c>
      <c r="F184" s="17" t="inlineStr">
        <is>
          <t>Nature</t>
        </is>
      </c>
      <c r="G184" s="16" t="n">
        <v>1</v>
      </c>
      <c r="H184" s="17" t="inlineStr">
        <is>
          <t>After Reckoning, add venom flag to the foe’s unit. In Reckoning: destroy foe’s unit with venom flag</t>
        </is>
      </c>
      <c r="I184" t="inlineStr">
        <is>
          <t>wording polish</t>
        </is>
      </c>
      <c r="J184" s="16" t="n"/>
      <c r="K184" s="16" t="n"/>
      <c r="L184" s="16">
        <f>(D184*6)+(E184*4)</f>
        <v/>
      </c>
      <c r="M184" s="16" t="n"/>
      <c r="N184" s="16" t="n"/>
      <c r="O184" s="16" t="n"/>
      <c r="P184" s="16" t="n"/>
      <c r="Q184" s="16" t="n"/>
    </row>
    <row r="185" ht="20.05" customHeight="1" s="47">
      <c r="A185" s="8" t="inlineStr">
        <is>
          <t>Drill Woodpecker</t>
        </is>
      </c>
      <c r="B185" s="9" t="inlineStr">
        <is>
          <t>Unit</t>
        </is>
      </c>
      <c r="C185" s="16" t="n">
        <v>500</v>
      </c>
      <c r="D185" s="16" t="n">
        <v>20</v>
      </c>
      <c r="E185" s="16" t="n">
        <v>20</v>
      </c>
      <c r="F185" s="17" t="inlineStr">
        <is>
          <t>Nature</t>
        </is>
      </c>
      <c r="G185" s="16" t="n">
        <v>1</v>
      </c>
      <c r="H185" s="17" t="inlineStr">
        <is>
          <t>None</t>
        </is>
      </c>
      <c r="J185" s="16" t="n"/>
      <c r="K185" s="16" t="n"/>
      <c r="L185" s="16">
        <f>(D185*6)+(E185*4)</f>
        <v/>
      </c>
      <c r="M185" s="16" t="n"/>
      <c r="N185" s="16" t="n"/>
      <c r="O185" s="16" t="n"/>
      <c r="P185" s="16" t="n"/>
      <c r="Q185" s="16" t="n"/>
    </row>
    <row r="186" ht="20.05" customHeight="1" s="47">
      <c r="A186" s="8" t="inlineStr">
        <is>
          <t>Hare Soldier</t>
        </is>
      </c>
      <c r="B186" s="9" t="inlineStr">
        <is>
          <t>Unit</t>
        </is>
      </c>
      <c r="C186" s="16" t="n">
        <v>200</v>
      </c>
      <c r="D186" s="16" t="n">
        <v>20</v>
      </c>
      <c r="E186" s="16" t="n">
        <v>10</v>
      </c>
      <c r="F186" s="17" t="inlineStr">
        <is>
          <t>Nature</t>
        </is>
      </c>
      <c r="G186" s="16" t="n">
        <v>1</v>
      </c>
      <c r="H186" s="17" t="inlineStr">
        <is>
          <t>None</t>
        </is>
      </c>
      <c r="J186" s="16" t="n"/>
      <c r="K186" s="16" t="n"/>
      <c r="L186" s="16">
        <f>(D186*6)+(E186*4)</f>
        <v/>
      </c>
      <c r="M186" s="16" t="n"/>
      <c r="N186" s="16" t="n"/>
      <c r="O186" s="16" t="n"/>
      <c r="P186" s="16" t="n"/>
      <c r="Q186" s="16" t="n"/>
    </row>
    <row r="187" ht="20.05" customHeight="1" s="47">
      <c r="A187" s="8" t="inlineStr">
        <is>
          <t>Sapphire Beetle</t>
        </is>
      </c>
      <c r="B187" s="9" t="inlineStr">
        <is>
          <t>Unit</t>
        </is>
      </c>
      <c r="C187" s="16" t="n">
        <v>300</v>
      </c>
      <c r="D187" s="16" t="n">
        <v>20</v>
      </c>
      <c r="E187" s="16" t="n">
        <v>30</v>
      </c>
      <c r="F187" s="17" t="inlineStr">
        <is>
          <t>Nature</t>
        </is>
      </c>
      <c r="G187" s="16" t="n">
        <v>1</v>
      </c>
      <c r="H187" s="17" t="inlineStr">
        <is>
          <t>None</t>
        </is>
      </c>
      <c r="J187" s="16" t="n"/>
      <c r="K187" s="16" t="n"/>
      <c r="L187" s="16">
        <f>(D187*6)+(E187*4)</f>
        <v/>
      </c>
      <c r="M187" s="16" t="n"/>
      <c r="N187" s="16" t="n"/>
      <c r="O187" s="16" t="n"/>
      <c r="P187" s="16" t="n"/>
      <c r="Q187" s="16" t="n"/>
    </row>
    <row r="188" ht="56.05" customHeight="1" s="47">
      <c r="A188" s="8" t="inlineStr">
        <is>
          <t>Mole Scout</t>
        </is>
      </c>
      <c r="B188" s="9" t="inlineStr">
        <is>
          <t>Unit</t>
        </is>
      </c>
      <c r="C188" s="16" t="n">
        <v>340</v>
      </c>
      <c r="D188" s="16" t="n">
        <v>25</v>
      </c>
      <c r="E188" s="16" t="n">
        <v>10</v>
      </c>
      <c r="F188" s="17" t="inlineStr">
        <is>
          <t>Nature</t>
        </is>
      </c>
      <c r="G188" s="16" t="n">
        <v>1</v>
      </c>
      <c r="H188" s="17" t="inlineStr">
        <is>
          <t>If this card was commanded to attack while being face-down, it gain 15 ATK until the end of this turn.</t>
        </is>
      </c>
      <c r="J188" s="16" t="n"/>
      <c r="K188" s="16" t="n"/>
      <c r="L188" s="16">
        <f>(D188*6)+(E188*4)</f>
        <v/>
      </c>
      <c r="M188" s="16" t="n"/>
      <c r="N188" s="16" t="n"/>
      <c r="O188" s="16" t="n"/>
      <c r="P188" s="16" t="n"/>
      <c r="Q188" s="16" t="n"/>
    </row>
    <row r="189" ht="56.05" customHeight="1" s="47">
      <c r="A189" s="8" t="inlineStr">
        <is>
          <t>Zomborg</t>
        </is>
      </c>
      <c r="B189" s="9" t="inlineStr">
        <is>
          <t>Unit</t>
        </is>
      </c>
      <c r="C189" s="16" t="n">
        <v>900</v>
      </c>
      <c r="D189" s="16" t="n">
        <v>65</v>
      </c>
      <c r="E189" s="16" t="n">
        <v>70</v>
      </c>
      <c r="F189" s="17" t="inlineStr">
        <is>
          <t>Bio</t>
        </is>
      </c>
      <c r="G189" s="16" t="n">
        <v>3</v>
      </c>
      <c r="H189" s="17" t="inlineStr">
        <is>
          <t>Once: when this card ATK and/or DEF will be decreased, gain ATK and/or DEF by that amount instead.</t>
        </is>
      </c>
      <c r="I189" t="inlineStr">
        <is>
          <t>wording polish</t>
        </is>
      </c>
      <c r="J189" s="16" t="n"/>
      <c r="K189" s="17" t="inlineStr">
        <is>
          <t>Yes</t>
        </is>
      </c>
      <c r="L189" s="16">
        <f>(D189*6)+(E189*4)</f>
        <v/>
      </c>
      <c r="M189" s="16" t="n"/>
      <c r="N189" s="16" t="n"/>
      <c r="O189" s="16" t="n"/>
      <c r="P189" s="16" t="n"/>
      <c r="Q189" s="16" t="n"/>
    </row>
    <row r="190" ht="44.05" customHeight="1" s="47">
      <c r="A190" s="8" t="inlineStr">
        <is>
          <t>Stinky Insect</t>
        </is>
      </c>
      <c r="B190" s="9" t="inlineStr">
        <is>
          <t>Unit</t>
        </is>
      </c>
      <c r="C190" s="16" t="n">
        <v>400</v>
      </c>
      <c r="D190" s="16" t="n">
        <v>10</v>
      </c>
      <c r="E190" s="16" t="n">
        <v>10</v>
      </c>
      <c r="F190" s="17" t="inlineStr">
        <is>
          <t>Nature</t>
        </is>
      </c>
      <c r="G190" s="16" t="n">
        <v>1</v>
      </c>
      <c r="H190" s="17" t="inlineStr">
        <is>
          <t>If this card defends, the attacking unit cannot attack until foe’s next turn ends</t>
        </is>
      </c>
      <c r="J190" s="16" t="n"/>
      <c r="K190" s="17" t="inlineStr">
        <is>
          <t>Yes</t>
        </is>
      </c>
      <c r="L190" s="16">
        <f>(D190*6)+(E190*4)</f>
        <v/>
      </c>
      <c r="M190" s="17" t="inlineStr">
        <is>
          <t>Yes</t>
        </is>
      </c>
      <c r="N190" s="16" t="n"/>
      <c r="O190" s="17" t="inlineStr">
        <is>
          <t>Yes</t>
        </is>
      </c>
      <c r="P190" s="16" t="n"/>
      <c r="Q190" s="16" t="n"/>
    </row>
    <row r="191" ht="20.05" customHeight="1" s="47">
      <c r="A191" s="8" t="inlineStr">
        <is>
          <t>Mad Raccoon</t>
        </is>
      </c>
      <c r="B191" s="9" t="inlineStr">
        <is>
          <t>Unit</t>
        </is>
      </c>
      <c r="C191" s="16" t="n">
        <v>260</v>
      </c>
      <c r="D191" s="16" t="n">
        <v>30</v>
      </c>
      <c r="E191" s="16" t="n">
        <v>15</v>
      </c>
      <c r="F191" s="17" t="inlineStr">
        <is>
          <t>Nature</t>
        </is>
      </c>
      <c r="G191" s="16" t="n">
        <v>1</v>
      </c>
      <c r="H191" s="17" t="inlineStr">
        <is>
          <t>None</t>
        </is>
      </c>
      <c r="J191" s="16" t="n"/>
      <c r="K191" s="17" t="inlineStr">
        <is>
          <t>Yes</t>
        </is>
      </c>
      <c r="L191" s="16">
        <f>(D191*6)+(E191*4)</f>
        <v/>
      </c>
      <c r="M191" s="17" t="inlineStr">
        <is>
          <t>Yes</t>
        </is>
      </c>
      <c r="N191" s="16" t="n"/>
      <c r="O191" s="17" t="inlineStr">
        <is>
          <t>Yes</t>
        </is>
      </c>
      <c r="P191" s="16" t="n"/>
      <c r="Q191" s="17" t="inlineStr">
        <is>
          <t>Yes</t>
        </is>
      </c>
    </row>
    <row r="192" ht="32.05" customHeight="1" s="47">
      <c r="A192" s="8" t="inlineStr">
        <is>
          <t>Armored Monkey</t>
        </is>
      </c>
      <c r="B192" s="9" t="inlineStr">
        <is>
          <t>Unit</t>
        </is>
      </c>
      <c r="C192" s="16" t="n">
        <v>170</v>
      </c>
      <c r="D192" s="16" t="n">
        <v>10</v>
      </c>
      <c r="E192" s="16" t="n">
        <v>20</v>
      </c>
      <c r="F192" s="17" t="inlineStr">
        <is>
          <t>Nature</t>
        </is>
      </c>
      <c r="G192" s="16" t="n">
        <v>1</v>
      </c>
      <c r="H192" s="17" t="inlineStr">
        <is>
          <t>+10 ATK if there is another exposed Nature card</t>
        </is>
      </c>
      <c r="J192" s="16" t="n"/>
      <c r="K192" s="17" t="inlineStr">
        <is>
          <t>Yes</t>
        </is>
      </c>
      <c r="L192" s="16">
        <f>(D192*6)+(E192*4)</f>
        <v/>
      </c>
      <c r="M192" s="17" t="inlineStr">
        <is>
          <t>Yes</t>
        </is>
      </c>
      <c r="N192" s="16" t="n"/>
      <c r="O192" s="17" t="inlineStr">
        <is>
          <t>Yes</t>
        </is>
      </c>
      <c r="P192" s="16" t="n"/>
      <c r="Q192" s="17" t="inlineStr">
        <is>
          <t>Yes</t>
        </is>
      </c>
    </row>
    <row r="193" ht="44.05" customHeight="1" s="47">
      <c r="A193" s="8" t="inlineStr">
        <is>
          <t>Magical Butterfly</t>
        </is>
      </c>
      <c r="B193" s="9" t="inlineStr">
        <is>
          <t>Unit</t>
        </is>
      </c>
      <c r="C193" s="16" t="n">
        <v>180</v>
      </c>
      <c r="D193" s="16" t="n">
        <v>15</v>
      </c>
      <c r="E193" s="16" t="n">
        <v>15</v>
      </c>
      <c r="F193" s="17" t="inlineStr">
        <is>
          <t>Nature</t>
        </is>
      </c>
      <c r="G193" s="16" t="n">
        <v>1</v>
      </c>
      <c r="H193" s="17" t="inlineStr">
        <is>
          <t>Whenever foe’s Tech card is activated, +10 ATK and DEF permanently. Usable face-down</t>
        </is>
      </c>
      <c r="I193" t="inlineStr">
        <is>
          <t>ATK&amp;DEF→ATK and DEF</t>
        </is>
      </c>
      <c r="J193" s="16" t="n"/>
      <c r="K193" s="17" t="inlineStr">
        <is>
          <t>Yes</t>
        </is>
      </c>
      <c r="L193" s="16">
        <f>(D193*6)+(E193*4)</f>
        <v/>
      </c>
      <c r="M193" s="17" t="inlineStr">
        <is>
          <t>Yes</t>
        </is>
      </c>
      <c r="N193" s="16" t="n"/>
      <c r="O193" s="16" t="n"/>
      <c r="P193" s="17" t="inlineStr">
        <is>
          <t>Yes</t>
        </is>
      </c>
      <c r="Q193" s="16" t="n"/>
    </row>
    <row r="194" ht="32.05" customHeight="1" s="47">
      <c r="A194" s="8" t="inlineStr">
        <is>
          <t>Hammer Shark</t>
        </is>
      </c>
      <c r="B194" s="9" t="inlineStr">
        <is>
          <t>Unit</t>
        </is>
      </c>
      <c r="C194" s="16" t="n">
        <v>250</v>
      </c>
      <c r="D194" s="16" t="n">
        <v>20</v>
      </c>
      <c r="E194" s="16" t="n">
        <v>20</v>
      </c>
      <c r="F194" s="17" t="inlineStr">
        <is>
          <t>Nature</t>
        </is>
      </c>
      <c r="G194" s="16" t="n">
        <v>1</v>
      </c>
      <c r="H194" s="17" t="inlineStr">
        <is>
          <t>+10 ATK per shark card on the field</t>
        </is>
      </c>
      <c r="J194" s="16" t="n"/>
      <c r="K194" s="17" t="inlineStr">
        <is>
          <t>Yes</t>
        </is>
      </c>
      <c r="L194" s="16">
        <f>(D194*6)+(E194*4)</f>
        <v/>
      </c>
      <c r="M194" s="17" t="inlineStr">
        <is>
          <t>Yes</t>
        </is>
      </c>
      <c r="N194" s="16" t="n"/>
      <c r="O194" s="17" t="inlineStr">
        <is>
          <t>Yes</t>
        </is>
      </c>
      <c r="P194" s="17" t="inlineStr">
        <is>
          <t>Yes</t>
        </is>
      </c>
      <c r="Q194" s="16" t="n"/>
    </row>
    <row r="195" ht="44.05" customHeight="1" s="47">
      <c r="A195" s="8" t="inlineStr">
        <is>
          <t>Needle Porcupine</t>
        </is>
      </c>
      <c r="B195" s="9" t="inlineStr">
        <is>
          <t>Unit</t>
        </is>
      </c>
      <c r="C195" s="16" t="n">
        <v>200</v>
      </c>
      <c r="D195" s="16" t="n">
        <v>10</v>
      </c>
      <c r="E195" s="16" t="n">
        <v>10</v>
      </c>
      <c r="F195" s="17" t="inlineStr">
        <is>
          <t>Nature</t>
        </is>
      </c>
      <c r="G195" s="16" t="n">
        <v>1</v>
      </c>
      <c r="H195" s="17" t="inlineStr">
        <is>
          <t>Once: when this card defends, the attacker permanently loses 5 ATK.</t>
        </is>
      </c>
      <c r="I195" t="inlineStr">
        <is>
          <t>wording polish</t>
        </is>
      </c>
      <c r="J195" s="16" t="n"/>
      <c r="K195" s="17" t="inlineStr">
        <is>
          <t>Yes</t>
        </is>
      </c>
      <c r="L195" s="16">
        <f>(D195*6)+(E195*4)</f>
        <v/>
      </c>
      <c r="M195" s="17" t="inlineStr">
        <is>
          <t>Yes</t>
        </is>
      </c>
      <c r="N195" s="16" t="n"/>
      <c r="O195" s="16" t="n"/>
      <c r="P195" s="16" t="n"/>
      <c r="Q195" s="17" t="inlineStr">
        <is>
          <t>Yes</t>
        </is>
      </c>
    </row>
    <row r="196" ht="56.05" customHeight="1" s="47">
      <c r="A196" s="8" t="inlineStr">
        <is>
          <t>Seraph Lawkeeper</t>
        </is>
      </c>
      <c r="B196" s="9" t="inlineStr">
        <is>
          <t>Unit</t>
        </is>
      </c>
      <c r="C196" s="16" t="n">
        <v>900</v>
      </c>
      <c r="D196" s="16" t="n">
        <v>35</v>
      </c>
      <c r="E196" s="16" t="n">
        <v>50</v>
      </c>
      <c r="F196" s="17" t="inlineStr">
        <is>
          <t>Divine</t>
        </is>
      </c>
      <c r="G196" s="16" t="n">
        <v>4</v>
      </c>
      <c r="H196" s="17" t="inlineStr">
        <is>
          <t>Once: if a Divine or Anima unit would be destroyed, revive it at end of turn. Usable face-down.</t>
        </is>
      </c>
      <c r="I196" t="inlineStr">
        <is>
          <t>Grammar fix.</t>
        </is>
      </c>
      <c r="J196" s="16" t="n"/>
      <c r="K196" s="16" t="n"/>
      <c r="L196" s="16">
        <f>(D196*6)+(E196*4)</f>
        <v/>
      </c>
      <c r="M196" s="16" t="n"/>
      <c r="N196" s="16" t="n"/>
      <c r="O196" s="16" t="n"/>
      <c r="P196" s="16" t="n"/>
      <c r="Q196" s="16" t="n"/>
    </row>
    <row r="197" ht="32.05" customHeight="1" s="47">
      <c r="A197" s="8" t="inlineStr">
        <is>
          <t>Saw Shark</t>
        </is>
      </c>
      <c r="B197" s="9" t="inlineStr">
        <is>
          <t>Unit</t>
        </is>
      </c>
      <c r="C197" s="16" t="n">
        <v>280</v>
      </c>
      <c r="D197" s="16" t="n">
        <v>25</v>
      </c>
      <c r="E197" s="16" t="n">
        <v>10</v>
      </c>
      <c r="F197" s="17" t="inlineStr">
        <is>
          <t>Nature</t>
        </is>
      </c>
      <c r="G197" s="16" t="n">
        <v>1</v>
      </c>
      <c r="H197" s="17" t="inlineStr">
        <is>
          <t>+10 ATK per shark card on the field</t>
        </is>
      </c>
      <c r="J197" s="16" t="n"/>
      <c r="K197" s="17" t="inlineStr">
        <is>
          <t>Yes</t>
        </is>
      </c>
      <c r="L197" s="16">
        <f>(D197*6)+(E197*4)</f>
        <v/>
      </c>
      <c r="M197" s="17" t="inlineStr">
        <is>
          <t>Yes</t>
        </is>
      </c>
      <c r="N197" s="16" t="n"/>
      <c r="O197" s="16" t="n"/>
      <c r="P197" s="17" t="inlineStr">
        <is>
          <t>Yes</t>
        </is>
      </c>
      <c r="Q197" s="16" t="n"/>
    </row>
    <row r="198" ht="32.05" customHeight="1" s="47">
      <c r="A198" s="8" t="inlineStr">
        <is>
          <t>Kiyoko the Death Whisper</t>
        </is>
      </c>
      <c r="B198" s="9" t="inlineStr">
        <is>
          <t>Unit</t>
        </is>
      </c>
      <c r="C198" s="16" t="n">
        <v>800</v>
      </c>
      <c r="D198" s="16" t="n">
        <v>40</v>
      </c>
      <c r="E198" s="16" t="n">
        <v>35</v>
      </c>
      <c r="F198" s="17" t="inlineStr">
        <is>
          <t>Anima</t>
        </is>
      </c>
      <c r="G198" s="16" t="n">
        <v>4</v>
      </c>
      <c r="H198" s="17" t="inlineStr">
        <is>
          <t>This card gain +50 ATK when attacking Union card</t>
        </is>
      </c>
      <c r="J198" s="16" t="n"/>
      <c r="K198" s="17" t="inlineStr">
        <is>
          <t>Yes</t>
        </is>
      </c>
      <c r="L198" s="16">
        <f>(D198*6)+(E198*4)</f>
        <v/>
      </c>
      <c r="M198" s="17" t="inlineStr">
        <is>
          <t>Yes</t>
        </is>
      </c>
      <c r="N198" s="16" t="n"/>
      <c r="O198" s="16" t="n"/>
      <c r="P198" s="16" t="n"/>
      <c r="Q198" s="17" t="inlineStr">
        <is>
          <t>Yes</t>
        </is>
      </c>
    </row>
    <row r="199" ht="32.05" customHeight="1" s="47">
      <c r="A199" s="8" t="inlineStr">
        <is>
          <t>Fox Mage</t>
        </is>
      </c>
      <c r="B199" s="9" t="inlineStr">
        <is>
          <t>Unit</t>
        </is>
      </c>
      <c r="C199" s="16" t="n">
        <v>800</v>
      </c>
      <c r="D199" s="16" t="n">
        <v>20</v>
      </c>
      <c r="E199" s="16" t="n">
        <v>20</v>
      </c>
      <c r="F199" s="17" t="inlineStr">
        <is>
          <t>Nature</t>
        </is>
      </c>
      <c r="G199" s="16" t="n">
        <v>2</v>
      </c>
      <c r="H199" s="17" t="inlineStr">
        <is>
          <t>Once upon revealed +20 ATK and DEF to Arcane card.</t>
        </is>
      </c>
      <c r="I199" t="inlineStr">
        <is>
          <t>ATK&amp;DEF→ATK and DEF</t>
        </is>
      </c>
      <c r="J199" s="16" t="n"/>
      <c r="K199" s="16" t="n"/>
      <c r="L199" s="16">
        <f>(D199*6)+(E199*4)</f>
        <v/>
      </c>
      <c r="M199" s="16" t="n"/>
      <c r="N199" s="16" t="n"/>
      <c r="O199" s="16" t="n"/>
      <c r="P199" s="16" t="n"/>
      <c r="Q199" s="16" t="n"/>
    </row>
    <row r="200" ht="32.05" customHeight="1" s="47">
      <c r="A200" s="8" t="inlineStr">
        <is>
          <t>Spear Shark</t>
        </is>
      </c>
      <c r="B200" s="9" t="inlineStr">
        <is>
          <t>Unit</t>
        </is>
      </c>
      <c r="C200" s="16" t="n">
        <v>480</v>
      </c>
      <c r="D200" s="16" t="n">
        <v>50</v>
      </c>
      <c r="E200" s="16" t="n">
        <v>20</v>
      </c>
      <c r="F200" s="17" t="inlineStr">
        <is>
          <t>Nature</t>
        </is>
      </c>
      <c r="G200" s="16" t="n">
        <v>2</v>
      </c>
      <c r="H200" s="17" t="inlineStr">
        <is>
          <t>+10 ATK per shark card on the field</t>
        </is>
      </c>
      <c r="J200" s="16" t="n"/>
      <c r="K200" s="17" t="inlineStr">
        <is>
          <t>Yes</t>
        </is>
      </c>
      <c r="L200" s="16">
        <f>(D200*6)+(E200*4)</f>
        <v/>
      </c>
      <c r="M200" s="17" t="inlineStr">
        <is>
          <t>Yes</t>
        </is>
      </c>
      <c r="N200" s="16" t="n"/>
      <c r="O200" s="16" t="n"/>
      <c r="P200" s="17" t="inlineStr">
        <is>
          <t>Yes</t>
        </is>
      </c>
      <c r="Q200" s="16" t="n"/>
    </row>
    <row r="201" ht="32.05" customHeight="1" s="47">
      <c r="A201" s="8" t="inlineStr">
        <is>
          <t>Giant Centipede</t>
        </is>
      </c>
      <c r="B201" s="9" t="inlineStr">
        <is>
          <t>Unit</t>
        </is>
      </c>
      <c r="C201" s="16" t="n">
        <v>1500</v>
      </c>
      <c r="D201" s="16" t="n">
        <v>20</v>
      </c>
      <c r="E201" s="16" t="n">
        <v>20</v>
      </c>
      <c r="F201" s="17" t="inlineStr">
        <is>
          <t>Nature</t>
        </is>
      </c>
      <c r="G201" s="16" t="n">
        <v>3</v>
      </c>
      <c r="H201" s="17" t="inlineStr">
        <is>
          <t>+100 ATK vs cards with venom flag</t>
        </is>
      </c>
      <c r="J201" s="16" t="n"/>
      <c r="K201" s="17" t="inlineStr">
        <is>
          <t>Yes</t>
        </is>
      </c>
      <c r="L201" s="16">
        <f>(D201*6)+(E201*4)</f>
        <v/>
      </c>
      <c r="M201" s="17" t="inlineStr">
        <is>
          <t>Yes</t>
        </is>
      </c>
      <c r="N201" s="16" t="n"/>
      <c r="O201" s="16" t="n"/>
      <c r="P201" s="16" t="n"/>
      <c r="Q201" s="17" t="inlineStr">
        <is>
          <t>Yes</t>
        </is>
      </c>
    </row>
    <row r="202" ht="32.05" customHeight="1" s="47">
      <c r="A202" s="8" t="inlineStr">
        <is>
          <t>Scythe Shark</t>
        </is>
      </c>
      <c r="B202" s="9" t="inlineStr">
        <is>
          <t>Unit</t>
        </is>
      </c>
      <c r="C202" s="16" t="n">
        <v>550</v>
      </c>
      <c r="D202" s="16" t="n">
        <v>35</v>
      </c>
      <c r="E202" s="16" t="n">
        <v>35</v>
      </c>
      <c r="F202" s="17" t="inlineStr">
        <is>
          <t>Nature</t>
        </is>
      </c>
      <c r="G202" s="16" t="n">
        <v>2</v>
      </c>
      <c r="H202" s="17" t="inlineStr">
        <is>
          <t>+10 ATK per shark card on the field</t>
        </is>
      </c>
      <c r="J202" s="16" t="n"/>
      <c r="K202" s="17" t="inlineStr">
        <is>
          <t>Yes</t>
        </is>
      </c>
      <c r="L202" s="16">
        <f>(D202*6)+(E202*4)</f>
        <v/>
      </c>
      <c r="M202" s="17" t="inlineStr">
        <is>
          <t>Yes</t>
        </is>
      </c>
      <c r="N202" s="16" t="n"/>
      <c r="O202" s="16" t="n"/>
      <c r="P202" s="17" t="inlineStr">
        <is>
          <t>Yes</t>
        </is>
      </c>
      <c r="Q202" s="16" t="n"/>
    </row>
    <row r="203" ht="80.05" customHeight="1" s="47">
      <c r="A203" s="8" t="inlineStr">
        <is>
          <t>Doctopus</t>
        </is>
      </c>
      <c r="B203" s="9" t="inlineStr">
        <is>
          <t>Unit</t>
        </is>
      </c>
      <c r="C203" s="16" t="n">
        <v>900</v>
      </c>
      <c r="D203" s="16" t="n">
        <v>15</v>
      </c>
      <c r="E203" s="16" t="n">
        <v>20</v>
      </c>
      <c r="F203" s="17" t="inlineStr">
        <is>
          <t>Nature</t>
        </is>
      </c>
      <c r="G203" s="16" t="n">
        <v>2</v>
      </c>
      <c r="H203" s="17" t="inlineStr">
        <is>
          <t>Once: when an ally Nature unit is destroyed, you may set this unit's ATK to 0 to revive it at end of turn. Usable face-down.</t>
        </is>
      </c>
      <c r="I203" t="inlineStr">
        <is>
          <t>Grammar shorten; final design.</t>
        </is>
      </c>
      <c r="J203" s="16" t="n"/>
      <c r="K203" s="16" t="n"/>
      <c r="L203" s="16">
        <f>(D203*6)+(E203*4)</f>
        <v/>
      </c>
      <c r="M203" s="16" t="n"/>
      <c r="N203" s="16" t="n"/>
      <c r="O203" s="16" t="n"/>
      <c r="P203" s="16" t="n"/>
      <c r="Q203" s="16" t="n"/>
    </row>
    <row r="204" ht="32.05" customHeight="1" s="47">
      <c r="A204" s="8" t="inlineStr">
        <is>
          <t>White Tiger</t>
        </is>
      </c>
      <c r="B204" s="9" t="inlineStr">
        <is>
          <t>Unit</t>
        </is>
      </c>
      <c r="C204" s="16" t="n">
        <v>450</v>
      </c>
      <c r="D204" s="16" t="n">
        <v>40</v>
      </c>
      <c r="E204" s="16" t="n">
        <v>25</v>
      </c>
      <c r="F204" s="17" t="inlineStr">
        <is>
          <t>Nature</t>
        </is>
      </c>
      <c r="G204" s="16" t="n">
        <v>2</v>
      </c>
      <c r="H204" s="17" t="inlineStr">
        <is>
          <t>In Reckoning: -15 ATK to the attacker</t>
        </is>
      </c>
      <c r="I204" t="inlineStr">
        <is>
          <t>wording polish</t>
        </is>
      </c>
      <c r="J204" s="16" t="n"/>
      <c r="K204" s="17" t="inlineStr">
        <is>
          <t>Yes</t>
        </is>
      </c>
      <c r="L204" s="16">
        <f>(D204*6)+(E204*4)</f>
        <v/>
      </c>
      <c r="M204" s="17" t="inlineStr">
        <is>
          <t>Yes</t>
        </is>
      </c>
      <c r="N204" s="16" t="n"/>
      <c r="O204" s="16" t="n"/>
      <c r="P204" s="16" t="n"/>
      <c r="Q204" s="17" t="inlineStr">
        <is>
          <t>Yes</t>
        </is>
      </c>
    </row>
    <row r="205" ht="32.05" customHeight="1" s="47">
      <c r="A205" s="8" t="inlineStr">
        <is>
          <t>Sickle Mantis</t>
        </is>
      </c>
      <c r="B205" s="9" t="inlineStr">
        <is>
          <t>Unit</t>
        </is>
      </c>
      <c r="C205" s="16" t="n">
        <v>300</v>
      </c>
      <c r="D205" s="16" t="n">
        <v>30</v>
      </c>
      <c r="E205" s="16" t="n">
        <v>10</v>
      </c>
      <c r="F205" s="17" t="inlineStr">
        <is>
          <t>Nature</t>
        </is>
      </c>
      <c r="G205" s="16" t="n">
        <v>2</v>
      </c>
      <c r="H205" s="17" t="inlineStr">
        <is>
          <t>At battle calculation, -10 DEF to the defender</t>
        </is>
      </c>
      <c r="J205" s="16" t="n"/>
      <c r="K205" s="16" t="n"/>
      <c r="L205" s="16">
        <f>(D205*6)+(E205*4)</f>
        <v/>
      </c>
      <c r="M205" s="16" t="n"/>
      <c r="N205" s="16" t="n"/>
      <c r="O205" s="16" t="n"/>
      <c r="P205" s="16" t="n"/>
      <c r="Q205" s="16" t="n"/>
    </row>
    <row r="206" ht="20.05" customHeight="1" s="47">
      <c r="A206" s="8" t="inlineStr">
        <is>
          <t>Flame Lizard</t>
        </is>
      </c>
      <c r="B206" s="9" t="inlineStr">
        <is>
          <t>Unit</t>
        </is>
      </c>
      <c r="C206" s="16" t="n">
        <v>400</v>
      </c>
      <c r="D206" s="16" t="n">
        <v>25</v>
      </c>
      <c r="E206" s="16" t="n">
        <v>40</v>
      </c>
      <c r="F206" s="17" t="inlineStr">
        <is>
          <t>Nature</t>
        </is>
      </c>
      <c r="G206" s="16" t="n">
        <v>2</v>
      </c>
      <c r="H206" s="17" t="inlineStr">
        <is>
          <t>+20 ATK and DEF vs Nature</t>
        </is>
      </c>
      <c r="I206" t="inlineStr">
        <is>
          <t>ATK&amp;DEF→ATK and DEF</t>
        </is>
      </c>
      <c r="J206" s="16" t="n"/>
      <c r="K206" s="17" t="inlineStr">
        <is>
          <t>Yes</t>
        </is>
      </c>
      <c r="L206" s="16">
        <f>(D206*6)+(E206*4)</f>
        <v/>
      </c>
      <c r="M206" s="17" t="inlineStr">
        <is>
          <t>Yes</t>
        </is>
      </c>
      <c r="N206" s="16" t="n"/>
      <c r="O206" s="16" t="n"/>
      <c r="P206" s="17" t="inlineStr">
        <is>
          <t>Yes</t>
        </is>
      </c>
      <c r="Q206" s="16" t="n"/>
    </row>
    <row r="207" ht="44.05" customHeight="1" s="47">
      <c r="A207" s="8" t="inlineStr">
        <is>
          <t>Ostrich Cannon</t>
        </is>
      </c>
      <c r="B207" s="9" t="inlineStr">
        <is>
          <t>Unit</t>
        </is>
      </c>
      <c r="C207" s="16" t="n">
        <v>800</v>
      </c>
      <c r="D207" s="16" t="n">
        <v>60</v>
      </c>
      <c r="E207" s="16" t="n">
        <v>30</v>
      </c>
      <c r="F207" s="17" t="inlineStr">
        <is>
          <t>Nature</t>
        </is>
      </c>
      <c r="G207" s="16" t="n">
        <v>2</v>
      </c>
      <c r="H207" s="17" t="inlineStr">
        <is>
          <t>After performed an attack, this card cannot attack during their next turn.</t>
        </is>
      </c>
      <c r="J207" s="16" t="n"/>
      <c r="K207" s="17" t="inlineStr">
        <is>
          <t>Yes</t>
        </is>
      </c>
      <c r="L207" s="16">
        <f>(D207*6)+(E207*4)</f>
        <v/>
      </c>
      <c r="M207" s="17" t="inlineStr">
        <is>
          <t>Yes</t>
        </is>
      </c>
      <c r="N207" s="16" t="n"/>
      <c r="O207" s="16" t="n"/>
      <c r="P207" s="16" t="n"/>
      <c r="Q207" s="17" t="inlineStr">
        <is>
          <t>Yes</t>
        </is>
      </c>
    </row>
    <row r="208" ht="32.05" customHeight="1" s="47">
      <c r="A208" s="8" t="inlineStr">
        <is>
          <t>Shotgun Shark</t>
        </is>
      </c>
      <c r="B208" s="9" t="inlineStr">
        <is>
          <t>Unit</t>
        </is>
      </c>
      <c r="C208" s="16" t="n">
        <v>900</v>
      </c>
      <c r="D208" s="16" t="n">
        <v>75</v>
      </c>
      <c r="E208" s="16" t="n">
        <v>25</v>
      </c>
      <c r="F208" s="17" t="inlineStr">
        <is>
          <t>Nature</t>
        </is>
      </c>
      <c r="G208" s="16" t="n">
        <v>3</v>
      </c>
      <c r="H208" s="17" t="inlineStr">
        <is>
          <t>+10 ATK per shark card on the field</t>
        </is>
      </c>
      <c r="J208" s="16" t="n"/>
      <c r="K208" s="17" t="inlineStr">
        <is>
          <t>Yes</t>
        </is>
      </c>
      <c r="L208" s="16">
        <f>(D208*6)+(E208*4)</f>
        <v/>
      </c>
      <c r="M208" s="17" t="inlineStr">
        <is>
          <t>Yes</t>
        </is>
      </c>
      <c r="N208" s="16" t="n"/>
      <c r="O208" s="16" t="n"/>
      <c r="P208" s="16" t="n"/>
      <c r="Q208" s="17" t="inlineStr">
        <is>
          <t>Yes</t>
        </is>
      </c>
    </row>
    <row r="209" ht="44.05" customHeight="1" s="47">
      <c r="A209" s="8" t="inlineStr">
        <is>
          <t>Steel Eagle</t>
        </is>
      </c>
      <c r="B209" s="9" t="inlineStr">
        <is>
          <t>Unit</t>
        </is>
      </c>
      <c r="C209" s="16" t="n">
        <v>850</v>
      </c>
      <c r="D209" s="16" t="n">
        <v>70</v>
      </c>
      <c r="E209" s="16" t="n">
        <v>70</v>
      </c>
      <c r="F209" s="17" t="inlineStr">
        <is>
          <t>Nature</t>
        </is>
      </c>
      <c r="G209" s="16" t="n">
        <v>3</v>
      </c>
      <c r="H209" s="17" t="inlineStr">
        <is>
          <t>After this card attacked (survived or not), reveal 1 of foe’s face-down cell</t>
        </is>
      </c>
      <c r="J209" s="16" t="n"/>
      <c r="K209" s="16" t="n"/>
      <c r="L209" s="16">
        <f>(D209*6)+(E209*4)</f>
        <v/>
      </c>
      <c r="M209" s="16" t="n"/>
      <c r="N209" s="16" t="n"/>
      <c r="O209" s="16" t="n"/>
      <c r="P209" s="16" t="n"/>
      <c r="Q209" s="16" t="n"/>
    </row>
    <row r="210" ht="20.05" customHeight="1" s="47">
      <c r="A210" s="8" t="inlineStr">
        <is>
          <t>Warfare Bear</t>
        </is>
      </c>
      <c r="B210" s="9" t="inlineStr">
        <is>
          <t>Unit</t>
        </is>
      </c>
      <c r="C210" s="16" t="n">
        <v>800</v>
      </c>
      <c r="D210" s="16" t="n">
        <v>50</v>
      </c>
      <c r="E210" s="16" t="n">
        <v>50</v>
      </c>
      <c r="F210" s="17" t="inlineStr">
        <is>
          <t>Nature</t>
        </is>
      </c>
      <c r="G210" s="16" t="n">
        <v>3</v>
      </c>
      <c r="H210" s="17" t="inlineStr">
        <is>
          <t>+50 ATK vs Anima</t>
        </is>
      </c>
      <c r="J210" s="16" t="n"/>
      <c r="K210" s="16" t="n"/>
      <c r="L210" s="16">
        <f>(D210*6)+(E210*4)</f>
        <v/>
      </c>
      <c r="M210" s="16" t="n"/>
      <c r="N210" s="16" t="n"/>
      <c r="O210" s="16" t="n"/>
      <c r="P210" s="16" t="n"/>
      <c r="Q210" s="16" t="n"/>
    </row>
    <row r="211" ht="32.05" customHeight="1" s="47">
      <c r="A211" s="8" t="inlineStr">
        <is>
          <t>Dew the Frog Knight</t>
        </is>
      </c>
      <c r="B211" s="9" t="inlineStr">
        <is>
          <t>Unit</t>
        </is>
      </c>
      <c r="C211" s="16" t="n">
        <v>420</v>
      </c>
      <c r="D211" s="16" t="n">
        <v>45</v>
      </c>
      <c r="E211" s="16" t="n">
        <v>35</v>
      </c>
      <c r="F211" s="17" t="inlineStr">
        <is>
          <t>Nature</t>
        </is>
      </c>
      <c r="G211" s="16" t="n">
        <v>3</v>
      </c>
      <c r="H211" s="17" t="inlineStr">
        <is>
          <t>None</t>
        </is>
      </c>
      <c r="J211" s="16" t="n"/>
      <c r="K211" s="16" t="n"/>
      <c r="L211" s="16">
        <f>(D211*6)+(E211*4)</f>
        <v/>
      </c>
      <c r="M211" s="16" t="n"/>
      <c r="N211" s="16" t="n"/>
      <c r="O211" s="16" t="n"/>
      <c r="P211" s="16" t="n"/>
      <c r="Q211" s="16" t="n"/>
    </row>
    <row r="212" ht="32.05" customHeight="1" s="47">
      <c r="A212" s="8" t="inlineStr">
        <is>
          <t>Shock Jellyfish</t>
        </is>
      </c>
      <c r="B212" s="9" t="inlineStr">
        <is>
          <t>Unit</t>
        </is>
      </c>
      <c r="C212" s="16" t="n">
        <v>550</v>
      </c>
      <c r="D212" s="16" t="n">
        <v>20</v>
      </c>
      <c r="E212" s="16" t="n">
        <v>20</v>
      </c>
      <c r="F212" s="17" t="inlineStr">
        <is>
          <t>Nature</t>
        </is>
      </c>
      <c r="G212" s="16" t="n">
        <v>3</v>
      </c>
      <c r="H212" s="17" t="inlineStr">
        <is>
          <t>If this card defended, foe’s turn ends immediately</t>
        </is>
      </c>
      <c r="J212" s="16" t="n"/>
      <c r="K212" s="16" t="n"/>
      <c r="L212" s="16">
        <f>(D212*6)+(E212*4)</f>
        <v/>
      </c>
      <c r="M212" s="16" t="n"/>
      <c r="N212" s="16" t="n"/>
      <c r="O212" s="16" t="n"/>
      <c r="P212" s="16" t="n"/>
      <c r="Q212" s="16" t="n"/>
    </row>
    <row r="213" ht="32.05" customHeight="1" s="47">
      <c r="A213" s="8" t="inlineStr">
        <is>
          <t>Tardigrade Warrior</t>
        </is>
      </c>
      <c r="B213" s="9" t="inlineStr">
        <is>
          <t>Unit</t>
        </is>
      </c>
      <c r="C213" s="16" t="n">
        <v>400</v>
      </c>
      <c r="D213" s="16" t="n">
        <v>35</v>
      </c>
      <c r="E213" s="16" t="n">
        <v>45</v>
      </c>
      <c r="F213" s="17" t="inlineStr">
        <is>
          <t>Nature</t>
        </is>
      </c>
      <c r="G213" s="16" t="n">
        <v>3</v>
      </c>
      <c r="H213" s="17" t="inlineStr">
        <is>
          <t>Bio card’s attack is cancelled if targeted this card</t>
        </is>
      </c>
      <c r="J213" s="16" t="n"/>
      <c r="K213" s="16" t="n"/>
      <c r="L213" s="16">
        <f>(D213*6)+(E213*4)</f>
        <v/>
      </c>
      <c r="M213" s="16" t="n"/>
      <c r="N213" s="16" t="n"/>
      <c r="O213" s="16" t="n"/>
      <c r="P213" s="16" t="n"/>
      <c r="Q213" s="16" t="n"/>
    </row>
    <row r="214" ht="32.05" customHeight="1" s="47">
      <c r="A214" s="8" t="inlineStr">
        <is>
          <t>Kulu the Alpha Leader</t>
        </is>
      </c>
      <c r="B214" s="9" t="inlineStr">
        <is>
          <t>Unit</t>
        </is>
      </c>
      <c r="C214" s="16" t="n">
        <v>500</v>
      </c>
      <c r="D214" s="16" t="n">
        <v>25</v>
      </c>
      <c r="E214" s="16" t="n">
        <v>25</v>
      </c>
      <c r="F214" s="17" t="inlineStr">
        <is>
          <t>Nature</t>
        </is>
      </c>
      <c r="G214" s="16" t="n">
        <v>3</v>
      </c>
      <c r="H214" s="17" t="inlineStr">
        <is>
          <t>+10 ATK for each Nature card on its side.</t>
        </is>
      </c>
      <c r="J214" s="16" t="n"/>
      <c r="K214" s="16" t="n"/>
      <c r="L214" s="16">
        <f>(D214*6)+(E214*4)</f>
        <v/>
      </c>
      <c r="M214" s="16" t="n"/>
      <c r="N214" s="16" t="n"/>
      <c r="O214" s="16" t="n"/>
      <c r="P214" s="16" t="n"/>
      <c r="Q214" s="16" t="n"/>
    </row>
    <row r="215" ht="32.05" customHeight="1" s="47">
      <c r="A215" s="8" t="inlineStr">
        <is>
          <t>Smoke Owl</t>
        </is>
      </c>
      <c r="B215" s="9" t="inlineStr">
        <is>
          <t>Unit</t>
        </is>
      </c>
      <c r="C215" s="16" t="n">
        <v>900</v>
      </c>
      <c r="D215" s="16" t="n">
        <v>50</v>
      </c>
      <c r="E215" s="16" t="n">
        <v>10</v>
      </c>
      <c r="F215" s="17" t="inlineStr">
        <is>
          <t>Nature</t>
        </is>
      </c>
      <c r="G215" s="16" t="n">
        <v>4</v>
      </c>
      <c r="H215" s="17" t="inlineStr">
        <is>
          <t>Foe cannot select face-down unit as an attack target</t>
        </is>
      </c>
      <c r="I215" t="inlineStr">
        <is>
          <t>wording polish</t>
        </is>
      </c>
      <c r="J215" s="16" t="n"/>
      <c r="K215" s="16" t="n"/>
      <c r="L215" s="16">
        <f>(D215*6)+(E215*4)</f>
        <v/>
      </c>
      <c r="M215" s="16" t="n"/>
      <c r="N215" s="16" t="n"/>
      <c r="O215" s="16" t="n"/>
      <c r="P215" s="16" t="n"/>
      <c r="Q215" s="16" t="n"/>
    </row>
    <row r="216" ht="44.05" customHeight="1" s="47">
      <c r="A216" s="8" t="inlineStr">
        <is>
          <t>Death Cobra</t>
        </is>
      </c>
      <c r="B216" s="9" t="inlineStr">
        <is>
          <t>Unit</t>
        </is>
      </c>
      <c r="C216" s="16" t="n">
        <v>900</v>
      </c>
      <c r="D216" s="16" t="n">
        <v>85</v>
      </c>
      <c r="E216" s="16" t="n">
        <v>50</v>
      </c>
      <c r="F216" s="17" t="inlineStr">
        <is>
          <t>Nature</t>
        </is>
      </c>
      <c r="G216" s="16" t="n">
        <v>4</v>
      </c>
      <c r="H216" s="17" t="inlineStr">
        <is>
          <t>End of turn: Choose 1 foe unit. Put Venom flag on it.</t>
        </is>
      </c>
      <c r="I216" t="inlineStr">
        <is>
          <t>Synced to implemented rule; any foe unit (Exposed or face-down flips up).</t>
        </is>
      </c>
      <c r="J216" s="16" t="n"/>
      <c r="K216" s="17" t="inlineStr">
        <is>
          <t>Yes</t>
        </is>
      </c>
      <c r="L216" s="16">
        <f>(D216*6)+(E216*4)</f>
        <v/>
      </c>
      <c r="M216" s="17" t="inlineStr">
        <is>
          <t>Yes</t>
        </is>
      </c>
      <c r="N216" s="16" t="n"/>
      <c r="O216" s="16" t="n"/>
      <c r="P216" s="17" t="inlineStr">
        <is>
          <t>Yes</t>
        </is>
      </c>
      <c r="Q216" s="16" t="n"/>
    </row>
    <row r="217" ht="44.05" customHeight="1" s="47">
      <c r="A217" s="8" t="inlineStr">
        <is>
          <t>Blood Hound</t>
        </is>
      </c>
      <c r="B217" s="9" t="inlineStr">
        <is>
          <t>Unit</t>
        </is>
      </c>
      <c r="C217" s="16" t="n">
        <v>850</v>
      </c>
      <c r="D217" s="16" t="n">
        <v>60</v>
      </c>
      <c r="E217" s="16" t="n">
        <v>80</v>
      </c>
      <c r="F217" s="17" t="inlineStr">
        <is>
          <t>Nature</t>
        </is>
      </c>
      <c r="G217" s="16" t="n">
        <v>4</v>
      </c>
      <c r="H217" s="17" t="inlineStr">
        <is>
          <t>When foe attacks a Dead End, swap this card with it. Usable face-down.</t>
        </is>
      </c>
      <c r="J217" s="16" t="n"/>
      <c r="K217" s="16" t="n"/>
      <c r="L217" s="16">
        <f>(D217*6)+(E217*4)</f>
        <v/>
      </c>
      <c r="M217" s="16" t="n"/>
      <c r="N217" s="16" t="n"/>
      <c r="O217" s="16" t="n"/>
      <c r="P217" s="16" t="n"/>
      <c r="Q217" s="16" t="n"/>
    </row>
    <row r="218" ht="44.05" customHeight="1" s="47">
      <c r="A218" s="8" t="inlineStr">
        <is>
          <t>Crab Ronin</t>
        </is>
      </c>
      <c r="B218" s="9" t="inlineStr">
        <is>
          <t>Unit</t>
        </is>
      </c>
      <c r="C218" s="16" t="n">
        <v>950</v>
      </c>
      <c r="D218" s="16" t="n">
        <v>75</v>
      </c>
      <c r="E218" s="16" t="n">
        <v>50</v>
      </c>
      <c r="F218" s="17" t="inlineStr">
        <is>
          <t>Nature</t>
        </is>
      </c>
      <c r="G218" s="16" t="n">
        <v>4</v>
      </c>
      <c r="H218" s="17" t="inlineStr">
        <is>
          <t>At battle calculation, pay 1000 Crystals then +20 DEF permanently</t>
        </is>
      </c>
      <c r="J218" s="16" t="n"/>
      <c r="K218" s="16" t="n"/>
      <c r="L218" s="16">
        <f>(D218*6)+(E218*4)</f>
        <v/>
      </c>
      <c r="M218" s="16" t="n"/>
      <c r="N218" s="16" t="n"/>
      <c r="O218" s="16" t="n"/>
      <c r="P218" s="16" t="n"/>
      <c r="Q218" s="16" t="n"/>
    </row>
    <row r="219" ht="44.05" customHeight="1" s="47">
      <c r="A219" s="8" t="inlineStr">
        <is>
          <t>Dryad</t>
        </is>
      </c>
      <c r="B219" s="9" t="inlineStr">
        <is>
          <t>Unit</t>
        </is>
      </c>
      <c r="C219" s="16" t="n">
        <v>950</v>
      </c>
      <c r="D219" s="16" t="n">
        <v>20</v>
      </c>
      <c r="E219" s="16" t="n">
        <v>110</v>
      </c>
      <c r="F219" s="17" t="inlineStr">
        <is>
          <t>Nature</t>
        </is>
      </c>
      <c r="G219" s="16" t="n">
        <v>4</v>
      </c>
      <c r="H219" s="17" t="inlineStr">
        <is>
          <t>While Exposed, whenever foe’s card is destroyed, gain 300 Crystals</t>
        </is>
      </c>
      <c r="I219" t="inlineStr">
        <is>
          <t>wording polish</t>
        </is>
      </c>
      <c r="J219" s="16" t="n"/>
      <c r="K219" s="16" t="n"/>
      <c r="L219" s="16">
        <f>(D219*6)+(E219*4)</f>
        <v/>
      </c>
      <c r="M219" s="16" t="n"/>
      <c r="N219" s="16" t="n"/>
      <c r="O219" s="16" t="n"/>
      <c r="P219" s="16" t="n"/>
      <c r="Q219" s="16" t="n"/>
    </row>
    <row r="220" ht="44.05" customHeight="1" s="47">
      <c r="A220" s="8" t="inlineStr">
        <is>
          <t>Wending the Wise Princess</t>
        </is>
      </c>
      <c r="B220" s="9" t="inlineStr">
        <is>
          <t>Unit</t>
        </is>
      </c>
      <c r="C220" s="16" t="n">
        <v>300</v>
      </c>
      <c r="D220" s="16" t="n">
        <v>25</v>
      </c>
      <c r="E220" s="16" t="n">
        <v>30</v>
      </c>
      <c r="F220" s="17" t="inlineStr">
        <is>
          <t>Anima</t>
        </is>
      </c>
      <c r="G220" s="16" t="n">
        <v>2</v>
      </c>
      <c r="H220" s="17" t="inlineStr">
        <is>
          <t>Once Exposed: reveal 1 foe cell or put 1 Princess flag on an ally unit.</t>
        </is>
      </c>
      <c r="I220" t="inlineStr">
        <is>
          <t>Princess flag typo; Exposed terminology.</t>
        </is>
      </c>
      <c r="J220" s="16" t="n"/>
      <c r="K220" s="16" t="n"/>
      <c r="L220" s="16">
        <f>(D220*6)+(E220*4)</f>
        <v/>
      </c>
      <c r="M220" s="16" t="n"/>
      <c r="N220" s="16" t="n"/>
      <c r="O220" s="16" t="n"/>
      <c r="P220" s="16" t="n"/>
      <c r="Q220" s="16" t="n"/>
    </row>
    <row r="221" ht="44.05" customHeight="1" s="47">
      <c r="A221" s="8" t="inlineStr">
        <is>
          <t>Fern the Mermaid Princess</t>
        </is>
      </c>
      <c r="B221" s="9" t="inlineStr">
        <is>
          <t>Unit</t>
        </is>
      </c>
      <c r="C221" s="16" t="n">
        <v>350</v>
      </c>
      <c r="D221" s="16" t="n">
        <v>30</v>
      </c>
      <c r="E221" s="16" t="n">
        <v>30</v>
      </c>
      <c r="F221" s="17" t="inlineStr">
        <is>
          <t>Nature</t>
        </is>
      </c>
      <c r="G221" s="16" t="n">
        <v>2</v>
      </c>
      <c r="H221" s="17" t="inlineStr">
        <is>
          <t>Nature card that attacked this turn has +10 DEF until the end of foe’s turn.</t>
        </is>
      </c>
      <c r="J221" s="16" t="n"/>
      <c r="K221" s="16" t="n"/>
      <c r="L221" s="16">
        <f>(D221*6)+(E221*4)</f>
        <v/>
      </c>
      <c r="M221" s="16" t="n"/>
      <c r="N221" s="16" t="n"/>
      <c r="O221" s="16" t="n"/>
      <c r="P221" s="16" t="n"/>
      <c r="Q221" s="16" t="n"/>
    </row>
    <row r="222" ht="32.05" customHeight="1" s="47">
      <c r="A222" s="8" t="inlineStr">
        <is>
          <t>Sharoniel the Dragon Princess</t>
        </is>
      </c>
      <c r="B222" s="9" t="inlineStr">
        <is>
          <t>Unit</t>
        </is>
      </c>
      <c r="C222" s="16" t="n">
        <v>520</v>
      </c>
      <c r="D222" s="16" t="n">
        <v>40</v>
      </c>
      <c r="E222" s="16" t="n">
        <v>60</v>
      </c>
      <c r="F222" s="17" t="inlineStr">
        <is>
          <t>Nature</t>
        </is>
      </c>
      <c r="G222" s="16" t="n">
        <v>3</v>
      </c>
      <c r="H222" s="17" t="inlineStr">
        <is>
          <t>This player's Exposed unit with Princess flag has +30 ATK</t>
        </is>
      </c>
      <c r="I222" t="inlineStr">
        <is>
          <t>wording polish</t>
        </is>
      </c>
      <c r="J222" s="16" t="n"/>
      <c r="K222" s="16" t="n"/>
      <c r="L222" s="16">
        <f>(D222*6)+(E222*4)</f>
        <v/>
      </c>
      <c r="M222" s="16" t="n"/>
      <c r="N222" s="16" t="n"/>
      <c r="O222" s="16" t="n"/>
      <c r="P222" s="16" t="n"/>
      <c r="Q222" s="16" t="n"/>
    </row>
    <row r="223" ht="44.05" customHeight="1" s="47">
      <c r="A223" s="8" t="inlineStr">
        <is>
          <t>Nelfa the Windstorm Princess</t>
        </is>
      </c>
      <c r="B223" s="9" t="inlineStr">
        <is>
          <t>Unit</t>
        </is>
      </c>
      <c r="C223" s="16" t="n">
        <v>550</v>
      </c>
      <c r="D223" s="16" t="n">
        <v>50</v>
      </c>
      <c r="E223" s="16" t="n">
        <v>40</v>
      </c>
      <c r="F223" s="17" t="inlineStr">
        <is>
          <t>Arcane</t>
        </is>
      </c>
      <c r="G223" s="16" t="n">
        <v>3</v>
      </c>
      <c r="H223" s="17" t="inlineStr">
        <is>
          <t>During battle, destroy defender if its ATK exceeds foe’s DEF by 30 or more</t>
        </is>
      </c>
      <c r="J223" s="16" t="n"/>
      <c r="K223" s="16" t="n"/>
      <c r="L223" s="16">
        <f>(D223*6)+(E223*4)</f>
        <v/>
      </c>
      <c r="M223" s="16" t="n"/>
      <c r="N223" s="16" t="n"/>
      <c r="O223" s="16" t="n"/>
      <c r="P223" s="16" t="n"/>
      <c r="Q223" s="16" t="n"/>
    </row>
    <row r="224" ht="32.05" customHeight="1" s="47">
      <c r="A224" s="8" t="inlineStr">
        <is>
          <t>Lindsy the Brave Princess</t>
        </is>
      </c>
      <c r="B224" s="9" t="inlineStr">
        <is>
          <t>Unit</t>
        </is>
      </c>
      <c r="C224" s="16" t="n">
        <v>600</v>
      </c>
      <c r="D224" s="16" t="n">
        <v>55</v>
      </c>
      <c r="E224" s="16" t="n">
        <v>35</v>
      </c>
      <c r="F224" s="17" t="inlineStr">
        <is>
          <t>Anima</t>
        </is>
      </c>
      <c r="G224" s="16" t="n">
        <v>3</v>
      </c>
      <c r="H224" s="17" t="inlineStr">
        <is>
          <t>At the start of each turn, put 1 Princess flag on ally unit</t>
        </is>
      </c>
      <c r="I224" t="inlineStr">
        <is>
          <t>wording polish</t>
        </is>
      </c>
      <c r="J224" s="16" t="n"/>
      <c r="K224" s="16" t="n"/>
      <c r="L224" s="16">
        <f>(D224*6)+(E224*4)</f>
        <v/>
      </c>
      <c r="M224" s="16" t="n"/>
      <c r="N224" s="16" t="n"/>
      <c r="O224" s="16" t="n"/>
      <c r="P224" s="16" t="n"/>
      <c r="Q224" s="16" t="n"/>
    </row>
    <row r="225" ht="44.05" customHeight="1" s="47">
      <c r="A225" s="8" t="inlineStr">
        <is>
          <t>Rena the Space Princess</t>
        </is>
      </c>
      <c r="B225" s="9" t="inlineStr">
        <is>
          <t>Unit</t>
        </is>
      </c>
      <c r="C225" s="16" t="n">
        <v>420</v>
      </c>
      <c r="D225" s="16" t="n">
        <v>40</v>
      </c>
      <c r="E225" s="16" t="n">
        <v>40</v>
      </c>
      <c r="F225" s="17" t="inlineStr">
        <is>
          <t>Cosmic</t>
        </is>
      </c>
      <c r="G225" s="16" t="n">
        <v>3</v>
      </c>
      <c r="H225" s="17" t="inlineStr">
        <is>
          <t>If this card would be destroyed, remove 1 Princess flag from ally unit instead.</t>
        </is>
      </c>
      <c r="I225" t="inlineStr">
        <is>
          <t>wording polish</t>
        </is>
      </c>
      <c r="J225" s="16" t="n"/>
      <c r="K225" s="16" t="n"/>
      <c r="L225" s="16">
        <f>(D225*6)+(E225*4)</f>
        <v/>
      </c>
      <c r="M225" s="16" t="n"/>
      <c r="N225" s="16" t="n"/>
      <c r="O225" s="16" t="n"/>
      <c r="P225" s="16" t="n"/>
      <c r="Q225" s="16" t="n"/>
    </row>
    <row r="226" ht="20.05" customHeight="1" s="47">
      <c r="A226" s="8" t="inlineStr">
        <is>
          <t>Wild Centaur</t>
        </is>
      </c>
      <c r="B226" s="9" t="inlineStr">
        <is>
          <t>Unit</t>
        </is>
      </c>
      <c r="C226" s="16" t="n">
        <v>800</v>
      </c>
      <c r="D226" s="16" t="n">
        <v>55</v>
      </c>
      <c r="E226" s="16" t="n">
        <v>70</v>
      </c>
      <c r="F226" s="17" t="inlineStr">
        <is>
          <t>Nature</t>
        </is>
      </c>
      <c r="G226" s="16" t="n">
        <v>3</v>
      </c>
      <c r="H226" s="17" t="inlineStr">
        <is>
          <t>None</t>
        </is>
      </c>
      <c r="J226" s="16" t="n"/>
      <c r="K226" s="16" t="n"/>
      <c r="L226" s="16">
        <f>(D226*6)+(E226*4)</f>
        <v/>
      </c>
      <c r="M226" s="16" t="n"/>
      <c r="N226" s="16" t="n"/>
      <c r="O226" s="16" t="n"/>
      <c r="P226" s="16" t="n"/>
      <c r="Q226" s="16" t="n"/>
    </row>
    <row r="227" ht="20.05" customHeight="1" s="47">
      <c r="A227" s="8" t="inlineStr">
        <is>
          <t>Wild Minotaur</t>
        </is>
      </c>
      <c r="B227" s="9" t="inlineStr">
        <is>
          <t>Unit</t>
        </is>
      </c>
      <c r="C227" s="16" t="n">
        <v>800</v>
      </c>
      <c r="D227" s="16" t="n">
        <v>65</v>
      </c>
      <c r="E227" s="16" t="n">
        <v>65</v>
      </c>
      <c r="F227" s="17" t="inlineStr">
        <is>
          <t>Nature</t>
        </is>
      </c>
      <c r="G227" s="16" t="n">
        <v>3</v>
      </c>
      <c r="H227" s="17" t="inlineStr">
        <is>
          <t>None</t>
        </is>
      </c>
      <c r="J227" s="16" t="n"/>
      <c r="K227" s="16" t="n"/>
      <c r="L227" s="16">
        <f>(D227*6)+(E227*4)</f>
        <v/>
      </c>
      <c r="M227" s="16" t="n"/>
      <c r="N227" s="16" t="n"/>
      <c r="O227" s="16" t="n"/>
      <c r="P227" s="16" t="n"/>
      <c r="Q227" s="16" t="n"/>
    </row>
    <row r="228" ht="20.05" customHeight="1" s="47">
      <c r="A228" s="8" t="inlineStr">
        <is>
          <t>Wild Pegasus</t>
        </is>
      </c>
      <c r="B228" s="9" t="inlineStr">
        <is>
          <t>Unit</t>
        </is>
      </c>
      <c r="C228" s="16" t="n">
        <v>800</v>
      </c>
      <c r="D228" s="16" t="n">
        <v>60</v>
      </c>
      <c r="E228" s="16" t="n">
        <v>60</v>
      </c>
      <c r="F228" s="17" t="inlineStr">
        <is>
          <t>Nature</t>
        </is>
      </c>
      <c r="G228" s="16" t="n">
        <v>3</v>
      </c>
      <c r="H228" s="17" t="inlineStr">
        <is>
          <t>None</t>
        </is>
      </c>
      <c r="J228" s="16" t="n"/>
      <c r="K228" s="16" t="n"/>
      <c r="L228" s="16">
        <f>(D228*6)+(E228*4)</f>
        <v/>
      </c>
      <c r="M228" s="16" t="n"/>
      <c r="N228" s="16" t="n"/>
      <c r="O228" s="16" t="n"/>
      <c r="P228" s="16" t="n"/>
      <c r="Q228" s="16" t="n"/>
    </row>
    <row r="229" ht="44.05" customHeight="1" s="47">
      <c r="A229" s="8" t="inlineStr">
        <is>
          <t>Diamond Porcupine</t>
        </is>
      </c>
      <c r="B229" s="9" t="inlineStr">
        <is>
          <t>Unit</t>
        </is>
      </c>
      <c r="C229" s="16" t="n"/>
      <c r="D229" s="16" t="n">
        <v>75</v>
      </c>
      <c r="E229" s="16" t="n">
        <v>90</v>
      </c>
      <c r="F229" s="17" t="inlineStr">
        <is>
          <t>Nature</t>
        </is>
      </c>
      <c r="G229" s="16" t="n">
        <v>5</v>
      </c>
      <c r="H229" s="17" t="inlineStr">
        <is>
          <t>Once: when this card defends, the attacker permanently loses 15 ATK.</t>
        </is>
      </c>
      <c r="I229" t="inlineStr">
        <is>
          <t>wording polish</t>
        </is>
      </c>
      <c r="J229" s="16" t="n"/>
      <c r="K229" s="16" t="n"/>
      <c r="L229" s="16">
        <f>(D229*6)+(E229*4)</f>
        <v/>
      </c>
      <c r="M229" s="16" t="n"/>
      <c r="N229" s="16" t="n"/>
      <c r="O229" s="16" t="n"/>
      <c r="P229" s="16" t="n"/>
      <c r="Q229" s="16" t="n"/>
    </row>
    <row r="230" ht="20.05" customHeight="1" s="47">
      <c r="A230" s="8" t="inlineStr">
        <is>
          <t>Ant Lion</t>
        </is>
      </c>
      <c r="B230" s="9" t="inlineStr">
        <is>
          <t>Unit</t>
        </is>
      </c>
      <c r="C230" s="16" t="n">
        <v>900</v>
      </c>
      <c r="D230" s="16" t="n">
        <v>90</v>
      </c>
      <c r="E230" s="16" t="n">
        <v>90</v>
      </c>
      <c r="F230" s="17" t="inlineStr">
        <is>
          <t>Nature</t>
        </is>
      </c>
      <c r="G230" s="16" t="n">
        <v>5</v>
      </c>
      <c r="H230" s="17" t="inlineStr">
        <is>
          <t>None</t>
        </is>
      </c>
      <c r="J230" s="16" t="n"/>
      <c r="K230" s="16" t="n"/>
      <c r="L230" s="16">
        <f>(D230*6)+(E230*4)</f>
        <v/>
      </c>
      <c r="M230" s="16" t="n"/>
      <c r="N230" s="16" t="n"/>
      <c r="O230" s="16" t="n"/>
      <c r="P230" s="16" t="n"/>
      <c r="Q230" s="16" t="n"/>
    </row>
    <row r="231" ht="20.05" customHeight="1" s="47">
      <c r="A231" s="8" t="inlineStr">
        <is>
          <t>Sandstone Golem</t>
        </is>
      </c>
      <c r="B231" s="9" t="inlineStr">
        <is>
          <t>Unit</t>
        </is>
      </c>
      <c r="C231" s="16" t="n">
        <v>1200</v>
      </c>
      <c r="D231" s="16" t="n">
        <v>70</v>
      </c>
      <c r="E231" s="16" t="n">
        <v>130</v>
      </c>
      <c r="F231" s="17" t="inlineStr">
        <is>
          <t>Nature</t>
        </is>
      </c>
      <c r="G231" s="16" t="n">
        <v>5</v>
      </c>
      <c r="H231" s="17" t="inlineStr">
        <is>
          <t>Once: this card is not destroyed</t>
        </is>
      </c>
      <c r="I231" t="inlineStr">
        <is>
          <t>wording polish</t>
        </is>
      </c>
      <c r="J231" s="16" t="n"/>
      <c r="K231" s="16" t="n"/>
      <c r="L231" s="16">
        <f>(D231*6)+(E231*4)</f>
        <v/>
      </c>
      <c r="M231" s="16" t="n"/>
      <c r="N231" s="16" t="n"/>
      <c r="O231" s="16" t="n"/>
      <c r="P231" s="16" t="n"/>
      <c r="Q231" s="16" t="n"/>
    </row>
    <row r="232" ht="32.05" customHeight="1" s="47">
      <c r="A232" s="8" t="inlineStr">
        <is>
          <t>Volcanic Dragon</t>
        </is>
      </c>
      <c r="B232" s="9" t="inlineStr">
        <is>
          <t>Unit</t>
        </is>
      </c>
      <c r="C232" s="16" t="n">
        <v>1400</v>
      </c>
      <c r="D232" s="16" t="n">
        <v>125</v>
      </c>
      <c r="E232" s="16" t="n">
        <v>125</v>
      </c>
      <c r="F232" s="17" t="inlineStr">
        <is>
          <t>Nature</t>
        </is>
      </c>
      <c r="G232" s="16" t="n">
        <v>5</v>
      </c>
      <c r="H232" s="17" t="inlineStr">
        <is>
          <t>Can only attack if this is the only Exposed unit on its side</t>
        </is>
      </c>
      <c r="I232" t="inlineStr">
        <is>
          <t>wording polish</t>
        </is>
      </c>
      <c r="J232" s="16" t="n"/>
      <c r="K232" s="16" t="n"/>
      <c r="L232" s="16">
        <f>(D232*6)+(E232*4)</f>
        <v/>
      </c>
      <c r="M232" s="16" t="n"/>
      <c r="N232" s="16" t="n"/>
      <c r="O232" s="16" t="n"/>
      <c r="P232" s="16" t="n"/>
      <c r="Q232" s="16" t="n"/>
    </row>
    <row r="233" ht="20.05" customHeight="1" s="47">
      <c r="A233" s="8" t="inlineStr">
        <is>
          <t>Psy Warrior</t>
        </is>
      </c>
      <c r="B233" s="9" t="inlineStr">
        <is>
          <t>Unit</t>
        </is>
      </c>
      <c r="C233" s="16" t="n">
        <v>200</v>
      </c>
      <c r="D233" s="16" t="n">
        <v>20</v>
      </c>
      <c r="E233" s="16" t="n">
        <v>15</v>
      </c>
      <c r="F233" s="17" t="inlineStr">
        <is>
          <t>Arcane</t>
        </is>
      </c>
      <c r="G233" s="16" t="n">
        <v>1</v>
      </c>
      <c r="H233" s="17" t="inlineStr">
        <is>
          <t>None</t>
        </is>
      </c>
      <c r="J233" s="16" t="n"/>
      <c r="K233" s="16" t="n"/>
      <c r="L233" s="16">
        <f>(D233*6)+(E233*4)</f>
        <v/>
      </c>
      <c r="M233" s="16" t="n"/>
      <c r="N233" s="16" t="n"/>
      <c r="O233" s="16" t="n"/>
      <c r="P233" s="16" t="n"/>
      <c r="Q233" s="16" t="n"/>
    </row>
    <row r="234" ht="20.05" customHeight="1" s="47">
      <c r="A234" s="8" t="inlineStr">
        <is>
          <t>Planewalker</t>
        </is>
      </c>
      <c r="B234" s="9" t="inlineStr">
        <is>
          <t>Unit</t>
        </is>
      </c>
      <c r="C234" s="16" t="n">
        <v>200</v>
      </c>
      <c r="D234" s="16" t="n">
        <v>15</v>
      </c>
      <c r="E234" s="16" t="n">
        <v>15</v>
      </c>
      <c r="F234" s="17" t="inlineStr">
        <is>
          <t>Arcane</t>
        </is>
      </c>
      <c r="G234" s="16" t="n">
        <v>1</v>
      </c>
      <c r="H234" s="17" t="inlineStr">
        <is>
          <t>+10 ATK vs. Arcane</t>
        </is>
      </c>
      <c r="J234" s="16" t="n"/>
      <c r="K234" s="16" t="n"/>
      <c r="L234" s="16">
        <f>(D234*6)+(E234*4)</f>
        <v/>
      </c>
      <c r="M234" s="16" t="n"/>
      <c r="N234" s="16" t="n"/>
      <c r="O234" s="16" t="n"/>
      <c r="P234" s="16" t="n"/>
      <c r="Q234" s="16" t="n"/>
    </row>
    <row r="235" ht="20.05" customHeight="1" s="47">
      <c r="A235" s="8" t="inlineStr">
        <is>
          <t>Tower Guard</t>
        </is>
      </c>
      <c r="B235" s="9" t="inlineStr">
        <is>
          <t>Unit</t>
        </is>
      </c>
      <c r="C235" s="16" t="n">
        <v>160</v>
      </c>
      <c r="D235" s="16" t="n">
        <v>10</v>
      </c>
      <c r="E235" s="16" t="n">
        <v>25</v>
      </c>
      <c r="F235" s="17" t="inlineStr">
        <is>
          <t>Arcane</t>
        </is>
      </c>
      <c r="G235" s="16" t="n">
        <v>1</v>
      </c>
      <c r="H235" s="17" t="inlineStr">
        <is>
          <t>None</t>
        </is>
      </c>
      <c r="J235" s="16" t="n"/>
      <c r="K235" s="16" t="n"/>
      <c r="L235" s="16">
        <f>(D235*6)+(E235*4)</f>
        <v/>
      </c>
      <c r="M235" s="16" t="n"/>
      <c r="N235" s="16" t="n"/>
      <c r="O235" s="16" t="n"/>
      <c r="P235" s="16" t="n"/>
      <c r="Q235" s="16" t="n"/>
    </row>
    <row r="236" ht="32.05" customHeight="1" s="47">
      <c r="A236" s="8" t="inlineStr">
        <is>
          <t>Dwarven Explorer</t>
        </is>
      </c>
      <c r="B236" s="9" t="inlineStr">
        <is>
          <t>Unit</t>
        </is>
      </c>
      <c r="C236" s="16" t="n">
        <v>250</v>
      </c>
      <c r="D236" s="16" t="n">
        <v>10</v>
      </c>
      <c r="E236" s="16" t="n">
        <v>15</v>
      </c>
      <c r="F236" s="17" t="inlineStr">
        <is>
          <t>Arcane</t>
        </is>
      </c>
      <c r="G236" s="16" t="n">
        <v>1</v>
      </c>
      <c r="H236" s="17" t="inlineStr">
        <is>
          <t>After this card battled, reveal 1 foe’s cell</t>
        </is>
      </c>
      <c r="J236" s="16" t="n"/>
      <c r="K236" s="16" t="n"/>
      <c r="L236" s="16">
        <f>(D236*6)+(E236*4)</f>
        <v/>
      </c>
      <c r="M236" s="16" t="n"/>
      <c r="N236" s="16" t="n"/>
      <c r="O236" s="16" t="n"/>
      <c r="P236" s="16" t="n"/>
      <c r="Q236" s="16" t="n"/>
    </row>
    <row r="237" ht="32.05" customHeight="1" s="47">
      <c r="A237" s="8" t="inlineStr">
        <is>
          <t>Gremlin Worker</t>
        </is>
      </c>
      <c r="B237" s="9" t="inlineStr">
        <is>
          <t>Unit</t>
        </is>
      </c>
      <c r="C237" s="16" t="n">
        <v>200</v>
      </c>
      <c r="D237" s="16" t="n">
        <v>15</v>
      </c>
      <c r="E237" s="16" t="n">
        <v>15</v>
      </c>
      <c r="F237" s="17" t="inlineStr">
        <is>
          <t>Arcane</t>
        </is>
      </c>
      <c r="G237" s="16" t="n">
        <v>1</v>
      </c>
      <c r="H237" s="17" t="inlineStr">
        <is>
          <t>This card is unaffected by 0-cost traps</t>
        </is>
      </c>
      <c r="I237" t="inlineStr">
        <is>
          <t>0 cost→0-cost</t>
        </is>
      </c>
      <c r="J237" s="16" t="n"/>
      <c r="K237" s="16" t="n"/>
      <c r="L237" s="16">
        <f>(D237*6)+(E237*4)</f>
        <v/>
      </c>
      <c r="M237" s="16" t="n"/>
      <c r="N237" s="16" t="n"/>
      <c r="O237" s="16" t="n"/>
      <c r="P237" s="16" t="n"/>
      <c r="Q237" s="16" t="n"/>
    </row>
    <row r="238" ht="20.05" customHeight="1" s="47">
      <c r="A238" s="8" t="inlineStr">
        <is>
          <t>Outpost Magician</t>
        </is>
      </c>
      <c r="B238" s="9" t="inlineStr">
        <is>
          <t>Unit</t>
        </is>
      </c>
      <c r="C238" s="16" t="n">
        <v>200</v>
      </c>
      <c r="D238" s="16" t="n">
        <v>15</v>
      </c>
      <c r="E238" s="16" t="n">
        <v>30</v>
      </c>
      <c r="F238" s="17" t="inlineStr">
        <is>
          <t>Arcane</t>
        </is>
      </c>
      <c r="G238" s="16" t="n">
        <v>1</v>
      </c>
      <c r="H238" s="17" t="inlineStr">
        <is>
          <t>None</t>
        </is>
      </c>
      <c r="J238" s="16" t="n"/>
      <c r="K238" s="16" t="n"/>
      <c r="L238" s="16">
        <f>(D238*6)+(E238*4)</f>
        <v/>
      </c>
      <c r="M238" s="16" t="n"/>
      <c r="N238" s="16" t="n"/>
      <c r="O238" s="16" t="n"/>
      <c r="P238" s="16" t="n"/>
      <c r="Q238" s="16" t="n"/>
    </row>
    <row r="239" ht="56.05" customHeight="1" s="47">
      <c r="A239" s="8" t="inlineStr">
        <is>
          <t>Lightning Hawk</t>
        </is>
      </c>
      <c r="B239" s="9" t="inlineStr">
        <is>
          <t>Unit</t>
        </is>
      </c>
      <c r="C239" s="16" t="n">
        <v>500</v>
      </c>
      <c r="D239" s="16" t="n">
        <v>20</v>
      </c>
      <c r="E239" s="16" t="n">
        <v>10</v>
      </c>
      <c r="F239" s="17" t="inlineStr">
        <is>
          <t>Arcane</t>
        </is>
      </c>
      <c r="G239" s="16" t="n">
        <v>1</v>
      </c>
      <c r="H239" s="17" t="inlineStr">
        <is>
          <t>After it performed attack, once per turn, flip 2 coins, if both are Heads, this card can attack 1 more time.</t>
        </is>
      </c>
      <c r="I239" t="inlineStr">
        <is>
          <t>wording polish</t>
        </is>
      </c>
      <c r="J239" s="16" t="n"/>
      <c r="K239" s="16" t="n"/>
      <c r="L239" s="16">
        <f>(D239*6)+(E239*4)</f>
        <v/>
      </c>
      <c r="M239" s="16" t="n"/>
      <c r="N239" s="16" t="n"/>
      <c r="O239" s="16" t="n"/>
      <c r="P239" s="16" t="n"/>
      <c r="Q239" s="16" t="n"/>
    </row>
    <row r="240" ht="20.05" customHeight="1" s="47">
      <c r="A240" s="8" t="inlineStr">
        <is>
          <t>Red Mage</t>
        </is>
      </c>
      <c r="B240" s="9" t="inlineStr">
        <is>
          <t>Unit</t>
        </is>
      </c>
      <c r="C240" s="16" t="n">
        <v>400</v>
      </c>
      <c r="D240" s="16" t="n">
        <v>20</v>
      </c>
      <c r="E240" s="16" t="n">
        <v>20</v>
      </c>
      <c r="F240" s="17" t="inlineStr">
        <is>
          <t>Arcane</t>
        </is>
      </c>
      <c r="G240" s="16" t="n">
        <v>1</v>
      </c>
      <c r="H240" s="17" t="inlineStr">
        <is>
          <t>+10 ATK vs Nature</t>
        </is>
      </c>
      <c r="J240" s="16" t="n"/>
      <c r="K240" s="17" t="inlineStr">
        <is>
          <t>Yes</t>
        </is>
      </c>
      <c r="L240" s="16">
        <f>(D240*6)+(E240*4)</f>
        <v/>
      </c>
      <c r="M240" s="17" t="inlineStr">
        <is>
          <t>Yes</t>
        </is>
      </c>
      <c r="N240" s="16" t="n"/>
      <c r="O240" s="17" t="inlineStr">
        <is>
          <t>Yes</t>
        </is>
      </c>
      <c r="P240" s="16" t="n"/>
      <c r="Q240" s="16" t="n"/>
    </row>
    <row r="241" ht="32.05" customHeight="1" s="47">
      <c r="A241" s="8" t="inlineStr">
        <is>
          <t>Cullan the Magic Swordsman</t>
        </is>
      </c>
      <c r="B241" s="9" t="inlineStr">
        <is>
          <t>Unit</t>
        </is>
      </c>
      <c r="C241" s="16" t="n">
        <v>200</v>
      </c>
      <c r="D241" s="16" t="n">
        <v>25</v>
      </c>
      <c r="E241" s="16" t="n">
        <v>10</v>
      </c>
      <c r="F241" s="17" t="inlineStr">
        <is>
          <t>Arcane</t>
        </is>
      </c>
      <c r="G241" s="16" t="n">
        <v>1</v>
      </c>
      <c r="H241" s="17" t="inlineStr">
        <is>
          <t>None</t>
        </is>
      </c>
      <c r="J241" s="16" t="n"/>
      <c r="K241" s="16" t="n"/>
      <c r="L241" s="16">
        <f>(D241*6)+(E241*4)</f>
        <v/>
      </c>
      <c r="M241" s="16" t="n"/>
      <c r="N241" s="16" t="n"/>
      <c r="O241" s="16" t="n"/>
      <c r="P241" s="16" t="n"/>
      <c r="Q241" s="16" t="n"/>
    </row>
    <row r="242" ht="44.05" customHeight="1" s="47">
      <c r="A242" s="8" t="inlineStr">
        <is>
          <t>Alluring Spellcaster</t>
        </is>
      </c>
      <c r="B242" s="9" t="inlineStr">
        <is>
          <t>Unit</t>
        </is>
      </c>
      <c r="C242" s="16" t="n">
        <v>500</v>
      </c>
      <c r="D242" s="16" t="n">
        <v>20</v>
      </c>
      <c r="E242" s="16" t="n">
        <v>15</v>
      </c>
      <c r="F242" s="17" t="inlineStr">
        <is>
          <t>Arcane</t>
        </is>
      </c>
      <c r="G242" s="16" t="n">
        <v>1</v>
      </c>
      <c r="H242" s="17" t="inlineStr">
        <is>
          <t>Once: at foe’s turn start, flip a coin. Heads: foe can only attack once.</t>
        </is>
      </c>
      <c r="I242" t="inlineStr">
        <is>
          <t>Head→Heads</t>
        </is>
      </c>
      <c r="J242" s="16" t="n"/>
      <c r="K242" s="16" t="n"/>
      <c r="L242" s="16">
        <f>(D242*6)+(E242*4)</f>
        <v/>
      </c>
      <c r="M242" s="16" t="n"/>
      <c r="N242" s="16" t="n"/>
      <c r="O242" s="16" t="n"/>
      <c r="P242" s="16" t="n"/>
      <c r="Q242" s="16" t="n"/>
    </row>
    <row r="243" ht="32.05" customHeight="1" s="47">
      <c r="A243" s="8" t="inlineStr">
        <is>
          <t>Mystic Dagger Dancer</t>
        </is>
      </c>
      <c r="B243" s="9" t="inlineStr">
        <is>
          <t>Unit</t>
        </is>
      </c>
      <c r="C243" s="16" t="n">
        <v>260</v>
      </c>
      <c r="D243" s="16" t="n">
        <v>25</v>
      </c>
      <c r="E243" s="16" t="n">
        <v>15</v>
      </c>
      <c r="F243" s="17" t="inlineStr">
        <is>
          <t>Arcane</t>
        </is>
      </c>
      <c r="G243" s="16" t="n">
        <v>1</v>
      </c>
      <c r="H243" s="17" t="inlineStr">
        <is>
          <t>None</t>
        </is>
      </c>
      <c r="J243" s="16" t="n"/>
      <c r="K243" s="16" t="n"/>
      <c r="L243" s="16">
        <f>(D243*6)+(E243*4)</f>
        <v/>
      </c>
      <c r="M243" s="16" t="n"/>
      <c r="N243" s="16" t="n"/>
      <c r="O243" s="16" t="n"/>
      <c r="P243" s="16" t="n"/>
      <c r="Q243" s="16" t="n"/>
    </row>
    <row r="244" ht="56.05" customHeight="1" s="47">
      <c r="A244" s="8" t="inlineStr">
        <is>
          <t>Greedy Gremlin</t>
        </is>
      </c>
      <c r="B244" s="9" t="inlineStr">
        <is>
          <t>Unit</t>
        </is>
      </c>
      <c r="C244" s="16" t="n">
        <v>300</v>
      </c>
      <c r="D244" s="16" t="n">
        <v>20</v>
      </c>
      <c r="E244" s="16" t="n">
        <v>20</v>
      </c>
      <c r="F244" s="17" t="inlineStr">
        <is>
          <t>Arcane</t>
        </is>
      </c>
      <c r="G244" s="16" t="n">
        <v>1</v>
      </c>
      <c r="H244" s="17" t="inlineStr">
        <is>
          <t>Whenever the owner gains Crystals from any source, this card gains +10 ATK and DEF permanently, once.</t>
        </is>
      </c>
      <c r="I244" t="inlineStr">
        <is>
          <t>ATK&amp;DEF→ATK and DEF</t>
        </is>
      </c>
      <c r="J244" s="16" t="n"/>
      <c r="K244" s="16" t="n"/>
      <c r="L244" s="16">
        <f>(D244*6)+(E244*4)</f>
        <v/>
      </c>
      <c r="M244" s="16" t="n"/>
      <c r="N244" s="16" t="n"/>
      <c r="O244" s="16" t="n"/>
      <c r="P244" s="16" t="n"/>
      <c r="Q244" s="16" t="n"/>
    </row>
    <row r="245" ht="44.05" customHeight="1" s="47">
      <c r="A245" s="8" t="inlineStr">
        <is>
          <t>Magical Smith</t>
        </is>
      </c>
      <c r="B245" s="9" t="inlineStr">
        <is>
          <t>Unit</t>
        </is>
      </c>
      <c r="C245" s="16" t="n">
        <v>170</v>
      </c>
      <c r="D245" s="16" t="n">
        <v>15</v>
      </c>
      <c r="E245" s="16" t="n">
        <v>15</v>
      </c>
      <c r="F245" s="17" t="inlineStr">
        <is>
          <t>Arcane</t>
        </is>
      </c>
      <c r="G245" s="16" t="n">
        <v>1</v>
      </c>
      <c r="H245" s="17" t="inlineStr">
        <is>
          <t>Once: if this card battles, +5 ATK and DEF until the end of this turn.</t>
        </is>
      </c>
      <c r="I245" t="inlineStr">
        <is>
          <t>ATK&amp;DEF→ATK and DEF</t>
        </is>
      </c>
      <c r="J245" s="16" t="n"/>
      <c r="K245" s="16" t="n"/>
      <c r="L245" s="16">
        <f>(D245*6)+(E245*4)</f>
        <v/>
      </c>
      <c r="M245" s="16" t="n"/>
      <c r="N245" s="16" t="n"/>
      <c r="O245" s="16" t="n"/>
      <c r="P245" s="16" t="n"/>
      <c r="Q245" s="16" t="n"/>
    </row>
    <row r="246" ht="20.05" customHeight="1" s="47">
      <c r="A246" s="8" t="inlineStr">
        <is>
          <t>Library Critters</t>
        </is>
      </c>
      <c r="B246" s="9" t="inlineStr">
        <is>
          <t>Unit</t>
        </is>
      </c>
      <c r="C246" s="16" t="n"/>
      <c r="D246" s="16" t="n"/>
      <c r="E246" s="16" t="n"/>
      <c r="F246" s="17" t="inlineStr">
        <is>
          <t>Arcane</t>
        </is>
      </c>
      <c r="G246" s="16" t="n">
        <v>1</v>
      </c>
      <c r="H246" s="17" t="inlineStr">
        <is>
          <t>None</t>
        </is>
      </c>
      <c r="J246" s="16" t="n"/>
      <c r="K246" s="16" t="n"/>
      <c r="L246" s="16">
        <f>(D246*6)+(E246*4)</f>
        <v/>
      </c>
      <c r="M246" s="16" t="n"/>
      <c r="N246" s="16" t="n"/>
      <c r="O246" s="16" t="n"/>
      <c r="P246" s="16" t="n"/>
      <c r="Q246" s="16" t="n"/>
    </row>
    <row r="247" ht="44.05" customHeight="1" s="47">
      <c r="A247" s="8" t="inlineStr">
        <is>
          <t>Gem Turtle</t>
        </is>
      </c>
      <c r="B247" s="9" t="inlineStr">
        <is>
          <t>Unit</t>
        </is>
      </c>
      <c r="C247" s="16" t="n"/>
      <c r="D247" s="16" t="n">
        <v>0</v>
      </c>
      <c r="E247" s="16" t="n">
        <v>30</v>
      </c>
      <c r="F247" s="17" t="inlineStr">
        <is>
          <t>Arcane</t>
        </is>
      </c>
      <c r="G247" s="16" t="n">
        <v>1</v>
      </c>
      <c r="H247" s="17" t="inlineStr">
        <is>
          <t>Once: when this card defends, the attacker permanently loses 5 ATK.</t>
        </is>
      </c>
      <c r="I247" t="inlineStr">
        <is>
          <t>wording polish</t>
        </is>
      </c>
      <c r="J247" s="16" t="n"/>
      <c r="K247" s="16" t="n"/>
      <c r="L247" s="16">
        <f>(D247*6)+(E247*4)</f>
        <v/>
      </c>
      <c r="M247" s="16" t="n"/>
      <c r="N247" s="16" t="n"/>
      <c r="O247" s="16" t="n"/>
      <c r="P247" s="16" t="n"/>
      <c r="Q247" s="16" t="n"/>
    </row>
    <row r="248" ht="20.05" customHeight="1" s="47">
      <c r="A248" s="8" t="inlineStr">
        <is>
          <t>Mighty Genie</t>
        </is>
      </c>
      <c r="B248" s="9" t="inlineStr">
        <is>
          <t>Unit</t>
        </is>
      </c>
      <c r="C248" s="16" t="n"/>
      <c r="D248" s="16" t="n"/>
      <c r="E248" s="16" t="n"/>
      <c r="F248" s="17" t="inlineStr">
        <is>
          <t>Arcane</t>
        </is>
      </c>
      <c r="G248" s="16" t="n">
        <v>1</v>
      </c>
      <c r="H248" s="16" t="n"/>
      <c r="J248" s="16" t="n"/>
      <c r="K248" s="16" t="n"/>
      <c r="L248" s="16">
        <f>(D248*6)+(E248*4)</f>
        <v/>
      </c>
      <c r="M248" s="16" t="n"/>
      <c r="N248" s="16" t="n"/>
      <c r="O248" s="16" t="n"/>
      <c r="P248" s="16" t="n"/>
      <c r="Q248" s="16" t="n"/>
    </row>
    <row r="249" ht="20.05" customHeight="1" s="47">
      <c r="A249" s="8" t="inlineStr">
        <is>
          <t>Apprentice Mage</t>
        </is>
      </c>
      <c r="B249" s="9" t="inlineStr">
        <is>
          <t>Unit</t>
        </is>
      </c>
      <c r="C249" s="16" t="n"/>
      <c r="D249" s="16" t="n">
        <v>20</v>
      </c>
      <c r="E249" s="16" t="n">
        <v>20</v>
      </c>
      <c r="F249" s="17" t="inlineStr">
        <is>
          <t>Arcane</t>
        </is>
      </c>
      <c r="G249" s="16" t="n">
        <v>1</v>
      </c>
      <c r="H249" s="17" t="inlineStr">
        <is>
          <t>+5 ATK and DEF vs Non-Arcane</t>
        </is>
      </c>
      <c r="I249" t="inlineStr">
        <is>
          <t>ATK&amp;DEF→ATK and DEF</t>
        </is>
      </c>
      <c r="J249" s="16" t="n"/>
      <c r="K249" s="16" t="n"/>
      <c r="L249" s="16">
        <f>(D249*6)+(E249*4)</f>
        <v/>
      </c>
      <c r="M249" s="16" t="n"/>
      <c r="N249" s="16" t="n"/>
      <c r="O249" s="16" t="n"/>
      <c r="P249" s="16" t="n"/>
      <c r="Q249" s="16" t="n"/>
    </row>
    <row r="250" ht="20.05" customHeight="1" s="47">
      <c r="A250" s="8" t="inlineStr">
        <is>
          <t>Magic Headhunter</t>
        </is>
      </c>
      <c r="B250" s="9" t="inlineStr">
        <is>
          <t>Unit</t>
        </is>
      </c>
      <c r="C250" s="16" t="n"/>
      <c r="D250" s="16" t="n">
        <v>20</v>
      </c>
      <c r="E250" s="16" t="n">
        <v>15</v>
      </c>
      <c r="F250" s="17" t="inlineStr">
        <is>
          <t>Arcane</t>
        </is>
      </c>
      <c r="G250" s="16" t="n">
        <v>1</v>
      </c>
      <c r="H250" s="17" t="inlineStr">
        <is>
          <t>+10 ATK vs Arcane</t>
        </is>
      </c>
      <c r="J250" s="16" t="n"/>
      <c r="K250" s="16" t="n"/>
      <c r="L250" s="16">
        <f>(D250*6)+(E250*4)</f>
        <v/>
      </c>
      <c r="M250" s="16" t="n"/>
      <c r="N250" s="16" t="n"/>
      <c r="O250" s="16" t="n"/>
      <c r="P250" s="16" t="n"/>
      <c r="Q250" s="16" t="n"/>
    </row>
    <row r="251" ht="44.05" customHeight="1" s="47">
      <c r="A251" s="8" t="inlineStr">
        <is>
          <t>Dwarven Miner</t>
        </is>
      </c>
      <c r="B251" s="9" t="inlineStr">
        <is>
          <t>Unit</t>
        </is>
      </c>
      <c r="C251" s="16" t="n">
        <v>380</v>
      </c>
      <c r="D251" s="16" t="n">
        <v>30</v>
      </c>
      <c r="E251" s="16" t="n">
        <v>20</v>
      </c>
      <c r="F251" s="17" t="inlineStr">
        <is>
          <t>Arcane</t>
        </is>
      </c>
      <c r="G251" s="16" t="n">
        <v>2</v>
      </c>
      <c r="H251" s="17" t="inlineStr">
        <is>
          <t>After this card battled, flip a coin. Heads: reveal 1 of foe’s cell, Tails: it lose 5 ATK</t>
        </is>
      </c>
      <c r="I251" t="inlineStr">
        <is>
          <t>Head→Heads; Tail→Tails</t>
        </is>
      </c>
      <c r="J251" s="16" t="n"/>
      <c r="K251" s="16" t="n"/>
      <c r="L251" s="16">
        <f>(D251*6)+(E251*4)</f>
        <v/>
      </c>
      <c r="M251" s="16" t="n"/>
      <c r="N251" s="16" t="n"/>
      <c r="O251" s="16" t="n"/>
      <c r="P251" s="16" t="n"/>
      <c r="Q251" s="16" t="n"/>
    </row>
    <row r="252" ht="56.05" customHeight="1" s="47">
      <c r="A252" s="8" t="inlineStr">
        <is>
          <t>Dwarven Bomber</t>
        </is>
      </c>
      <c r="B252" s="9" t="inlineStr">
        <is>
          <t>Unit</t>
        </is>
      </c>
      <c r="C252" s="16" t="n">
        <v>600</v>
      </c>
      <c r="D252" s="16" t="n">
        <v>35</v>
      </c>
      <c r="E252" s="16" t="n">
        <v>15</v>
      </c>
      <c r="F252" s="17" t="inlineStr">
        <is>
          <t>Arcane</t>
        </is>
      </c>
      <c r="G252" s="16" t="n">
        <v>2</v>
      </c>
      <c r="H252" s="17" t="inlineStr">
        <is>
          <t>After battle: Flip 3 coins. Reveal up to that many foe cells (Heads). All Tails: destroy this unit.</t>
        </is>
      </c>
      <c r="I252" t="inlineStr">
        <is>
          <t>Fixed typos; confirmed 3-coin intent.</t>
        </is>
      </c>
      <c r="J252" s="16" t="n"/>
      <c r="K252" s="16" t="n"/>
      <c r="L252" s="16">
        <f>(D252*6)+(E252*4)</f>
        <v/>
      </c>
      <c r="M252" s="16" t="n"/>
      <c r="N252" s="16" t="n"/>
      <c r="O252" s="16" t="n"/>
      <c r="P252" s="16" t="n"/>
      <c r="Q252" s="16" t="n"/>
    </row>
    <row r="253" ht="20.05" customHeight="1" s="47">
      <c r="A253" s="8" t="inlineStr">
        <is>
          <t>Mad Spellcaster</t>
        </is>
      </c>
      <c r="B253" s="9" t="inlineStr">
        <is>
          <t>Unit</t>
        </is>
      </c>
      <c r="C253" s="16" t="n">
        <v>300</v>
      </c>
      <c r="D253" s="16" t="n">
        <v>40</v>
      </c>
      <c r="E253" s="16" t="n">
        <v>0</v>
      </c>
      <c r="F253" s="17" t="inlineStr">
        <is>
          <t>Arcane</t>
        </is>
      </c>
      <c r="G253" s="16" t="n">
        <v>2</v>
      </c>
      <c r="H253" s="17" t="inlineStr">
        <is>
          <t>None</t>
        </is>
      </c>
      <c r="J253" s="16" t="n"/>
      <c r="K253" s="16" t="n"/>
      <c r="L253" s="16">
        <f>(D253*6)+(E253*4)</f>
        <v/>
      </c>
      <c r="M253" s="16" t="n"/>
      <c r="N253" s="16" t="n"/>
      <c r="O253" s="16" t="n"/>
      <c r="P253" s="16" t="n"/>
      <c r="Q253" s="16" t="n"/>
    </row>
    <row r="254" ht="32.05" customHeight="1" s="47">
      <c r="A254" s="8" t="inlineStr">
        <is>
          <t>Ore Transporter</t>
        </is>
      </c>
      <c r="B254" s="9" t="inlineStr">
        <is>
          <t>Unit</t>
        </is>
      </c>
      <c r="C254" s="16" t="n">
        <v>280</v>
      </c>
      <c r="D254" s="16" t="n">
        <v>20</v>
      </c>
      <c r="E254" s="16" t="n">
        <v>35</v>
      </c>
      <c r="F254" s="17" t="inlineStr">
        <is>
          <t>Arcane</t>
        </is>
      </c>
      <c r="G254" s="16" t="n">
        <v>2</v>
      </c>
      <c r="H254" s="17" t="inlineStr">
        <is>
          <t>Whenever the owner uses Tech, they receive 20 Crystals</t>
        </is>
      </c>
      <c r="I254" t="inlineStr">
        <is>
          <t>wording polish</t>
        </is>
      </c>
      <c r="J254" s="16" t="n"/>
      <c r="K254" s="16" t="n"/>
      <c r="L254" s="16">
        <f>(D254*6)+(E254*4)</f>
        <v/>
      </c>
      <c r="M254" s="16" t="n"/>
      <c r="N254" s="16" t="n"/>
      <c r="O254" s="16" t="n"/>
      <c r="P254" s="16" t="n"/>
      <c r="Q254" s="16" t="n"/>
    </row>
    <row r="255" ht="44.05" customHeight="1" s="47">
      <c r="A255" s="8" t="inlineStr">
        <is>
          <t>Green Mage</t>
        </is>
      </c>
      <c r="B255" s="9" t="inlineStr">
        <is>
          <t>Unit</t>
        </is>
      </c>
      <c r="C255" s="16" t="n">
        <v>400</v>
      </c>
      <c r="D255" s="16" t="n">
        <v>15</v>
      </c>
      <c r="E255" s="16" t="n">
        <v>15</v>
      </c>
      <c r="F255" s="17" t="inlineStr">
        <is>
          <t>Arcane</t>
        </is>
      </c>
      <c r="G255" s="16" t="n">
        <v>2</v>
      </c>
      <c r="H255" s="17" t="inlineStr">
        <is>
          <t>When this card defends, the attacker permanently loses 10 ATK and DEF.</t>
        </is>
      </c>
      <c r="I255" t="inlineStr">
        <is>
          <t>ATK&amp;DEF→ATK and DEF</t>
        </is>
      </c>
      <c r="J255" s="16" t="n"/>
      <c r="K255" s="17" t="inlineStr">
        <is>
          <t>Yes</t>
        </is>
      </c>
      <c r="L255" s="16">
        <f>(D255*6)+(E255*4)</f>
        <v/>
      </c>
      <c r="M255" s="17" t="inlineStr">
        <is>
          <t>Yes</t>
        </is>
      </c>
      <c r="N255" s="16" t="n"/>
      <c r="O255" s="16" t="n"/>
      <c r="P255" s="17" t="inlineStr">
        <is>
          <t>Yes</t>
        </is>
      </c>
      <c r="Q255" s="16" t="n"/>
    </row>
    <row r="256" ht="44.05" customHeight="1" s="47">
      <c r="A256" s="8" t="inlineStr">
        <is>
          <t>Century Fortuneteller</t>
        </is>
      </c>
      <c r="B256" s="9" t="inlineStr">
        <is>
          <t>Unit</t>
        </is>
      </c>
      <c r="C256" s="16" t="n">
        <v>400</v>
      </c>
      <c r="D256" s="16" t="n">
        <v>25</v>
      </c>
      <c r="E256" s="16" t="n">
        <v>25</v>
      </c>
      <c r="F256" s="17" t="inlineStr">
        <is>
          <t>Arcane</t>
        </is>
      </c>
      <c r="G256" s="16" t="n">
        <v>2</v>
      </c>
      <c r="H256" s="17" t="inlineStr">
        <is>
          <t>Owner’s turn starts: flip a coin. Heads: +5 ATK until their turn ends. Usable face-down.</t>
        </is>
      </c>
      <c r="I256" t="inlineStr">
        <is>
          <t>Head→Heads</t>
        </is>
      </c>
      <c r="J256" s="16" t="n"/>
      <c r="K256" s="16" t="n"/>
      <c r="L256" s="16">
        <f>(D256*6)+(E256*4)</f>
        <v/>
      </c>
      <c r="M256" s="16" t="n"/>
      <c r="N256" s="16" t="n"/>
      <c r="O256" s="16" t="n"/>
      <c r="P256" s="16" t="n"/>
      <c r="Q256" s="16" t="n"/>
    </row>
    <row r="257" ht="20.05" customHeight="1" s="47">
      <c r="A257" s="8" t="inlineStr">
        <is>
          <t>Spell Exile</t>
        </is>
      </c>
      <c r="B257" s="9" t="inlineStr">
        <is>
          <t>Unit</t>
        </is>
      </c>
      <c r="C257" s="16" t="n">
        <v>350</v>
      </c>
      <c r="D257" s="16" t="n">
        <v>35</v>
      </c>
      <c r="E257" s="16" t="n">
        <v>30</v>
      </c>
      <c r="F257" s="17" t="inlineStr">
        <is>
          <t>Arcane</t>
        </is>
      </c>
      <c r="G257" s="16" t="n">
        <v>2</v>
      </c>
      <c r="H257" s="17" t="inlineStr">
        <is>
          <t>None</t>
        </is>
      </c>
      <c r="J257" s="16" t="n"/>
      <c r="K257" s="16" t="n"/>
      <c r="L257" s="16">
        <f>(D257*6)+(E257*4)</f>
        <v/>
      </c>
      <c r="M257" s="16" t="n"/>
      <c r="N257" s="16" t="n"/>
      <c r="O257" s="16" t="n"/>
      <c r="P257" s="16" t="n"/>
      <c r="Q257" s="16" t="n"/>
    </row>
    <row r="258" ht="20.05" customHeight="1" s="47">
      <c r="A258" s="8" t="inlineStr">
        <is>
          <t>Cloudbender</t>
        </is>
      </c>
      <c r="B258" s="9" t="inlineStr">
        <is>
          <t>Unit</t>
        </is>
      </c>
      <c r="C258" s="16" t="n">
        <v>350</v>
      </c>
      <c r="D258" s="16" t="n">
        <v>20</v>
      </c>
      <c r="E258" s="16" t="n">
        <v>35</v>
      </c>
      <c r="F258" s="17" t="inlineStr">
        <is>
          <t>Arcane</t>
        </is>
      </c>
      <c r="G258" s="16" t="n">
        <v>2</v>
      </c>
      <c r="H258" s="17" t="inlineStr">
        <is>
          <t>+15 DEF vs Cosmic</t>
        </is>
      </c>
      <c r="J258" s="16" t="n"/>
      <c r="K258" s="16" t="n"/>
      <c r="L258" s="16">
        <f>(D258*6)+(E258*4)</f>
        <v/>
      </c>
      <c r="M258" s="16" t="n"/>
      <c r="N258" s="16" t="n"/>
      <c r="O258" s="16" t="n"/>
      <c r="P258" s="16" t="n"/>
      <c r="Q258" s="16" t="n"/>
    </row>
    <row r="259" ht="56.05" customHeight="1" s="47">
      <c r="A259" s="8" t="inlineStr">
        <is>
          <t>Freya the Rift Walker</t>
        </is>
      </c>
      <c r="B259" s="9" t="inlineStr">
        <is>
          <t>Unit</t>
        </is>
      </c>
      <c r="C259" s="16" t="n">
        <v>400</v>
      </c>
      <c r="D259" s="16" t="n">
        <v>25</v>
      </c>
      <c r="E259" s="16" t="n">
        <v>35</v>
      </c>
      <c r="F259" s="17" t="inlineStr">
        <is>
          <t>Arcane</t>
        </is>
      </c>
      <c r="G259" s="16" t="n">
        <v>2</v>
      </c>
      <c r="H259" s="17" t="inlineStr">
        <is>
          <t>When ally Arcane unit is targeted, owner can swap it with this card. Usable face-down.</t>
        </is>
      </c>
      <c r="J259" s="16" t="n"/>
      <c r="K259" s="16" t="n"/>
      <c r="L259" s="16">
        <f>(D259*6)+(E259*4)</f>
        <v/>
      </c>
      <c r="M259" s="16" t="n"/>
      <c r="N259" s="16" t="n"/>
      <c r="O259" s="16" t="n"/>
      <c r="P259" s="16" t="n"/>
      <c r="Q259" s="16" t="n"/>
    </row>
    <row r="260" ht="20.05" customHeight="1" s="47">
      <c r="A260" s="8" t="inlineStr">
        <is>
          <t>Fire Elemental</t>
        </is>
      </c>
      <c r="B260" s="9" t="inlineStr">
        <is>
          <t>Unit</t>
        </is>
      </c>
      <c r="C260" s="16" t="n">
        <v>380</v>
      </c>
      <c r="D260" s="16" t="n">
        <v>35</v>
      </c>
      <c r="E260" s="16" t="n">
        <v>20</v>
      </c>
      <c r="F260" s="17" t="inlineStr">
        <is>
          <t>Arcane</t>
        </is>
      </c>
      <c r="G260" s="16" t="n">
        <v>2</v>
      </c>
      <c r="H260" s="17" t="inlineStr">
        <is>
          <t>None</t>
        </is>
      </c>
      <c r="J260" s="16" t="n"/>
      <c r="K260" s="16" t="n"/>
      <c r="L260" s="16">
        <f>(D260*6)+(E260*4)</f>
        <v/>
      </c>
      <c r="M260" s="16" t="n"/>
      <c r="N260" s="16" t="n"/>
      <c r="O260" s="16" t="n"/>
      <c r="P260" s="16" t="n"/>
      <c r="Q260" s="16" t="n"/>
    </row>
    <row r="261" ht="20.05" customHeight="1" s="47">
      <c r="A261" s="8" t="inlineStr">
        <is>
          <t>Water Elemental</t>
        </is>
      </c>
      <c r="B261" s="9" t="inlineStr">
        <is>
          <t>Unit</t>
        </is>
      </c>
      <c r="C261" s="16" t="n">
        <v>380</v>
      </c>
      <c r="D261" s="16" t="n">
        <v>25</v>
      </c>
      <c r="E261" s="16" t="n">
        <v>35</v>
      </c>
      <c r="F261" s="17" t="inlineStr">
        <is>
          <t>Arcane</t>
        </is>
      </c>
      <c r="G261" s="16" t="n">
        <v>2</v>
      </c>
      <c r="H261" s="17" t="inlineStr">
        <is>
          <t>None</t>
        </is>
      </c>
      <c r="J261" s="16" t="n"/>
      <c r="K261" s="16" t="n"/>
      <c r="L261" s="16">
        <f>(D261*6)+(E261*4)</f>
        <v/>
      </c>
      <c r="M261" s="16" t="n"/>
      <c r="N261" s="16" t="n"/>
      <c r="O261" s="16" t="n"/>
      <c r="P261" s="16" t="n"/>
      <c r="Q261" s="16" t="n"/>
    </row>
    <row r="262" ht="20.05" customHeight="1" s="47">
      <c r="A262" s="8" t="inlineStr">
        <is>
          <t>Wind Elemental</t>
        </is>
      </c>
      <c r="B262" s="9" t="inlineStr">
        <is>
          <t>Unit</t>
        </is>
      </c>
      <c r="C262" s="16" t="n">
        <v>380</v>
      </c>
      <c r="D262" s="16" t="n">
        <v>30</v>
      </c>
      <c r="E262" s="16" t="n">
        <v>30</v>
      </c>
      <c r="F262" s="17" t="inlineStr">
        <is>
          <t>Arcane</t>
        </is>
      </c>
      <c r="G262" s="16" t="n">
        <v>2</v>
      </c>
      <c r="H262" s="17" t="inlineStr">
        <is>
          <t>None</t>
        </is>
      </c>
      <c r="J262" s="16" t="n"/>
      <c r="K262" s="16" t="n"/>
      <c r="L262" s="16">
        <f>(D262*6)+(E262*4)</f>
        <v/>
      </c>
      <c r="M262" s="16" t="n"/>
      <c r="N262" s="16" t="n"/>
      <c r="O262" s="16" t="n"/>
      <c r="P262" s="16" t="n"/>
      <c r="Q262" s="16" t="n"/>
    </row>
    <row r="263" ht="20.05" customHeight="1" s="47">
      <c r="A263" s="8" t="inlineStr">
        <is>
          <t>Earth Elemental</t>
        </is>
      </c>
      <c r="B263" s="9" t="inlineStr">
        <is>
          <t>Unit</t>
        </is>
      </c>
      <c r="C263" s="16" t="n">
        <v>380</v>
      </c>
      <c r="D263" s="16" t="n">
        <v>20</v>
      </c>
      <c r="E263" s="16" t="n">
        <v>40</v>
      </c>
      <c r="F263" s="17" t="inlineStr">
        <is>
          <t>Arcane</t>
        </is>
      </c>
      <c r="G263" s="16" t="n">
        <v>2</v>
      </c>
      <c r="H263" s="17" t="inlineStr">
        <is>
          <t>None</t>
        </is>
      </c>
      <c r="J263" s="16" t="n"/>
      <c r="K263" s="16" t="n"/>
      <c r="L263" s="16">
        <f>(D263*6)+(E263*4)</f>
        <v/>
      </c>
      <c r="M263" s="16" t="n"/>
      <c r="N263" s="16" t="n"/>
      <c r="O263" s="16" t="n"/>
      <c r="P263" s="16" t="n"/>
      <c r="Q263" s="16" t="n"/>
    </row>
    <row r="264" ht="20.05" customHeight="1" s="47">
      <c r="A264" s="8" t="inlineStr">
        <is>
          <t>Tornado Genie</t>
        </is>
      </c>
      <c r="B264" s="9" t="inlineStr">
        <is>
          <t>Unit</t>
        </is>
      </c>
      <c r="C264" s="16" t="n">
        <v>700</v>
      </c>
      <c r="D264" s="16" t="n">
        <v>70</v>
      </c>
      <c r="E264" s="16" t="n">
        <v>55</v>
      </c>
      <c r="F264" s="17" t="inlineStr">
        <is>
          <t>Arcane</t>
        </is>
      </c>
      <c r="G264" s="16" t="n">
        <v>3</v>
      </c>
      <c r="H264" s="17" t="inlineStr">
        <is>
          <t>None</t>
        </is>
      </c>
      <c r="J264" s="16" t="n"/>
      <c r="K264" s="16" t="n"/>
      <c r="L264" s="16">
        <f>(D264*6)+(E264*4)</f>
        <v/>
      </c>
      <c r="M264" s="16" t="n"/>
      <c r="N264" s="16" t="n"/>
      <c r="O264" s="16" t="n"/>
      <c r="P264" s="16" t="n"/>
      <c r="Q264" s="16" t="n"/>
    </row>
    <row r="265" ht="32.05" customHeight="1" s="47">
      <c r="A265" s="8" t="inlineStr">
        <is>
          <t>Dwarven Guard</t>
        </is>
      </c>
      <c r="B265" s="9" t="inlineStr">
        <is>
          <t>Unit</t>
        </is>
      </c>
      <c r="C265" s="16" t="n">
        <v>750</v>
      </c>
      <c r="D265" s="16" t="n">
        <v>40</v>
      </c>
      <c r="E265" s="16" t="n">
        <v>65</v>
      </c>
      <c r="F265" s="17" t="inlineStr">
        <is>
          <t>Arcane</t>
        </is>
      </c>
      <c r="G265" s="16" t="n">
        <v>3</v>
      </c>
      <c r="H265" s="17" t="inlineStr">
        <is>
          <t>Once: if a dwarven card will be destroyed, it is not destroyed.</t>
        </is>
      </c>
      <c r="I265" t="inlineStr">
        <is>
          <t>wording polish</t>
        </is>
      </c>
      <c r="J265" s="16" t="n"/>
      <c r="K265" s="16" t="n"/>
      <c r="L265" s="16">
        <f>(D265*6)+(E265*4)</f>
        <v/>
      </c>
      <c r="M265" s="16" t="n"/>
      <c r="N265" s="16" t="n"/>
      <c r="O265" s="16" t="n"/>
      <c r="P265" s="16" t="n"/>
      <c r="Q265" s="16" t="n"/>
    </row>
    <row r="266" ht="44.05" customHeight="1" s="47">
      <c r="A266" s="8" t="inlineStr">
        <is>
          <t>Blue Mage</t>
        </is>
      </c>
      <c r="B266" s="9" t="inlineStr">
        <is>
          <t>Unit</t>
        </is>
      </c>
      <c r="C266" s="16" t="n">
        <v>800</v>
      </c>
      <c r="D266" s="16" t="n">
        <v>35</v>
      </c>
      <c r="E266" s="16" t="n">
        <v>35</v>
      </c>
      <c r="F266" s="17" t="inlineStr">
        <is>
          <t>Arcane</t>
        </is>
      </c>
      <c r="G266" s="16" t="n">
        <v>3</v>
      </c>
      <c r="H266" s="17" t="inlineStr">
        <is>
          <t>If this card battles non-Arcane card, flip two coins. If both are Heads, destroy it.</t>
        </is>
      </c>
      <c r="I266" t="inlineStr">
        <is>
          <t>wording polish</t>
        </is>
      </c>
      <c r="J266" s="16" t="n"/>
      <c r="K266" s="17" t="inlineStr">
        <is>
          <t>Yes</t>
        </is>
      </c>
      <c r="L266" s="16">
        <f>(D266*6)+(E266*4)</f>
        <v/>
      </c>
      <c r="M266" s="17" t="inlineStr">
        <is>
          <t>Yes</t>
        </is>
      </c>
      <c r="N266" s="16" t="n"/>
      <c r="O266" s="16" t="n"/>
      <c r="P266" s="16" t="n"/>
      <c r="Q266" s="17" t="inlineStr">
        <is>
          <t>Yes</t>
        </is>
      </c>
    </row>
    <row r="267" ht="20.05" customHeight="1" s="47">
      <c r="A267" s="8" t="inlineStr">
        <is>
          <t>Spell Sniper</t>
        </is>
      </c>
      <c r="B267" s="9" t="inlineStr">
        <is>
          <t>Unit</t>
        </is>
      </c>
      <c r="C267" s="16" t="n">
        <v>620</v>
      </c>
      <c r="D267" s="16" t="n">
        <v>20</v>
      </c>
      <c r="E267" s="16" t="n">
        <v>50</v>
      </c>
      <c r="F267" s="17" t="inlineStr">
        <is>
          <t>Arcane</t>
        </is>
      </c>
      <c r="G267" s="16" t="n">
        <v>3</v>
      </c>
      <c r="H267" s="17" t="inlineStr">
        <is>
          <t>+50 ATK vs face-down unit</t>
        </is>
      </c>
      <c r="I267" t="inlineStr">
        <is>
          <t>wording polish</t>
        </is>
      </c>
      <c r="J267" s="16" t="n"/>
      <c r="K267" s="16" t="n"/>
      <c r="L267" s="16">
        <f>(D267*6)+(E267*4)</f>
        <v/>
      </c>
      <c r="M267" s="16" t="n"/>
      <c r="N267" s="16" t="n"/>
      <c r="O267" s="16" t="n"/>
      <c r="P267" s="16" t="n"/>
      <c r="Q267" s="16" t="n"/>
    </row>
    <row r="268" ht="32.05" customHeight="1" s="47">
      <c r="A268" s="8" t="inlineStr">
        <is>
          <t>Aerial the Battlemage</t>
        </is>
      </c>
      <c r="B268" s="9" t="inlineStr">
        <is>
          <t>Unit</t>
        </is>
      </c>
      <c r="C268" s="16" t="n">
        <v>750</v>
      </c>
      <c r="D268" s="16" t="n">
        <v>50</v>
      </c>
      <c r="E268" s="16" t="n">
        <v>45</v>
      </c>
      <c r="F268" s="17" t="inlineStr">
        <is>
          <t>Arcane</t>
        </is>
      </c>
      <c r="G268" s="16" t="n">
        <v>3</v>
      </c>
      <c r="H268" s="17" t="inlineStr">
        <is>
          <t>+20 ATK and DEF if there is Union card on its side</t>
        </is>
      </c>
      <c r="I268" t="inlineStr">
        <is>
          <t>ATK&amp;DEF→ATK and DEF</t>
        </is>
      </c>
      <c r="J268" s="16" t="n"/>
      <c r="K268" s="17" t="inlineStr">
        <is>
          <t>Yes</t>
        </is>
      </c>
      <c r="L268" s="16">
        <f>(D268*6)+(E268*4)</f>
        <v/>
      </c>
      <c r="M268" s="17" t="inlineStr">
        <is>
          <t>Yes</t>
        </is>
      </c>
      <c r="N268" s="16" t="n"/>
      <c r="O268" s="16" t="n"/>
      <c r="P268" s="17" t="inlineStr">
        <is>
          <t>Yes</t>
        </is>
      </c>
      <c r="Q268" s="16" t="n"/>
    </row>
    <row r="269" ht="20.05" customHeight="1" s="47">
      <c r="A269" s="8" t="inlineStr">
        <is>
          <t>Energy Elf</t>
        </is>
      </c>
      <c r="B269" s="9" t="inlineStr">
        <is>
          <t>Unit</t>
        </is>
      </c>
      <c r="C269" s="16" t="n"/>
      <c r="D269" s="16" t="n"/>
      <c r="E269" s="16" t="n"/>
      <c r="F269" s="17" t="inlineStr">
        <is>
          <t>Arcane</t>
        </is>
      </c>
      <c r="G269" s="16" t="n">
        <v>3</v>
      </c>
      <c r="H269" s="17" t="inlineStr">
        <is>
          <t>None</t>
        </is>
      </c>
      <c r="J269" s="16" t="n"/>
      <c r="K269" s="16" t="n"/>
      <c r="L269" s="16">
        <f>(D269*6)+(E269*4)</f>
        <v/>
      </c>
      <c r="M269" s="16" t="n"/>
      <c r="N269" s="16" t="n"/>
      <c r="O269" s="16" t="n"/>
      <c r="P269" s="16" t="n"/>
      <c r="Q269" s="16" t="n"/>
    </row>
    <row r="270" ht="32.05" customHeight="1" s="47">
      <c r="A270" s="8" t="inlineStr">
        <is>
          <t>Bingo the Chrono Rabbit</t>
        </is>
      </c>
      <c r="B270" s="9" t="inlineStr">
        <is>
          <t>Unit</t>
        </is>
      </c>
      <c r="C270" s="16" t="n">
        <v>850</v>
      </c>
      <c r="D270" s="16" t="n">
        <v>60</v>
      </c>
      <c r="E270" s="16" t="n">
        <v>55</v>
      </c>
      <c r="F270" s="17" t="inlineStr">
        <is>
          <t>Arcane</t>
        </is>
      </c>
      <c r="G270" s="16" t="n">
        <v>3</v>
      </c>
      <c r="H270" s="17" t="inlineStr">
        <is>
          <t>Once: when this card defends, the attacker attack is negated.</t>
        </is>
      </c>
      <c r="I270" t="inlineStr">
        <is>
          <t>wording polish</t>
        </is>
      </c>
      <c r="J270" s="16" t="n"/>
      <c r="K270" s="16" t="n"/>
      <c r="L270" s="16">
        <f>(D270*6)+(E270*4)</f>
        <v/>
      </c>
      <c r="M270" s="16" t="n"/>
      <c r="N270" s="16" t="n"/>
      <c r="O270" s="16" t="n"/>
      <c r="P270" s="16" t="n"/>
      <c r="Q270" s="16" t="n"/>
    </row>
    <row r="271" ht="20.05" customHeight="1" s="47">
      <c r="A271" s="8" t="inlineStr">
        <is>
          <t>Book with Fangs</t>
        </is>
      </c>
      <c r="B271" s="9" t="inlineStr">
        <is>
          <t>Unit</t>
        </is>
      </c>
      <c r="C271" s="16" t="n">
        <v>800</v>
      </c>
      <c r="D271" s="16" t="n">
        <v>45</v>
      </c>
      <c r="E271" s="16" t="n">
        <v>55</v>
      </c>
      <c r="F271" s="17" t="inlineStr">
        <is>
          <t>Arcane</t>
        </is>
      </c>
      <c r="G271" s="16" t="n">
        <v>3</v>
      </c>
      <c r="H271" s="17" t="inlineStr">
        <is>
          <t>+30 ATK and DEF vs Arcane</t>
        </is>
      </c>
      <c r="I271" t="inlineStr">
        <is>
          <t>ATK&amp;DEF→ATK and DEF</t>
        </is>
      </c>
      <c r="J271" s="16" t="n"/>
      <c r="K271" s="17" t="inlineStr">
        <is>
          <t>Yes</t>
        </is>
      </c>
      <c r="L271" s="16">
        <f>(D271*6)+(E271*4)</f>
        <v/>
      </c>
      <c r="M271" s="17" t="inlineStr">
        <is>
          <t>Yes</t>
        </is>
      </c>
      <c r="N271" s="16" t="n"/>
      <c r="O271" s="16" t="n"/>
      <c r="P271" s="17" t="inlineStr">
        <is>
          <t>Yes</t>
        </is>
      </c>
      <c r="Q271" s="16" t="n"/>
    </row>
    <row r="272" ht="20.05" customHeight="1" s="47">
      <c r="A272" s="8" t="inlineStr">
        <is>
          <t>Mad Wyvern</t>
        </is>
      </c>
      <c r="B272" s="9" t="inlineStr">
        <is>
          <t>Unit</t>
        </is>
      </c>
      <c r="C272" s="16" t="n">
        <v>550</v>
      </c>
      <c r="D272" s="16" t="n">
        <v>65</v>
      </c>
      <c r="E272" s="16" t="n">
        <v>40</v>
      </c>
      <c r="F272" s="17" t="inlineStr">
        <is>
          <t>Arcane</t>
        </is>
      </c>
      <c r="G272" s="16" t="n">
        <v>3</v>
      </c>
      <c r="H272" s="17" t="inlineStr">
        <is>
          <t>None</t>
        </is>
      </c>
      <c r="J272" s="16" t="n"/>
      <c r="K272" s="16" t="n"/>
      <c r="L272" s="16">
        <f>(D272*6)+(E272*4)</f>
        <v/>
      </c>
      <c r="M272" s="16" t="n"/>
      <c r="N272" s="16" t="n"/>
      <c r="O272" s="16" t="n"/>
      <c r="P272" s="16" t="n"/>
      <c r="Q272" s="16" t="n"/>
    </row>
    <row r="273" ht="44.05" customHeight="1" s="47">
      <c r="A273" s="8" t="inlineStr">
        <is>
          <t>Ethereal Enchanter</t>
        </is>
      </c>
      <c r="B273" s="9" t="inlineStr">
        <is>
          <t>Unit</t>
        </is>
      </c>
      <c r="C273" s="16" t="n">
        <v>900</v>
      </c>
      <c r="D273" s="16" t="n">
        <v>50</v>
      </c>
      <c r="E273" s="16" t="n">
        <v>20</v>
      </c>
      <c r="F273" s="17" t="inlineStr">
        <is>
          <t>Arcane</t>
        </is>
      </c>
      <c r="G273" s="16" t="n">
        <v>4</v>
      </c>
      <c r="H273" s="17" t="inlineStr">
        <is>
          <t>Whenever the owner uses Tech, this card gain 50 ATK and DEF until the end of foe’s turn</t>
        </is>
      </c>
      <c r="I273" t="inlineStr">
        <is>
          <t>ATK&amp;DEF→ATK and DEF</t>
        </is>
      </c>
      <c r="J273" s="16" t="n"/>
      <c r="K273" s="16" t="n"/>
      <c r="L273" s="16">
        <f>(D273*6)+(E273*4)</f>
        <v/>
      </c>
      <c r="M273" s="16" t="n"/>
      <c r="N273" s="16" t="n"/>
      <c r="O273" s="16" t="n"/>
      <c r="P273" s="16" t="n"/>
      <c r="Q273" s="16" t="n"/>
    </row>
    <row r="274" ht="20.05" customHeight="1" s="47">
      <c r="A274" s="8" t="inlineStr">
        <is>
          <t>Mind Elemental</t>
        </is>
      </c>
      <c r="B274" s="9" t="inlineStr">
        <is>
          <t>Unit</t>
        </is>
      </c>
      <c r="C274" s="16" t="n">
        <v>900</v>
      </c>
      <c r="D274" s="16" t="n">
        <v>75</v>
      </c>
      <c r="E274" s="16" t="n">
        <v>75</v>
      </c>
      <c r="F274" s="17" t="inlineStr">
        <is>
          <t>Arcane</t>
        </is>
      </c>
      <c r="G274" s="16" t="n">
        <v>4</v>
      </c>
      <c r="H274" s="17" t="inlineStr">
        <is>
          <t>None</t>
        </is>
      </c>
      <c r="J274" s="16" t="n"/>
      <c r="K274" s="16" t="n"/>
      <c r="L274" s="16">
        <f>(D274*6)+(E274*4)</f>
        <v/>
      </c>
      <c r="M274" s="16" t="n"/>
      <c r="N274" s="16" t="n"/>
      <c r="O274" s="16" t="n"/>
      <c r="P274" s="16" t="n"/>
      <c r="Q274" s="16" t="n"/>
    </row>
    <row r="275" ht="68.05" customHeight="1" s="47">
      <c r="A275" s="8" t="inlineStr">
        <is>
          <t>Leviathan</t>
        </is>
      </c>
      <c r="B275" s="9" t="inlineStr">
        <is>
          <t>Unit</t>
        </is>
      </c>
      <c r="C275" s="16" t="n">
        <v>1200</v>
      </c>
      <c r="D275" s="16" t="n">
        <v>55</v>
      </c>
      <c r="E275" s="16" t="n">
        <v>85</v>
      </c>
      <c r="F275" s="17" t="inlineStr">
        <is>
          <t>Arcane</t>
        </is>
      </c>
      <c r="G275" s="16" t="n">
        <v>4</v>
      </c>
      <c r="H275" s="17" t="inlineStr">
        <is>
          <t>If ally Arcane card would be destroyed by Non-Arcane unit, pay 500 Crystals, it is not destroyed. Can be use face-down.</t>
        </is>
      </c>
      <c r="J275" s="16" t="n"/>
      <c r="K275" s="16" t="n"/>
      <c r="L275" s="16">
        <f>(D275*6)+(E275*4)</f>
        <v/>
      </c>
      <c r="M275" s="16" t="n"/>
      <c r="N275" s="16" t="n"/>
      <c r="O275" s="16" t="n"/>
      <c r="P275" s="16" t="n"/>
      <c r="Q275" s="16" t="n"/>
    </row>
    <row r="276" ht="56.05" customHeight="1" s="47">
      <c r="A276" s="8" t="inlineStr">
        <is>
          <t>Corrupted Gremlin</t>
        </is>
      </c>
      <c r="B276" s="9" t="inlineStr">
        <is>
          <t>Unit</t>
        </is>
      </c>
      <c r="C276" s="16" t="n">
        <v>960</v>
      </c>
      <c r="D276" s="16" t="n">
        <v>50</v>
      </c>
      <c r="E276" s="16" t="n">
        <v>60</v>
      </c>
      <c r="F276" s="17" t="inlineStr">
        <is>
          <t>Arcane</t>
        </is>
      </c>
      <c r="G276" s="16" t="n">
        <v>4</v>
      </c>
      <c r="H276" s="17" t="inlineStr">
        <is>
          <t>Whenever the owner gains Crystals from any source, this card gains +10 ATK permanently (max +50).</t>
        </is>
      </c>
      <c r="I276" t="inlineStr">
        <is>
          <t>wording polish</t>
        </is>
      </c>
      <c r="J276" s="16" t="n"/>
      <c r="K276" s="16" t="n"/>
      <c r="L276" s="16">
        <f>(D276*6)+(E276*4)</f>
        <v/>
      </c>
      <c r="M276" s="16" t="n"/>
      <c r="N276" s="16" t="n"/>
      <c r="O276" s="16" t="n"/>
      <c r="P276" s="16" t="n"/>
      <c r="Q276" s="16" t="n"/>
    </row>
    <row r="277" ht="44.05" customHeight="1" s="47">
      <c r="A277" s="8" t="inlineStr">
        <is>
          <t>Zetamas the Great Summoner</t>
        </is>
      </c>
      <c r="B277" s="9" t="inlineStr">
        <is>
          <t>Unit</t>
        </is>
      </c>
      <c r="C277" s="16" t="n">
        <v>1000</v>
      </c>
      <c r="D277" s="16" t="n">
        <v>0</v>
      </c>
      <c r="E277" s="16" t="n">
        <v>0</v>
      </c>
      <c r="F277" s="17" t="inlineStr">
        <is>
          <t>Arcane</t>
        </is>
      </c>
      <c r="G277" s="16" t="n">
        <v>4</v>
      </c>
      <c r="H277" s="17" t="inlineStr">
        <is>
          <t>At the end of their turn: create a token copy of Leviathan on an empty cell on its side</t>
        </is>
      </c>
      <c r="J277" s="16" t="n"/>
      <c r="K277" s="16" t="n"/>
      <c r="L277" s="16">
        <f>(D277*6)+(E277*4)</f>
        <v/>
      </c>
      <c r="M277" s="16" t="n"/>
      <c r="N277" s="16" t="n"/>
      <c r="O277" s="16" t="n"/>
      <c r="P277" s="16" t="n"/>
      <c r="Q277" s="16" t="n"/>
    </row>
    <row r="278" ht="32.05" customHeight="1" s="47">
      <c r="A278" s="8" t="inlineStr">
        <is>
          <t>Ethereal Shielder</t>
        </is>
      </c>
      <c r="B278" s="9" t="inlineStr">
        <is>
          <t>Unit</t>
        </is>
      </c>
      <c r="C278" s="16" t="n">
        <v>1200</v>
      </c>
      <c r="D278" s="16" t="n">
        <v>25</v>
      </c>
      <c r="E278" s="16" t="n">
        <v>80</v>
      </c>
      <c r="F278" s="17" t="inlineStr">
        <is>
          <t>Arcane</t>
        </is>
      </c>
      <c r="G278" s="16" t="n">
        <v>4</v>
      </c>
      <c r="H278" s="17" t="inlineStr">
        <is>
          <t>Once per turn, this card cannot be destroyed vs Non-Arcane</t>
        </is>
      </c>
      <c r="J278" s="16" t="n"/>
      <c r="K278" s="16" t="n"/>
      <c r="L278" s="16">
        <f>(D278*6)+(E278*4)</f>
        <v/>
      </c>
      <c r="M278" s="16" t="n"/>
      <c r="N278" s="16" t="n"/>
      <c r="O278" s="16" t="n"/>
      <c r="P278" s="16" t="n"/>
      <c r="Q278" s="16" t="n"/>
    </row>
    <row r="279" ht="32.05" customHeight="1" s="47">
      <c r="A279" s="8" t="inlineStr">
        <is>
          <t>Nobleman of Luminaso</t>
        </is>
      </c>
      <c r="B279" s="9" t="inlineStr">
        <is>
          <t>Unit</t>
        </is>
      </c>
      <c r="C279" s="16" t="n">
        <v>1200</v>
      </c>
      <c r="D279" s="16" t="n">
        <v>125</v>
      </c>
      <c r="E279" s="16" t="n">
        <v>110</v>
      </c>
      <c r="F279" s="17" t="inlineStr">
        <is>
          <t>Arcane</t>
        </is>
      </c>
      <c r="G279" s="16" t="n">
        <v>5</v>
      </c>
      <c r="H279" s="17" t="inlineStr">
        <is>
          <t>If this card battles and survived, pay 500 Crystal cost</t>
        </is>
      </c>
      <c r="J279" s="16" t="n"/>
      <c r="K279" s="16" t="n"/>
      <c r="L279" s="16">
        <f>(D279*6)+(E279*4)</f>
        <v/>
      </c>
      <c r="M279" s="16" t="n"/>
      <c r="N279" s="16" t="n"/>
      <c r="O279" s="16" t="n"/>
      <c r="P279" s="16" t="n"/>
      <c r="Q279" s="16" t="n"/>
    </row>
    <row r="280" ht="32.05" customHeight="1" s="47">
      <c r="A280" s="8" t="inlineStr">
        <is>
          <t>Arcane Enforcer</t>
        </is>
      </c>
      <c r="B280" s="9" t="inlineStr">
        <is>
          <t>Unit</t>
        </is>
      </c>
      <c r="C280" s="16" t="n">
        <v>1600</v>
      </c>
      <c r="D280" s="16" t="n">
        <v>200</v>
      </c>
      <c r="E280" s="16" t="n">
        <v>95</v>
      </c>
      <c r="F280" s="17" t="inlineStr">
        <is>
          <t>Arcane</t>
        </is>
      </c>
      <c r="G280" s="16" t="n">
        <v>5</v>
      </c>
      <c r="H280" s="17" t="inlineStr">
        <is>
          <t>This card can only attack Arcane card</t>
        </is>
      </c>
      <c r="J280" s="16" t="n"/>
      <c r="K280" s="16" t="n"/>
      <c r="L280" s="16">
        <f>(D280*6)+(E280*4)</f>
        <v/>
      </c>
      <c r="M280" s="16" t="n"/>
      <c r="N280" s="16" t="n"/>
      <c r="O280" s="16" t="n"/>
      <c r="P280" s="16" t="n"/>
      <c r="Q280" s="16" t="n"/>
    </row>
    <row r="281" ht="32.05" customHeight="1" s="47">
      <c r="A281" s="8" t="inlineStr">
        <is>
          <t>The Ancient One</t>
        </is>
      </c>
      <c r="B281" s="9" t="inlineStr">
        <is>
          <t>Unit</t>
        </is>
      </c>
      <c r="C281" s="16" t="n">
        <v>1500</v>
      </c>
      <c r="D281" s="16" t="n">
        <v>65</v>
      </c>
      <c r="E281" s="16" t="n">
        <v>90</v>
      </c>
      <c r="F281" s="17" t="inlineStr">
        <is>
          <t>Arcane</t>
        </is>
      </c>
      <c r="G281" s="16" t="n">
        <v>5</v>
      </c>
      <c r="H281" s="17" t="inlineStr">
        <is>
          <t>Foe cannot use Tech cards while this card is exposed.</t>
        </is>
      </c>
      <c r="J281" s="16" t="n"/>
      <c r="K281" s="16" t="n"/>
      <c r="L281" s="16">
        <f>(D281*6)+(E281*4)</f>
        <v/>
      </c>
      <c r="M281" s="16" t="n"/>
      <c r="N281" s="16" t="n"/>
      <c r="O281" s="16" t="n"/>
      <c r="P281" s="16" t="n"/>
      <c r="Q281" s="16" t="n"/>
    </row>
    <row r="282" ht="44.05" customHeight="1" s="47">
      <c r="A282" s="8" t="inlineStr">
        <is>
          <t>Thunder Daddy</t>
        </is>
      </c>
      <c r="B282" s="9" t="inlineStr">
        <is>
          <t>Unit</t>
        </is>
      </c>
      <c r="C282" s="16" t="n">
        <v>2000</v>
      </c>
      <c r="D282" s="16" t="n">
        <v>120</v>
      </c>
      <c r="E282" s="16" t="n">
        <v>120</v>
      </c>
      <c r="F282" s="17" t="inlineStr">
        <is>
          <t>Arcane</t>
        </is>
      </c>
      <c r="G282" s="16" t="n">
        <v>5</v>
      </c>
      <c r="H282" s="17" t="inlineStr">
        <is>
          <t>After exposed, the owner can only command this card (and not any card else) for an attack.</t>
        </is>
      </c>
      <c r="J282" s="16" t="n"/>
      <c r="K282" s="16" t="n"/>
      <c r="L282" s="16">
        <f>(D282*6)+(E282*4)</f>
        <v/>
      </c>
      <c r="M282" s="16" t="n"/>
      <c r="N282" s="16" t="n"/>
      <c r="O282" s="16" t="n"/>
      <c r="P282" s="16" t="n"/>
      <c r="Q282" s="16" t="n"/>
    </row>
    <row r="283" ht="20.05" customHeight="1" s="47">
      <c r="A283" s="8" t="inlineStr">
        <is>
          <t>Mind Flayer</t>
        </is>
      </c>
      <c r="B283" s="9" t="inlineStr">
        <is>
          <t>Unit</t>
        </is>
      </c>
      <c r="C283" s="16" t="n">
        <v>1500</v>
      </c>
      <c r="D283" s="16" t="n">
        <v>100</v>
      </c>
      <c r="E283" s="16" t="n">
        <v>70</v>
      </c>
      <c r="F283" s="17" t="inlineStr">
        <is>
          <t>Arcane</t>
        </is>
      </c>
      <c r="G283" s="16" t="n">
        <v>5</v>
      </c>
      <c r="H283" s="17" t="inlineStr">
        <is>
          <t>+50 ATK and DEF against Anima</t>
        </is>
      </c>
      <c r="I283" t="inlineStr">
        <is>
          <t>ATK&amp;DEF→ATK and DEF</t>
        </is>
      </c>
      <c r="J283" s="16" t="n"/>
      <c r="K283" s="17" t="inlineStr">
        <is>
          <t>Yes</t>
        </is>
      </c>
      <c r="L283" s="16">
        <f>(D283*6)+(E283*4)</f>
        <v/>
      </c>
      <c r="M283" s="17" t="inlineStr">
        <is>
          <t>Yes</t>
        </is>
      </c>
      <c r="N283" s="16" t="n"/>
      <c r="O283" s="16" t="n"/>
      <c r="P283" s="16" t="n"/>
      <c r="Q283" s="17" t="inlineStr">
        <is>
          <t>Yes</t>
        </is>
      </c>
    </row>
    <row r="284" ht="20.05" customHeight="1" s="47">
      <c r="A284" s="8" t="inlineStr">
        <is>
          <t>Maneating Slime</t>
        </is>
      </c>
      <c r="B284" s="9" t="inlineStr">
        <is>
          <t>Unit</t>
        </is>
      </c>
      <c r="C284" s="16" t="n">
        <v>150</v>
      </c>
      <c r="D284" s="16" t="n">
        <v>10</v>
      </c>
      <c r="E284" s="16" t="n">
        <v>20</v>
      </c>
      <c r="F284" s="17" t="inlineStr">
        <is>
          <t>Bio</t>
        </is>
      </c>
      <c r="G284" s="16" t="n">
        <v>1</v>
      </c>
      <c r="H284" s="17" t="inlineStr">
        <is>
          <t>+10 ATK vs Anima</t>
        </is>
      </c>
      <c r="J284" s="16" t="n"/>
      <c r="K284" s="16" t="n"/>
      <c r="L284" s="16">
        <f>(D284*6)+(E284*4)</f>
        <v/>
      </c>
      <c r="M284" s="16" t="n"/>
      <c r="N284" s="16" t="n"/>
      <c r="O284" s="16" t="n"/>
      <c r="P284" s="16" t="n"/>
      <c r="Q284" s="16" t="n"/>
    </row>
    <row r="285" ht="20.05" customHeight="1" s="47">
      <c r="A285" s="8" t="inlineStr">
        <is>
          <t>Spikelings</t>
        </is>
      </c>
      <c r="B285" s="9" t="inlineStr">
        <is>
          <t>Unit</t>
        </is>
      </c>
      <c r="C285" s="16" t="n"/>
      <c r="D285" s="16" t="n"/>
      <c r="E285" s="16" t="n"/>
      <c r="F285" s="17" t="inlineStr">
        <is>
          <t>Bio</t>
        </is>
      </c>
      <c r="G285" s="16" t="n">
        <v>1</v>
      </c>
      <c r="H285" s="16" t="n"/>
      <c r="J285" s="16" t="n"/>
      <c r="K285" s="16" t="n"/>
      <c r="L285" s="16">
        <f>(D285*6)+(E285*4)</f>
        <v/>
      </c>
      <c r="M285" s="16" t="n"/>
      <c r="N285" s="16" t="n"/>
      <c r="O285" s="16" t="n"/>
      <c r="P285" s="16" t="n"/>
      <c r="Q285" s="16" t="n"/>
    </row>
    <row r="286" ht="20.05" customHeight="1" s="47">
      <c r="A286" s="8" t="inlineStr">
        <is>
          <t>Claw Mutant</t>
        </is>
      </c>
      <c r="B286" s="9" t="inlineStr">
        <is>
          <t>Unit</t>
        </is>
      </c>
      <c r="C286" s="16" t="n">
        <v>180</v>
      </c>
      <c r="D286" s="16" t="n">
        <v>15</v>
      </c>
      <c r="E286" s="16" t="n">
        <v>10</v>
      </c>
      <c r="F286" s="17" t="inlineStr">
        <is>
          <t>Bio</t>
        </is>
      </c>
      <c r="G286" s="16" t="n">
        <v>1</v>
      </c>
      <c r="H286" s="17" t="inlineStr">
        <is>
          <t>+10 ATK if it has mutagen flag</t>
        </is>
      </c>
      <c r="J286" s="16" t="n"/>
      <c r="K286" s="17" t="inlineStr">
        <is>
          <t>Yes</t>
        </is>
      </c>
      <c r="L286" s="16">
        <f>(D286*6)+(E286*4)</f>
        <v/>
      </c>
      <c r="M286" s="17" t="inlineStr">
        <is>
          <t>Yes</t>
        </is>
      </c>
      <c r="N286" s="16" t="n"/>
      <c r="O286" s="16" t="n"/>
      <c r="P286" s="17" t="inlineStr">
        <is>
          <t>Yes</t>
        </is>
      </c>
      <c r="Q286" s="16" t="n"/>
    </row>
    <row r="287" ht="20.05" customHeight="1" s="47">
      <c r="A287" s="8" t="inlineStr">
        <is>
          <t>Beast-447</t>
        </is>
      </c>
      <c r="B287" s="9" t="inlineStr">
        <is>
          <t>Unit</t>
        </is>
      </c>
      <c r="C287" s="16" t="n"/>
      <c r="D287" s="16" t="n"/>
      <c r="E287" s="16" t="n"/>
      <c r="F287" s="17" t="inlineStr">
        <is>
          <t>Bio</t>
        </is>
      </c>
      <c r="G287" s="16" t="n">
        <v>1</v>
      </c>
      <c r="H287" s="16" t="n"/>
      <c r="J287" s="16" t="n"/>
      <c r="K287" s="16" t="n"/>
      <c r="L287" s="16">
        <f>(D287*6)+(E287*4)</f>
        <v/>
      </c>
      <c r="M287" s="16" t="n"/>
      <c r="N287" s="16" t="n"/>
      <c r="O287" s="16" t="n"/>
      <c r="P287" s="16" t="n"/>
      <c r="Q287" s="16" t="n"/>
    </row>
    <row r="288" ht="44.05" customHeight="1" s="47">
      <c r="A288" s="8" t="inlineStr">
        <is>
          <t>Vile Creeper</t>
        </is>
      </c>
      <c r="B288" s="9" t="inlineStr">
        <is>
          <t>Unit</t>
        </is>
      </c>
      <c r="C288" s="16" t="n">
        <v>200</v>
      </c>
      <c r="D288" s="16" t="n">
        <v>10</v>
      </c>
      <c r="E288" s="16" t="n">
        <v>30</v>
      </c>
      <c r="F288" s="17" t="inlineStr">
        <is>
          <t>Bio</t>
        </is>
      </c>
      <c r="G288" s="16" t="n">
        <v>1</v>
      </c>
      <c r="H288" s="17" t="inlineStr">
        <is>
          <t>While this card is exposed, at foe’s turn end, swap its ATK and DEF</t>
        </is>
      </c>
      <c r="I288" t="inlineStr">
        <is>
          <t>ATK&amp;DEF→ATK and DEF</t>
        </is>
      </c>
      <c r="J288" s="16" t="n"/>
      <c r="K288" s="17" t="inlineStr">
        <is>
          <t>Yes</t>
        </is>
      </c>
      <c r="L288" s="16">
        <f>(D288*6)+(E288*4)</f>
        <v/>
      </c>
      <c r="M288" s="17" t="inlineStr">
        <is>
          <t>Yes</t>
        </is>
      </c>
      <c r="N288" s="16" t="n"/>
      <c r="O288" s="16" t="n"/>
      <c r="P288" s="16" t="n"/>
      <c r="Q288" s="17" t="inlineStr">
        <is>
          <t>Yes</t>
        </is>
      </c>
    </row>
    <row r="289" ht="20.05" customHeight="1" s="47">
      <c r="A289" s="8" t="inlineStr">
        <is>
          <t>Nanomites Worms</t>
        </is>
      </c>
      <c r="B289" s="9" t="inlineStr">
        <is>
          <t>Unit</t>
        </is>
      </c>
      <c r="C289" s="16" t="n"/>
      <c r="D289" s="16" t="n"/>
      <c r="E289" s="16" t="n"/>
      <c r="F289" s="17" t="inlineStr">
        <is>
          <t>Bio</t>
        </is>
      </c>
      <c r="G289" s="16" t="n">
        <v>1</v>
      </c>
      <c r="H289" s="16" t="n"/>
      <c r="J289" s="16" t="n"/>
      <c r="K289" s="16" t="n"/>
      <c r="L289" s="16">
        <f>(D289*6)+(E289*4)</f>
        <v/>
      </c>
      <c r="M289" s="16" t="n"/>
      <c r="N289" s="16" t="n"/>
      <c r="O289" s="16" t="n"/>
      <c r="P289" s="16" t="n"/>
      <c r="Q289" s="16" t="n"/>
    </row>
    <row r="290" ht="20.05" customHeight="1" s="47">
      <c r="A290" s="8" t="inlineStr">
        <is>
          <t>Bleacher Squad</t>
        </is>
      </c>
      <c r="B290" s="9" t="inlineStr">
        <is>
          <t>Unit</t>
        </is>
      </c>
      <c r="C290" s="16" t="n">
        <v>320</v>
      </c>
      <c r="D290" s="16" t="n">
        <v>20</v>
      </c>
      <c r="E290" s="16" t="n">
        <v>20</v>
      </c>
      <c r="F290" s="17" t="inlineStr">
        <is>
          <t>Bio</t>
        </is>
      </c>
      <c r="G290" s="16" t="n">
        <v>1</v>
      </c>
      <c r="H290" s="17" t="inlineStr">
        <is>
          <t>+20 ATK vs Bio</t>
        </is>
      </c>
      <c r="J290" s="16" t="n"/>
      <c r="K290" s="17" t="inlineStr">
        <is>
          <t>Yes</t>
        </is>
      </c>
      <c r="L290" s="16">
        <f>(D290*6)+(E290*4)</f>
        <v/>
      </c>
      <c r="M290" s="17" t="inlineStr">
        <is>
          <t>Yes</t>
        </is>
      </c>
      <c r="N290" s="16" t="n"/>
      <c r="O290" s="17" t="inlineStr">
        <is>
          <t>Yes</t>
        </is>
      </c>
      <c r="P290" s="16" t="n"/>
      <c r="Q290" s="16" t="n"/>
    </row>
    <row r="291" ht="20.05" customHeight="1" s="47">
      <c r="A291" s="8" t="inlineStr">
        <is>
          <t>Venospore Pod</t>
        </is>
      </c>
      <c r="B291" s="9" t="inlineStr">
        <is>
          <t>Unit</t>
        </is>
      </c>
      <c r="C291" s="16" t="n"/>
      <c r="D291" s="16" t="n"/>
      <c r="E291" s="16" t="n"/>
      <c r="F291" s="17" t="inlineStr">
        <is>
          <t>Bio</t>
        </is>
      </c>
      <c r="G291" s="16" t="n">
        <v>1</v>
      </c>
      <c r="H291" s="16" t="n"/>
      <c r="J291" s="16" t="n"/>
      <c r="K291" s="16" t="n"/>
      <c r="L291" s="16">
        <f>(D291*6)+(E291*4)</f>
        <v/>
      </c>
      <c r="M291" s="16" t="n"/>
      <c r="N291" s="16" t="n"/>
      <c r="O291" s="16" t="n"/>
      <c r="P291" s="16" t="n"/>
      <c r="Q291" s="16" t="n"/>
    </row>
    <row r="292" ht="32.05" customHeight="1" s="47">
      <c r="A292" s="8" t="inlineStr">
        <is>
          <t>Sweet Lure Pod</t>
        </is>
      </c>
      <c r="B292" s="9" t="inlineStr">
        <is>
          <t>Unit</t>
        </is>
      </c>
      <c r="C292" s="16" t="n"/>
      <c r="D292" s="16" t="n">
        <v>0</v>
      </c>
      <c r="E292" s="16" t="n">
        <v>30</v>
      </c>
      <c r="F292" s="17" t="inlineStr">
        <is>
          <t>Bio</t>
        </is>
      </c>
      <c r="G292" s="16" t="n">
        <v>1</v>
      </c>
      <c r="H292" s="17" t="inlineStr">
        <is>
          <t>This turn, foe can only attack this unit (if it survives).</t>
        </is>
      </c>
      <c r="I292" t="inlineStr">
        <is>
          <t>User confirmed targeting restriction while unit survives.</t>
        </is>
      </c>
      <c r="J292" s="16" t="n"/>
      <c r="K292" s="16" t="n"/>
      <c r="L292" s="16">
        <f>(D292*6)+(E292*4)</f>
        <v/>
      </c>
      <c r="M292" s="16" t="n"/>
      <c r="N292" s="16" t="n"/>
      <c r="O292" s="16" t="n"/>
      <c r="P292" s="16" t="n"/>
      <c r="Q292" s="16" t="n"/>
    </row>
    <row r="293" ht="20.05" customHeight="1" s="47">
      <c r="A293" s="8" t="inlineStr">
        <is>
          <t>Radiaghoul</t>
        </is>
      </c>
      <c r="B293" s="9" t="inlineStr">
        <is>
          <t>Unit</t>
        </is>
      </c>
      <c r="C293" s="16" t="n"/>
      <c r="D293" s="16" t="n"/>
      <c r="E293" s="16" t="n"/>
      <c r="F293" s="17" t="inlineStr">
        <is>
          <t>Bio</t>
        </is>
      </c>
      <c r="G293" s="16" t="n">
        <v>1</v>
      </c>
      <c r="H293" s="16" t="n"/>
      <c r="J293" s="16" t="n"/>
      <c r="K293" s="16" t="n"/>
      <c r="L293" s="16">
        <f>(D293*6)+(E293*4)</f>
        <v/>
      </c>
      <c r="M293" s="16" t="n"/>
      <c r="N293" s="16" t="n"/>
      <c r="O293" s="16" t="n"/>
      <c r="P293" s="16" t="n"/>
      <c r="Q293" s="16" t="n"/>
    </row>
    <row r="294" ht="20.05" customHeight="1" s="47">
      <c r="A294" s="8" t="inlineStr">
        <is>
          <t>Gamma Emitter</t>
        </is>
      </c>
      <c r="B294" s="9" t="inlineStr">
        <is>
          <t>Unit</t>
        </is>
      </c>
      <c r="C294" s="16" t="n">
        <v>220</v>
      </c>
      <c r="D294" s="16" t="n">
        <v>20</v>
      </c>
      <c r="E294" s="16" t="n">
        <v>15</v>
      </c>
      <c r="F294" s="17" t="inlineStr">
        <is>
          <t>Bio</t>
        </is>
      </c>
      <c r="G294" s="16" t="n">
        <v>1</v>
      </c>
      <c r="H294" s="17" t="inlineStr">
        <is>
          <t>+10 ATK and DEF vs Nature</t>
        </is>
      </c>
      <c r="I294" t="inlineStr">
        <is>
          <t>ATK&amp;DEF→ATK and DEF</t>
        </is>
      </c>
      <c r="J294" s="16" t="n"/>
      <c r="K294" s="17" t="inlineStr">
        <is>
          <t>Yes</t>
        </is>
      </c>
      <c r="L294" s="16">
        <f>(D294*6)+(E294*4)</f>
        <v/>
      </c>
      <c r="M294" s="17" t="inlineStr">
        <is>
          <t>Yes</t>
        </is>
      </c>
      <c r="N294" s="16" t="n"/>
      <c r="O294" s="16" t="n"/>
      <c r="P294" s="16" t="n"/>
      <c r="Q294" s="17" t="inlineStr">
        <is>
          <t>Yes</t>
        </is>
      </c>
    </row>
    <row r="295" ht="20.05" customHeight="1" s="47">
      <c r="A295" s="8" t="inlineStr">
        <is>
          <t>WK-17 the Siren</t>
        </is>
      </c>
      <c r="B295" s="9" t="inlineStr">
        <is>
          <t>Unit</t>
        </is>
      </c>
      <c r="C295" s="16" t="n"/>
      <c r="D295" s="16" t="n"/>
      <c r="E295" s="16" t="n"/>
      <c r="F295" s="17" t="inlineStr">
        <is>
          <t>Bio</t>
        </is>
      </c>
      <c r="G295" s="16" t="n">
        <v>1</v>
      </c>
      <c r="H295" s="16" t="n"/>
      <c r="J295" s="16" t="n"/>
      <c r="K295" s="16" t="n"/>
      <c r="L295" s="16">
        <f>(D295*6)+(E295*4)</f>
        <v/>
      </c>
      <c r="M295" s="16" t="n"/>
      <c r="N295" s="16" t="n"/>
      <c r="O295" s="16" t="n"/>
      <c r="P295" s="16" t="n"/>
      <c r="Q295" s="16" t="n"/>
    </row>
    <row r="296" ht="44.05" customHeight="1" s="47">
      <c r="A296" s="8" t="inlineStr">
        <is>
          <t>Lessor Leech</t>
        </is>
      </c>
      <c r="B296" s="9" t="inlineStr">
        <is>
          <t>Unit</t>
        </is>
      </c>
      <c r="C296" s="16" t="n"/>
      <c r="D296" s="16" t="n"/>
      <c r="E296" s="16" t="n"/>
      <c r="F296" s="17" t="inlineStr">
        <is>
          <t>Bio</t>
        </is>
      </c>
      <c r="G296" s="16" t="n">
        <v>1</v>
      </c>
      <c r="H296" s="17" t="inlineStr">
        <is>
          <t>Attacker loses 400 Crystals. The owner gain the same amount.</t>
        </is>
      </c>
      <c r="J296" s="16" t="n"/>
      <c r="K296" s="16" t="n"/>
      <c r="L296" s="16">
        <f>(D296*6)+(E296*4)</f>
        <v/>
      </c>
      <c r="M296" s="16" t="n"/>
      <c r="N296" s="16" t="n"/>
      <c r="O296" s="16" t="n"/>
      <c r="P296" s="16" t="n"/>
      <c r="Q296" s="16" t="n"/>
    </row>
    <row r="297" ht="20.05" customHeight="1" s="47">
      <c r="A297" s="8" t="inlineStr">
        <is>
          <t>Nanomites Walker</t>
        </is>
      </c>
      <c r="B297" s="9" t="inlineStr">
        <is>
          <t>Unit</t>
        </is>
      </c>
      <c r="C297" s="16" t="n"/>
      <c r="D297" s="16" t="n"/>
      <c r="E297" s="16" t="n"/>
      <c r="F297" s="17" t="inlineStr">
        <is>
          <t>Bio</t>
        </is>
      </c>
      <c r="G297" s="16" t="n">
        <v>1</v>
      </c>
      <c r="H297" s="16" t="n"/>
      <c r="J297" s="16" t="n"/>
      <c r="K297" s="16" t="n"/>
      <c r="L297" s="16">
        <f>(D297*6)+(E297*4)</f>
        <v/>
      </c>
      <c r="M297" s="16" t="n"/>
      <c r="N297" s="16" t="n"/>
      <c r="O297" s="16" t="n"/>
      <c r="P297" s="16" t="n"/>
      <c r="Q297" s="16" t="n"/>
    </row>
    <row r="298" ht="20.05" customHeight="1" s="47">
      <c r="A298" s="8" t="inlineStr">
        <is>
          <t>Lurklings</t>
        </is>
      </c>
      <c r="B298" s="9" t="inlineStr">
        <is>
          <t>Unit</t>
        </is>
      </c>
      <c r="C298" s="16" t="n"/>
      <c r="D298" s="16" t="n"/>
      <c r="E298" s="16" t="n"/>
      <c r="F298" s="17" t="inlineStr">
        <is>
          <t>Bio</t>
        </is>
      </c>
      <c r="G298" s="16" t="n">
        <v>1</v>
      </c>
      <c r="H298" s="16" t="n"/>
      <c r="J298" s="16" t="n"/>
      <c r="K298" s="16" t="n"/>
      <c r="L298" s="16">
        <f>(D298*6)+(E298*4)</f>
        <v/>
      </c>
      <c r="M298" s="16" t="n"/>
      <c r="N298" s="16" t="n"/>
      <c r="O298" s="16" t="n"/>
      <c r="P298" s="16" t="n"/>
      <c r="Q298" s="16" t="n"/>
    </row>
    <row r="299" ht="44.05" customHeight="1" s="47">
      <c r="A299" s="8" t="inlineStr">
        <is>
          <t>Gluttonous Amoeba</t>
        </is>
      </c>
      <c r="B299" s="9" t="inlineStr">
        <is>
          <t>Unit</t>
        </is>
      </c>
      <c r="C299" s="16" t="n"/>
      <c r="D299" s="16" t="n"/>
      <c r="E299" s="16" t="n"/>
      <c r="F299" s="17" t="inlineStr">
        <is>
          <t>Bio</t>
        </is>
      </c>
      <c r="G299" s="16" t="n">
        <v>2</v>
      </c>
      <c r="H299" s="17" t="inlineStr">
        <is>
          <t>If this card battles, foe’s next attack must target a face-down unit</t>
        </is>
      </c>
      <c r="I299" t="inlineStr">
        <is>
          <t>wording polish</t>
        </is>
      </c>
      <c r="J299" s="16" t="n"/>
      <c r="K299" s="16" t="n"/>
      <c r="L299" s="16">
        <f>(D299*6)+(E299*4)</f>
        <v/>
      </c>
      <c r="M299" s="16" t="n"/>
      <c r="N299" s="16" t="n"/>
      <c r="O299" s="16" t="n"/>
      <c r="P299" s="16" t="n"/>
      <c r="Q299" s="16" t="n"/>
    </row>
    <row r="300" ht="44.05" customHeight="1" s="47">
      <c r="A300" s="8" t="inlineStr">
        <is>
          <t>Sticky Grappler</t>
        </is>
      </c>
      <c r="B300" s="9" t="inlineStr">
        <is>
          <t>Unit</t>
        </is>
      </c>
      <c r="C300" s="16" t="n"/>
      <c r="D300" s="16" t="n"/>
      <c r="E300" s="16" t="n"/>
      <c r="F300" s="17" t="inlineStr">
        <is>
          <t>Bio</t>
        </is>
      </c>
      <c r="G300" s="16" t="n">
        <v>2</v>
      </c>
      <c r="H300" s="17" t="inlineStr">
        <is>
          <t>If this card defended, flip a coin. Heads: turn ends immediately</t>
        </is>
      </c>
      <c r="I300" t="inlineStr">
        <is>
          <t>Head→Heads</t>
        </is>
      </c>
      <c r="J300" s="16" t="n"/>
      <c r="K300" s="16" t="n"/>
      <c r="L300" s="16">
        <f>(D300*6)+(E300*4)</f>
        <v/>
      </c>
      <c r="M300" s="16" t="n"/>
      <c r="N300" s="16" t="n"/>
      <c r="O300" s="16" t="n"/>
      <c r="P300" s="16" t="n"/>
      <c r="Q300" s="16" t="n"/>
    </row>
    <row r="301" ht="32.05" customHeight="1" s="47">
      <c r="A301" s="8" t="inlineStr">
        <is>
          <t>Wasteland Cowboy</t>
        </is>
      </c>
      <c r="B301" s="9" t="inlineStr">
        <is>
          <t>Unit</t>
        </is>
      </c>
      <c r="C301" s="16" t="n"/>
      <c r="D301" s="16" t="n"/>
      <c r="E301" s="16" t="n"/>
      <c r="F301" s="17" t="inlineStr">
        <is>
          <t>Bio</t>
        </is>
      </c>
      <c r="G301" s="16" t="n">
        <v>2</v>
      </c>
      <c r="H301" s="16" t="n"/>
      <c r="J301" s="16" t="n"/>
      <c r="K301" s="16" t="n"/>
      <c r="L301" s="16">
        <f>(D301*6)+(E301*4)</f>
        <v/>
      </c>
      <c r="M301" s="16" t="n"/>
      <c r="N301" s="16" t="n"/>
      <c r="O301" s="16" t="n"/>
      <c r="P301" s="16" t="n"/>
      <c r="Q301" s="16" t="n"/>
    </row>
    <row r="302" ht="20.05" customHeight="1" s="47">
      <c r="A302" s="8" t="inlineStr">
        <is>
          <t>Scarlet Mutant</t>
        </is>
      </c>
      <c r="B302" s="9" t="inlineStr">
        <is>
          <t>Unit</t>
        </is>
      </c>
      <c r="C302" s="16" t="n">
        <v>350</v>
      </c>
      <c r="D302" s="16" t="n">
        <v>35</v>
      </c>
      <c r="E302" s="16" t="n">
        <v>30</v>
      </c>
      <c r="F302" s="17" t="inlineStr">
        <is>
          <t>Bio</t>
        </is>
      </c>
      <c r="G302" s="16" t="n">
        <v>2</v>
      </c>
      <c r="H302" s="17" t="inlineStr">
        <is>
          <t>None</t>
        </is>
      </c>
      <c r="J302" s="16" t="n"/>
      <c r="K302" s="17" t="inlineStr">
        <is>
          <t>Yes</t>
        </is>
      </c>
      <c r="L302" s="16">
        <f>(D302*6)+(E302*4)</f>
        <v/>
      </c>
      <c r="M302" s="17" t="inlineStr">
        <is>
          <t>Yes</t>
        </is>
      </c>
      <c r="N302" s="16" t="n"/>
      <c r="O302" s="16" t="n"/>
      <c r="P302" s="16" t="n"/>
      <c r="Q302" s="17" t="inlineStr">
        <is>
          <t>Yes</t>
        </is>
      </c>
    </row>
    <row r="303" ht="32.05" customHeight="1" s="47">
      <c r="A303" s="8" t="inlineStr">
        <is>
          <t>Bladeshifter</t>
        </is>
      </c>
      <c r="B303" s="9" t="inlineStr">
        <is>
          <t>Unit</t>
        </is>
      </c>
      <c r="C303" s="16" t="n">
        <v>420</v>
      </c>
      <c r="D303" s="16" t="n">
        <v>0</v>
      </c>
      <c r="E303" s="16" t="n">
        <v>50</v>
      </c>
      <c r="F303" s="17" t="inlineStr">
        <is>
          <t>Bio</t>
        </is>
      </c>
      <c r="G303" s="16" t="n">
        <v>2</v>
      </c>
      <c r="H303" s="17" t="inlineStr">
        <is>
          <t>Once: after defended: -40 DEF,+40 ATK permanently.</t>
        </is>
      </c>
      <c r="I303" t="inlineStr">
        <is>
          <t>wording polish</t>
        </is>
      </c>
      <c r="J303" s="16" t="n"/>
      <c r="K303" s="17" t="inlineStr">
        <is>
          <t>Yes</t>
        </is>
      </c>
      <c r="L303" s="16">
        <f>(D303*6)+(E303*4)</f>
        <v/>
      </c>
      <c r="M303" s="17" t="inlineStr">
        <is>
          <t>Yes</t>
        </is>
      </c>
      <c r="N303" s="16" t="n"/>
      <c r="O303" s="16" t="n"/>
      <c r="P303" s="17" t="inlineStr">
        <is>
          <t>Yes</t>
        </is>
      </c>
      <c r="Q303" s="17" t="inlineStr">
        <is>
          <t>Yes</t>
        </is>
      </c>
    </row>
    <row r="304" ht="32.05" customHeight="1" s="47">
      <c r="A304" s="8" t="inlineStr">
        <is>
          <t>Subject-02 the Hatcher</t>
        </is>
      </c>
      <c r="B304" s="9" t="inlineStr">
        <is>
          <t>Unit</t>
        </is>
      </c>
      <c r="C304" s="16" t="n"/>
      <c r="D304" s="16" t="n"/>
      <c r="E304" s="16" t="n"/>
      <c r="F304" s="17" t="inlineStr">
        <is>
          <t>Bio</t>
        </is>
      </c>
      <c r="G304" s="16" t="n">
        <v>2</v>
      </c>
      <c r="H304" s="16" t="n"/>
      <c r="J304" s="16" t="n"/>
      <c r="K304" s="16" t="n"/>
      <c r="L304" s="16">
        <f>(D304*6)+(E304*4)</f>
        <v/>
      </c>
      <c r="M304" s="16" t="n"/>
      <c r="N304" s="16" t="n"/>
      <c r="O304" s="16" t="n"/>
      <c r="P304" s="16" t="n"/>
      <c r="Q304" s="16" t="n"/>
    </row>
    <row r="305" ht="44.05" customHeight="1" s="47">
      <c r="A305" s="8" t="inlineStr">
        <is>
          <t>Rotten Shrieker</t>
        </is>
      </c>
      <c r="B305" s="9" t="inlineStr">
        <is>
          <t>Unit</t>
        </is>
      </c>
      <c r="C305" s="16" t="n">
        <v>450</v>
      </c>
      <c r="D305" s="16" t="n">
        <v>50</v>
      </c>
      <c r="E305" s="16" t="n">
        <v>30</v>
      </c>
      <c r="F305" s="17" t="inlineStr">
        <is>
          <t>Bio</t>
        </is>
      </c>
      <c r="G305" s="16" t="n">
        <v>2</v>
      </c>
      <c r="H305" s="17" t="inlineStr">
        <is>
          <t>Without Mutagen flag : -10 ATK permanently at the end of their turn.</t>
        </is>
      </c>
      <c r="I305" t="inlineStr">
        <is>
          <t>wording polish</t>
        </is>
      </c>
      <c r="J305" s="16" t="n"/>
      <c r="K305" s="17" t="inlineStr">
        <is>
          <t>Yes</t>
        </is>
      </c>
      <c r="L305" s="16">
        <f>(D305*6)+(E305*4)</f>
        <v/>
      </c>
      <c r="M305" s="17" t="inlineStr">
        <is>
          <t>Yes</t>
        </is>
      </c>
      <c r="N305" s="16" t="n"/>
      <c r="O305" s="16" t="n"/>
      <c r="P305" s="17" t="inlineStr">
        <is>
          <t>Yes</t>
        </is>
      </c>
      <c r="Q305" s="16" t="n"/>
    </row>
    <row r="306" ht="20.05" customHeight="1" s="47">
      <c r="A306" s="8" t="inlineStr">
        <is>
          <t>Toxin Folk</t>
        </is>
      </c>
      <c r="B306" s="9" t="inlineStr">
        <is>
          <t>Unit</t>
        </is>
      </c>
      <c r="C306" s="16" t="n"/>
      <c r="D306" s="16" t="n"/>
      <c r="E306" s="16" t="n"/>
      <c r="F306" s="17" t="inlineStr">
        <is>
          <t>Bio</t>
        </is>
      </c>
      <c r="G306" s="16" t="n">
        <v>2</v>
      </c>
      <c r="H306" s="16" t="n"/>
      <c r="J306" s="16" t="n"/>
      <c r="K306" s="16" t="n"/>
      <c r="L306" s="16">
        <f>(D306*6)+(E306*4)</f>
        <v/>
      </c>
      <c r="M306" s="16" t="n"/>
      <c r="N306" s="16" t="n"/>
      <c r="O306" s="16" t="n"/>
      <c r="P306" s="16" t="n"/>
      <c r="Q306" s="16" t="n"/>
    </row>
    <row r="307" ht="20.05" customHeight="1" s="47">
      <c r="A307" s="8" t="inlineStr">
        <is>
          <t>Cyborg dog</t>
        </is>
      </c>
      <c r="B307" s="9" t="inlineStr">
        <is>
          <t>Unit</t>
        </is>
      </c>
      <c r="C307" s="16" t="n"/>
      <c r="D307" s="16" t="n"/>
      <c r="E307" s="16" t="n"/>
      <c r="F307" s="17" t="inlineStr">
        <is>
          <t>Bio</t>
        </is>
      </c>
      <c r="G307" s="16" t="n">
        <v>2</v>
      </c>
      <c r="H307" s="16" t="n"/>
      <c r="J307" s="16" t="n"/>
      <c r="K307" s="16" t="n"/>
      <c r="L307" s="16">
        <f>(D307*6)+(E307*4)</f>
        <v/>
      </c>
      <c r="M307" s="16" t="n"/>
      <c r="N307" s="16" t="n"/>
      <c r="O307" s="16" t="n"/>
      <c r="P307" s="16" t="n"/>
      <c r="Q307" s="16" t="n"/>
    </row>
    <row r="308" ht="56.05" customHeight="1" s="47">
      <c r="A308" s="8" t="inlineStr">
        <is>
          <t>Plant-29</t>
        </is>
      </c>
      <c r="B308" s="9" t="inlineStr">
        <is>
          <t>Unit</t>
        </is>
      </c>
      <c r="C308" s="16" t="n">
        <v>900</v>
      </c>
      <c r="D308" s="16" t="n">
        <v>45</v>
      </c>
      <c r="E308" s="16" t="n">
        <v>85</v>
      </c>
      <c r="F308" s="17" t="inlineStr">
        <is>
          <t>Bio</t>
        </is>
      </c>
      <c r="G308" s="16" t="n">
        <v>3</v>
      </c>
      <c r="H308" s="17" t="inlineStr">
        <is>
          <t>Start of turn: Choose 1 unit, flip a coin. Heads: Venom flag on it. Tails: Mutagen flag on it.</t>
        </is>
      </c>
      <c r="I308" t="inlineStr">
        <is>
          <t>Synced to implemented rule; choose unit before coin; units only; grammar.</t>
        </is>
      </c>
      <c r="J308" s="16" t="n"/>
      <c r="K308" s="17" t="inlineStr">
        <is>
          <t>Yes</t>
        </is>
      </c>
      <c r="L308" s="16">
        <f>(D308*6)+(E308*4)</f>
        <v/>
      </c>
      <c r="M308" s="17" t="inlineStr">
        <is>
          <t>Yes</t>
        </is>
      </c>
      <c r="N308" s="16" t="n"/>
      <c r="O308" s="16" t="n"/>
      <c r="P308" s="17" t="inlineStr">
        <is>
          <t>Yes</t>
        </is>
      </c>
      <c r="Q308" s="17" t="inlineStr">
        <is>
          <t>Yes</t>
        </is>
      </c>
    </row>
    <row r="309" ht="20.05" customHeight="1" s="47">
      <c r="A309" s="8" t="inlineStr">
        <is>
          <t>Nanomites Beast</t>
        </is>
      </c>
      <c r="B309" s="9" t="inlineStr">
        <is>
          <t>Unit</t>
        </is>
      </c>
      <c r="C309" s="16" t="n"/>
      <c r="D309" s="16" t="n"/>
      <c r="E309" s="16" t="n"/>
      <c r="F309" s="17" t="inlineStr">
        <is>
          <t>Bio</t>
        </is>
      </c>
      <c r="G309" s="16" t="n">
        <v>3</v>
      </c>
      <c r="H309" s="16" t="n"/>
      <c r="J309" s="16" t="n"/>
      <c r="K309" s="16" t="n"/>
      <c r="L309" s="16">
        <f>(D309*6)+(E309*4)</f>
        <v/>
      </c>
      <c r="M309" s="16" t="n"/>
      <c r="N309" s="16" t="n"/>
      <c r="O309" s="16" t="n"/>
      <c r="P309" s="16" t="n"/>
      <c r="Q309" s="16" t="n"/>
    </row>
    <row r="310" ht="20.05" customHeight="1" s="47">
      <c r="A310" s="8" t="inlineStr">
        <is>
          <t>Dystopian Cultist</t>
        </is>
      </c>
      <c r="B310" s="9" t="inlineStr">
        <is>
          <t>Unit</t>
        </is>
      </c>
      <c r="C310" s="16" t="n"/>
      <c r="D310" s="16" t="n"/>
      <c r="E310" s="16" t="n"/>
      <c r="F310" s="17" t="inlineStr">
        <is>
          <t>Bio</t>
        </is>
      </c>
      <c r="G310" s="16" t="n">
        <v>3</v>
      </c>
      <c r="H310" s="16" t="n"/>
      <c r="J310" s="16" t="n"/>
      <c r="K310" s="16" t="n"/>
      <c r="L310" s="16">
        <f>(D310*6)+(E310*4)</f>
        <v/>
      </c>
      <c r="M310" s="16" t="n"/>
      <c r="N310" s="16" t="n"/>
      <c r="O310" s="16" t="n"/>
      <c r="P310" s="16" t="n"/>
      <c r="Q310" s="16" t="n"/>
    </row>
    <row r="311" ht="20.05" customHeight="1" s="47">
      <c r="A311" s="8" t="inlineStr">
        <is>
          <t>Tongue Twister</t>
        </is>
      </c>
      <c r="B311" s="9" t="inlineStr">
        <is>
          <t>Unit</t>
        </is>
      </c>
      <c r="C311" s="16" t="n"/>
      <c r="D311" s="16" t="n"/>
      <c r="E311" s="16" t="n"/>
      <c r="F311" s="17" t="inlineStr">
        <is>
          <t>Bio</t>
        </is>
      </c>
      <c r="G311" s="16" t="n">
        <v>3</v>
      </c>
      <c r="H311" s="16" t="n"/>
      <c r="J311" s="16" t="n"/>
      <c r="K311" s="16" t="n"/>
      <c r="L311" s="16">
        <f>(D311*6)+(E311*4)</f>
        <v/>
      </c>
      <c r="M311" s="16" t="n"/>
      <c r="N311" s="16" t="n"/>
      <c r="O311" s="16" t="n"/>
      <c r="P311" s="16" t="n"/>
      <c r="Q311" s="16" t="n"/>
    </row>
    <row r="312" ht="44.05" customHeight="1" s="47">
      <c r="A312" s="8" t="inlineStr">
        <is>
          <t>Spine Creeper</t>
        </is>
      </c>
      <c r="B312" s="9" t="inlineStr">
        <is>
          <t>Unit</t>
        </is>
      </c>
      <c r="C312" s="16" t="n"/>
      <c r="D312" s="16" t="n"/>
      <c r="E312" s="16" t="n"/>
      <c r="F312" s="17" t="inlineStr">
        <is>
          <t>Bio</t>
        </is>
      </c>
      <c r="G312" s="16" t="n">
        <v>3</v>
      </c>
      <c r="H312" s="17" t="inlineStr">
        <is>
          <t>Once: this card can attack twice, but lose 30 ATK at the end of turn.</t>
        </is>
      </c>
      <c r="I312" t="inlineStr">
        <is>
          <t>wording polish</t>
        </is>
      </c>
      <c r="J312" s="16" t="n"/>
      <c r="K312" s="16" t="n"/>
      <c r="L312" s="16">
        <f>(D312*6)+(E312*4)</f>
        <v/>
      </c>
      <c r="M312" s="16" t="n"/>
      <c r="N312" s="16" t="n"/>
      <c r="O312" s="16" t="n"/>
      <c r="P312" s="16" t="n"/>
      <c r="Q312" s="16" t="n"/>
    </row>
    <row r="313" ht="20.05" customHeight="1" s="47">
      <c r="A313" s="8" t="inlineStr">
        <is>
          <t>Ultralings</t>
        </is>
      </c>
      <c r="B313" s="9" t="inlineStr">
        <is>
          <t>Unit</t>
        </is>
      </c>
      <c r="C313" s="16" t="n"/>
      <c r="D313" s="16" t="n"/>
      <c r="E313" s="16" t="n"/>
      <c r="F313" s="17" t="inlineStr">
        <is>
          <t>Bio</t>
        </is>
      </c>
      <c r="G313" s="16" t="n">
        <v>3</v>
      </c>
      <c r="H313" s="16" t="n"/>
      <c r="J313" s="16" t="n"/>
      <c r="K313" s="16" t="n"/>
      <c r="L313" s="16">
        <f>(D313*6)+(E313*4)</f>
        <v/>
      </c>
      <c r="M313" s="16" t="n"/>
      <c r="N313" s="16" t="n"/>
      <c r="O313" s="16" t="n"/>
      <c r="P313" s="16" t="n"/>
      <c r="Q313" s="16" t="n"/>
    </row>
    <row r="314" ht="20.05" customHeight="1" s="47">
      <c r="A314" s="8" t="inlineStr">
        <is>
          <t>Devoted Scientist</t>
        </is>
      </c>
      <c r="B314" s="9" t="inlineStr">
        <is>
          <t>Unit</t>
        </is>
      </c>
      <c r="C314" s="16" t="n"/>
      <c r="D314" s="16" t="n"/>
      <c r="E314" s="16" t="n"/>
      <c r="F314" s="17" t="inlineStr">
        <is>
          <t>Bio</t>
        </is>
      </c>
      <c r="G314" s="16" t="n">
        <v>3</v>
      </c>
      <c r="H314" s="16" t="n"/>
      <c r="J314" s="16" t="n"/>
      <c r="K314" s="16" t="n"/>
      <c r="L314" s="16">
        <f>(D314*6)+(E314*4)</f>
        <v/>
      </c>
      <c r="M314" s="16" t="n"/>
      <c r="N314" s="16" t="n"/>
      <c r="O314" s="16" t="n"/>
      <c r="P314" s="16" t="n"/>
      <c r="Q314" s="16" t="n"/>
    </row>
    <row r="315" ht="20.05" customHeight="1" s="47">
      <c r="A315" s="8" t="inlineStr">
        <is>
          <t>Daddy Long Legs</t>
        </is>
      </c>
      <c r="B315" s="9" t="inlineStr">
        <is>
          <t>Unit</t>
        </is>
      </c>
      <c r="C315" s="16" t="n"/>
      <c r="D315" s="16" t="n"/>
      <c r="E315" s="16" t="n"/>
      <c r="F315" s="17" t="inlineStr">
        <is>
          <t>Bio</t>
        </is>
      </c>
      <c r="G315" s="16" t="n">
        <v>3</v>
      </c>
      <c r="H315" s="16" t="n"/>
      <c r="J315" s="16" t="n"/>
      <c r="K315" s="16" t="n"/>
      <c r="L315" s="16">
        <f>(D315*6)+(E315*4)</f>
        <v/>
      </c>
      <c r="M315" s="16" t="n"/>
      <c r="N315" s="16" t="n"/>
      <c r="O315" s="16" t="n"/>
      <c r="P315" s="16" t="n"/>
      <c r="Q315" s="16" t="n"/>
    </row>
    <row r="316" ht="32.05" customHeight="1" s="47">
      <c r="A316" s="8" t="inlineStr">
        <is>
          <t>Long Tongue</t>
        </is>
      </c>
      <c r="B316" s="9" t="inlineStr">
        <is>
          <t>Unit</t>
        </is>
      </c>
      <c r="C316" s="16" t="n">
        <v>700</v>
      </c>
      <c r="D316" s="16" t="n">
        <v>75</v>
      </c>
      <c r="E316" s="16" t="n">
        <v>60</v>
      </c>
      <c r="F316" s="17" t="inlineStr">
        <is>
          <t>Bio</t>
        </is>
      </c>
      <c r="G316" s="16" t="n">
        <v>4</v>
      </c>
      <c r="H316" s="17" t="inlineStr">
        <is>
          <t>After successfully attack, flip a coin, Heads: gain 20 Crystal</t>
        </is>
      </c>
      <c r="I316" t="inlineStr">
        <is>
          <t>Head→Heads</t>
        </is>
      </c>
      <c r="J316" s="16" t="n"/>
      <c r="K316" s="16" t="n"/>
      <c r="L316" s="16">
        <f>(D316*6)+(E316*4)</f>
        <v/>
      </c>
      <c r="M316" s="16" t="n"/>
      <c r="N316" s="16" t="n"/>
      <c r="O316" s="16" t="n"/>
      <c r="P316" s="16" t="n"/>
      <c r="Q316" s="16" t="n"/>
    </row>
    <row r="317" ht="56.05" customHeight="1" s="47">
      <c r="A317" s="8" t="inlineStr">
        <is>
          <t>Epsilon The Wither</t>
        </is>
      </c>
      <c r="B317" s="9" t="inlineStr">
        <is>
          <t>Unit</t>
        </is>
      </c>
      <c r="C317" s="16" t="n"/>
      <c r="D317" s="16" t="n"/>
      <c r="E317" s="16" t="n"/>
      <c r="F317" s="17" t="inlineStr">
        <is>
          <t>Bio</t>
        </is>
      </c>
      <c r="G317" s="16" t="n">
        <v>4</v>
      </c>
      <c r="H317" s="17" t="inlineStr">
        <is>
          <t>At Reckoning, +20 ATK and DEF until this turn ends, but all ally units lose 20 ATK and DEF until this turn ends</t>
        </is>
      </c>
      <c r="I317" t="inlineStr">
        <is>
          <t>ATK&amp;DEF→ATK and DEF</t>
        </is>
      </c>
      <c r="J317" s="16" t="n"/>
      <c r="K317" s="16" t="n"/>
      <c r="L317" s="16">
        <f>(D317*6)+(E317*4)</f>
        <v/>
      </c>
      <c r="M317" s="16" t="n"/>
      <c r="N317" s="16" t="n"/>
      <c r="O317" s="16" t="n"/>
      <c r="P317" s="16" t="n"/>
      <c r="Q317" s="16" t="n"/>
    </row>
    <row r="318" ht="20.05" customHeight="1" s="47">
      <c r="A318" s="8" t="inlineStr">
        <is>
          <t>Plaguespreader</t>
        </is>
      </c>
      <c r="B318" s="9" t="inlineStr">
        <is>
          <t>Unit</t>
        </is>
      </c>
      <c r="C318" s="16" t="n"/>
      <c r="D318" s="16" t="n"/>
      <c r="E318" s="16" t="n"/>
      <c r="F318" s="17" t="inlineStr">
        <is>
          <t>Bio</t>
        </is>
      </c>
      <c r="G318" s="16" t="n">
        <v>4</v>
      </c>
      <c r="H318" s="16" t="n"/>
      <c r="J318" s="16" t="n"/>
      <c r="K318" s="16" t="n"/>
      <c r="L318" s="16">
        <f>(D318*6)+(E318*4)</f>
        <v/>
      </c>
      <c r="M318" s="16" t="n"/>
      <c r="N318" s="16" t="n"/>
      <c r="O318" s="16" t="n"/>
      <c r="P318" s="16" t="n"/>
      <c r="Q318" s="16" t="n"/>
    </row>
    <row r="319" ht="44.05" customHeight="1" s="47">
      <c r="A319" s="8" t="inlineStr">
        <is>
          <t>Black Worms</t>
        </is>
      </c>
      <c r="B319" s="9" t="inlineStr">
        <is>
          <t>Unit</t>
        </is>
      </c>
      <c r="C319" s="16" t="n"/>
      <c r="D319" s="16" t="n"/>
      <c r="E319" s="16" t="n"/>
      <c r="F319" s="17" t="inlineStr">
        <is>
          <t>Bio</t>
        </is>
      </c>
      <c r="G319" s="16" t="n">
        <v>4</v>
      </c>
      <c r="H319" s="17" t="inlineStr">
        <is>
          <t>At their turn’s end, foe loses 300 Crystals for each Mutagen flag on the field</t>
        </is>
      </c>
      <c r="I319" t="inlineStr">
        <is>
          <t>wording polish</t>
        </is>
      </c>
      <c r="J319" s="16" t="n"/>
      <c r="K319" s="16" t="n"/>
      <c r="L319" s="16">
        <f>(D319*6)+(E319*4)</f>
        <v/>
      </c>
      <c r="M319" s="16" t="n"/>
      <c r="N319" s="16" t="n"/>
      <c r="O319" s="16" t="n"/>
      <c r="P319" s="16" t="n"/>
      <c r="Q319" s="16" t="n"/>
    </row>
    <row r="320" ht="32.05" customHeight="1" s="47">
      <c r="A320" s="8" t="inlineStr">
        <is>
          <t>Special Bleacher Unit</t>
        </is>
      </c>
      <c r="B320" s="9" t="inlineStr">
        <is>
          <t>Unit</t>
        </is>
      </c>
      <c r="C320" s="16" t="n"/>
      <c r="D320" s="16" t="n"/>
      <c r="E320" s="16" t="n"/>
      <c r="F320" s="17" t="inlineStr">
        <is>
          <t>Bio</t>
        </is>
      </c>
      <c r="G320" s="16" t="n">
        <v>4</v>
      </c>
      <c r="H320" s="16" t="n"/>
      <c r="J320" s="16" t="n"/>
      <c r="K320" s="16" t="n"/>
      <c r="L320" s="16">
        <f>(D320*6)+(E320*4)</f>
        <v/>
      </c>
      <c r="M320" s="16" t="n"/>
      <c r="N320" s="16" t="n"/>
      <c r="O320" s="16" t="n"/>
      <c r="P320" s="16" t="n"/>
      <c r="Q320" s="16" t="n"/>
    </row>
    <row r="321" ht="32.05" customHeight="1" s="47">
      <c r="A321" s="8" t="inlineStr">
        <is>
          <t>NG-01 the Forgotten Failure</t>
        </is>
      </c>
      <c r="B321" s="9" t="inlineStr">
        <is>
          <t>Unit</t>
        </is>
      </c>
      <c r="C321" s="16" t="n"/>
      <c r="D321" s="16" t="n"/>
      <c r="E321" s="16" t="n"/>
      <c r="F321" s="17" t="inlineStr">
        <is>
          <t>Bio</t>
        </is>
      </c>
      <c r="G321" s="16" t="n">
        <v>4</v>
      </c>
      <c r="H321" s="16" t="n"/>
      <c r="J321" s="16" t="n"/>
      <c r="K321" s="16" t="n"/>
      <c r="L321" s="16">
        <f>(D321*6)+(E321*4)</f>
        <v/>
      </c>
      <c r="M321" s="16" t="n"/>
      <c r="N321" s="16" t="n"/>
      <c r="O321" s="16" t="n"/>
      <c r="P321" s="16" t="n"/>
      <c r="Q321" s="16" t="n"/>
    </row>
    <row r="322" ht="20.05" customHeight="1" s="47">
      <c r="A322" s="8" t="inlineStr">
        <is>
          <t>Hydra</t>
        </is>
      </c>
      <c r="B322" s="9" t="inlineStr">
        <is>
          <t>Unit</t>
        </is>
      </c>
      <c r="C322" s="16" t="n"/>
      <c r="D322" s="16" t="n"/>
      <c r="E322" s="16" t="n"/>
      <c r="F322" s="17" t="inlineStr">
        <is>
          <t>Bio</t>
        </is>
      </c>
      <c r="G322" s="16" t="n">
        <v>5</v>
      </c>
      <c r="H322" s="16" t="n"/>
      <c r="J322" s="16" t="n"/>
      <c r="K322" s="16" t="n"/>
      <c r="L322" s="16">
        <f>(D322*6)+(E322*4)</f>
        <v/>
      </c>
      <c r="M322" s="16" t="n"/>
      <c r="N322" s="16" t="n"/>
      <c r="O322" s="16" t="n"/>
      <c r="P322" s="16" t="n"/>
      <c r="Q322" s="16" t="n"/>
    </row>
    <row r="323" ht="32.05" customHeight="1" s="47">
      <c r="A323" s="8" t="inlineStr">
        <is>
          <t>Abominable Scientist</t>
        </is>
      </c>
      <c r="B323" s="9" t="inlineStr">
        <is>
          <t>Unit</t>
        </is>
      </c>
      <c r="C323" s="16" t="n"/>
      <c r="D323" s="16" t="n"/>
      <c r="E323" s="16" t="n"/>
      <c r="F323" s="17" t="inlineStr">
        <is>
          <t>Bio</t>
        </is>
      </c>
      <c r="G323" s="16" t="n">
        <v>5</v>
      </c>
      <c r="H323" s="16" t="n"/>
      <c r="J323" s="16" t="n"/>
      <c r="K323" s="16" t="n"/>
      <c r="L323" s="16">
        <f>(D323*6)+(E323*4)</f>
        <v/>
      </c>
      <c r="M323" s="16" t="n"/>
      <c r="N323" s="16" t="n"/>
      <c r="O323" s="16" t="n"/>
      <c r="P323" s="16" t="n"/>
      <c r="Q323" s="16" t="n"/>
    </row>
    <row r="324" ht="56.05" customHeight="1" s="47">
      <c r="A324" s="8" t="inlineStr">
        <is>
          <t>Parasite Queen</t>
        </is>
      </c>
      <c r="B324" s="9" t="inlineStr">
        <is>
          <t>Unit</t>
        </is>
      </c>
      <c r="C324" s="16" t="n"/>
      <c r="D324" s="16" t="n">
        <v>25</v>
      </c>
      <c r="E324" s="16" t="n">
        <v>150</v>
      </c>
      <c r="F324" s="17" t="inlineStr">
        <is>
          <t>Bio</t>
        </is>
      </c>
      <c r="G324" s="16" t="n">
        <v>5</v>
      </c>
      <c r="H324" s="17" t="inlineStr">
        <is>
          <t>After this unit defends successfully, the attacker is not destroyed but cannot attack ever again.</t>
        </is>
      </c>
      <c r="I324" t="inlineStr">
        <is>
          <t>User confirmed defender→attacker typo.</t>
        </is>
      </c>
      <c r="J324" s="16" t="n"/>
      <c r="K324" s="16" t="n"/>
      <c r="L324" s="16">
        <f>(D324*6)+(E324*4)</f>
        <v/>
      </c>
      <c r="M324" s="16" t="n"/>
      <c r="N324" s="16" t="n"/>
      <c r="O324" s="16" t="n"/>
      <c r="P324" s="16" t="n"/>
      <c r="Q324" s="16" t="n"/>
    </row>
    <row r="325" ht="32.05" customHeight="1" s="47">
      <c r="A325" s="8" t="inlineStr">
        <is>
          <t>Blind Jaw</t>
        </is>
      </c>
      <c r="B325" s="9" t="inlineStr">
        <is>
          <t>Unit</t>
        </is>
      </c>
      <c r="C325" s="16" t="n"/>
      <c r="D325" s="16" t="n">
        <v>150</v>
      </c>
      <c r="E325" s="16" t="n">
        <v>75</v>
      </c>
      <c r="F325" s="17" t="inlineStr">
        <is>
          <t>Bio</t>
        </is>
      </c>
      <c r="G325" s="16" t="n">
        <v>5</v>
      </c>
      <c r="H325" s="17" t="inlineStr">
        <is>
          <t>This card can only attack Exposed units.</t>
        </is>
      </c>
      <c r="I325" t="inlineStr">
        <is>
          <t>wording polish</t>
        </is>
      </c>
      <c r="J325" s="16" t="n"/>
      <c r="K325" s="16" t="n"/>
      <c r="L325" s="16">
        <f>(D325*6)+(E325*4)</f>
        <v/>
      </c>
      <c r="M325" s="16" t="n"/>
      <c r="N325" s="16" t="n"/>
      <c r="O325" s="16" t="n"/>
      <c r="P325" s="16" t="n"/>
      <c r="Q325" s="16" t="n"/>
    </row>
    <row r="326" ht="20.05" customHeight="1" s="47">
      <c r="A326" s="8" t="inlineStr">
        <is>
          <t>Hive Overlord</t>
        </is>
      </c>
      <c r="B326" s="9" t="inlineStr">
        <is>
          <t>Unit</t>
        </is>
      </c>
      <c r="C326" s="16" t="n"/>
      <c r="D326" s="16" t="n"/>
      <c r="E326" s="16" t="n"/>
      <c r="F326" s="17" t="inlineStr">
        <is>
          <t>Bio</t>
        </is>
      </c>
      <c r="G326" s="16" t="n">
        <v>5</v>
      </c>
      <c r="H326" s="16" t="n"/>
      <c r="J326" s="16" t="n"/>
      <c r="K326" s="16" t="n"/>
      <c r="L326" s="16">
        <f>(D326*6)+(E326*4)</f>
        <v/>
      </c>
      <c r="M326" s="16" t="n"/>
      <c r="N326" s="16" t="n"/>
      <c r="O326" s="16" t="n"/>
      <c r="P326" s="16" t="n"/>
      <c r="Q326" s="16" t="n"/>
    </row>
    <row r="327" ht="32.05" customHeight="1" s="47">
      <c r="A327" s="8" t="inlineStr">
        <is>
          <t>Z-99 the Perfect Organism</t>
        </is>
      </c>
      <c r="B327" s="9" t="inlineStr">
        <is>
          <t>Unit</t>
        </is>
      </c>
      <c r="C327" s="16" t="n"/>
      <c r="D327" s="16" t="n"/>
      <c r="E327" s="16" t="n"/>
      <c r="F327" s="17" t="inlineStr">
        <is>
          <t>Bio</t>
        </is>
      </c>
      <c r="G327" s="16" t="n">
        <v>5</v>
      </c>
      <c r="H327" s="16" t="n"/>
      <c r="J327" s="16" t="n"/>
      <c r="K327" s="16" t="n"/>
      <c r="L327" s="16">
        <f>(D327*6)+(E327*4)</f>
        <v/>
      </c>
      <c r="M327" s="16" t="n"/>
      <c r="N327" s="16" t="n"/>
      <c r="O327" s="16" t="n"/>
      <c r="P327" s="16" t="n"/>
      <c r="Q327" s="16" t="n"/>
    </row>
    <row r="328" ht="32.05" customHeight="1" s="47">
      <c r="A328" s="8" t="inlineStr">
        <is>
          <t>Striker Comet</t>
        </is>
      </c>
      <c r="B328" s="9" t="inlineStr">
        <is>
          <t>Unit</t>
        </is>
      </c>
      <c r="C328" s="16" t="n">
        <v>200</v>
      </c>
      <c r="D328" s="16" t="n">
        <v>25</v>
      </c>
      <c r="E328" s="16" t="n">
        <v>25</v>
      </c>
      <c r="F328" s="17" t="inlineStr">
        <is>
          <t>Cosmic</t>
        </is>
      </c>
      <c r="G328" s="16" t="n">
        <v>1</v>
      </c>
      <c r="H328" s="17" t="inlineStr">
        <is>
          <t>Once Exposed, destroy it and the end of this turn</t>
        </is>
      </c>
      <c r="I328" t="inlineStr">
        <is>
          <t>wording polish</t>
        </is>
      </c>
      <c r="J328" s="16" t="n"/>
      <c r="K328" s="17" t="inlineStr">
        <is>
          <t>Yes</t>
        </is>
      </c>
      <c r="L328" s="16">
        <f>(D328*6)+(E328*4)</f>
        <v/>
      </c>
      <c r="M328" s="17" t="inlineStr">
        <is>
          <t>Yes</t>
        </is>
      </c>
      <c r="N328" s="16" t="n"/>
      <c r="O328" s="16" t="n"/>
      <c r="P328" s="17" t="inlineStr">
        <is>
          <t>Yes</t>
        </is>
      </c>
      <c r="Q328" s="16" t="n"/>
    </row>
    <row r="329" ht="32.05" customHeight="1" s="47">
      <c r="A329" s="8" t="inlineStr">
        <is>
          <t>Laser Walker</t>
        </is>
      </c>
      <c r="B329" s="9" t="inlineStr">
        <is>
          <t>Unit</t>
        </is>
      </c>
      <c r="C329" s="16" t="n">
        <v>250</v>
      </c>
      <c r="D329" s="16" t="n">
        <v>20</v>
      </c>
      <c r="E329" s="16" t="n">
        <v>10</v>
      </c>
      <c r="F329" s="17" t="inlineStr">
        <is>
          <t>Cosmic</t>
        </is>
      </c>
      <c r="G329" s="16" t="n">
        <v>1</v>
      </c>
      <c r="H329" s="17" t="inlineStr">
        <is>
          <t>This card is not affected by 0-cost traps</t>
        </is>
      </c>
      <c r="I329" t="inlineStr">
        <is>
          <t>0 cost→0-cost</t>
        </is>
      </c>
      <c r="J329" s="16" t="n"/>
      <c r="K329" s="17" t="inlineStr">
        <is>
          <t>Yes</t>
        </is>
      </c>
      <c r="L329" s="16">
        <f>(D329*6)+(E329*4)</f>
        <v/>
      </c>
      <c r="M329" s="17" t="inlineStr">
        <is>
          <t>Yes</t>
        </is>
      </c>
      <c r="N329" s="16" t="n"/>
      <c r="O329" s="17" t="inlineStr">
        <is>
          <t>Yes</t>
        </is>
      </c>
      <c r="P329" s="16" t="n"/>
      <c r="Q329" s="16" t="n"/>
    </row>
    <row r="330" ht="32.05" customHeight="1" s="47">
      <c r="A330" s="8" t="inlineStr">
        <is>
          <t>Neptune Diver</t>
        </is>
      </c>
      <c r="B330" s="9" t="inlineStr">
        <is>
          <t>Unit</t>
        </is>
      </c>
      <c r="C330" s="16" t="n">
        <v>200</v>
      </c>
      <c r="D330" s="16" t="n">
        <v>20</v>
      </c>
      <c r="E330" s="16" t="n">
        <v>10</v>
      </c>
      <c r="F330" s="17" t="inlineStr">
        <is>
          <t>Cosmic</t>
        </is>
      </c>
      <c r="G330" s="16" t="n">
        <v>1</v>
      </c>
      <c r="H330" s="17" t="inlineStr">
        <is>
          <t>After hitting a trap : reveal 1 foe’s cell</t>
        </is>
      </c>
      <c r="J330" s="16" t="n"/>
      <c r="K330" s="17" t="inlineStr">
        <is>
          <t>Yes</t>
        </is>
      </c>
      <c r="L330" s="16">
        <f>(D330*6)+(E330*4)</f>
        <v/>
      </c>
      <c r="M330" s="17" t="inlineStr">
        <is>
          <t>Yes</t>
        </is>
      </c>
      <c r="N330" s="16" t="n"/>
      <c r="O330" s="16" t="n"/>
      <c r="P330" s="16" t="n"/>
      <c r="Q330" s="17" t="inlineStr">
        <is>
          <t>Yes</t>
        </is>
      </c>
    </row>
    <row r="331" ht="32.05" customHeight="1" s="47">
      <c r="A331" s="8" t="inlineStr">
        <is>
          <t>Moon Rover</t>
        </is>
      </c>
      <c r="B331" s="9" t="inlineStr">
        <is>
          <t>Unit</t>
        </is>
      </c>
      <c r="C331" s="16" t="n">
        <v>200</v>
      </c>
      <c r="D331" s="16" t="n">
        <v>15</v>
      </c>
      <c r="E331" s="16" t="n">
        <v>20</v>
      </c>
      <c r="F331" s="17" t="inlineStr">
        <is>
          <t>Cosmic</t>
        </is>
      </c>
      <c r="G331" s="16" t="n">
        <v>1</v>
      </c>
      <c r="H331" s="17" t="inlineStr">
        <is>
          <t>After hitting a Dead End : reveal 1 foe’s cell</t>
        </is>
      </c>
      <c r="J331" s="16" t="n"/>
      <c r="K331" s="17" t="inlineStr">
        <is>
          <t>Yes</t>
        </is>
      </c>
      <c r="L331" s="16">
        <f>(D331*6)+(E331*4)</f>
        <v/>
      </c>
      <c r="M331" s="17" t="inlineStr">
        <is>
          <t>Yes</t>
        </is>
      </c>
      <c r="N331" s="16" t="n"/>
      <c r="O331" s="16" t="n"/>
      <c r="P331" s="16" t="n"/>
      <c r="Q331" s="17" t="inlineStr">
        <is>
          <t>Yes</t>
        </is>
      </c>
    </row>
    <row r="332" ht="20.05" customHeight="1" s="47">
      <c r="A332" s="8" t="inlineStr">
        <is>
          <t>Kyber Trooper</t>
        </is>
      </c>
      <c r="B332" s="9" t="inlineStr">
        <is>
          <t>Unit</t>
        </is>
      </c>
      <c r="C332" s="16" t="n"/>
      <c r="D332" s="16" t="n"/>
      <c r="E332" s="16" t="n"/>
      <c r="F332" s="17" t="inlineStr">
        <is>
          <t>Cosmic</t>
        </is>
      </c>
      <c r="G332" s="16" t="n">
        <v>1</v>
      </c>
      <c r="H332" s="16" t="n"/>
      <c r="J332" s="16" t="n"/>
      <c r="K332" s="16" t="n"/>
      <c r="L332" s="16">
        <f>(D332*6)+(E332*4)</f>
        <v/>
      </c>
      <c r="M332" s="16" t="n"/>
      <c r="N332" s="16" t="n"/>
      <c r="O332" s="16" t="n"/>
      <c r="P332" s="16" t="n"/>
      <c r="Q332" s="16" t="n"/>
    </row>
    <row r="333" ht="32.05" customHeight="1" s="47">
      <c r="A333" s="8" t="inlineStr">
        <is>
          <t>Europan Berserker</t>
        </is>
      </c>
      <c r="B333" s="9" t="inlineStr">
        <is>
          <t>Unit</t>
        </is>
      </c>
      <c r="C333" s="16" t="n"/>
      <c r="D333" s="16" t="n"/>
      <c r="E333" s="16" t="n"/>
      <c r="F333" s="17" t="inlineStr">
        <is>
          <t>Cosmic</t>
        </is>
      </c>
      <c r="G333" s="16" t="n">
        <v>1</v>
      </c>
      <c r="H333" s="16" t="n"/>
      <c r="J333" s="16" t="n"/>
      <c r="K333" s="16" t="n"/>
      <c r="L333" s="16">
        <f>(D333*6)+(E333*4)</f>
        <v/>
      </c>
      <c r="M333" s="16" t="n"/>
      <c r="N333" s="16" t="n"/>
      <c r="O333" s="16" t="n"/>
      <c r="P333" s="16" t="n"/>
      <c r="Q333" s="16" t="n"/>
    </row>
    <row r="334" ht="20.05" customHeight="1" s="47">
      <c r="A334" s="8" t="inlineStr">
        <is>
          <t>Irondust Ghoul</t>
        </is>
      </c>
      <c r="B334" s="9" t="inlineStr">
        <is>
          <t>Unit</t>
        </is>
      </c>
      <c r="C334" s="16" t="n"/>
      <c r="D334" s="16" t="n"/>
      <c r="E334" s="16" t="n"/>
      <c r="F334" s="17" t="inlineStr">
        <is>
          <t>Cosmic</t>
        </is>
      </c>
      <c r="G334" s="16" t="n">
        <v>1</v>
      </c>
      <c r="H334" s="16" t="n"/>
      <c r="J334" s="16" t="n"/>
      <c r="K334" s="16" t="n"/>
      <c r="L334" s="16">
        <f>(D334*6)+(E334*4)</f>
        <v/>
      </c>
      <c r="M334" s="16" t="n"/>
      <c r="N334" s="16" t="n"/>
      <c r="O334" s="16" t="n"/>
      <c r="P334" s="16" t="n"/>
      <c r="Q334" s="16" t="n"/>
    </row>
    <row r="335" ht="20.05" customHeight="1" s="47">
      <c r="A335" s="8" t="inlineStr">
        <is>
          <t>Tsukiusagi</t>
        </is>
      </c>
      <c r="B335" s="9" t="inlineStr">
        <is>
          <t>Unit</t>
        </is>
      </c>
      <c r="C335" s="16" t="n"/>
      <c r="D335" s="16" t="n"/>
      <c r="E335" s="16" t="n"/>
      <c r="F335" s="17" t="inlineStr">
        <is>
          <t>Cosmic</t>
        </is>
      </c>
      <c r="G335" s="16" t="n">
        <v>1</v>
      </c>
      <c r="H335" s="16" t="n"/>
      <c r="J335" s="16" t="n"/>
      <c r="K335" s="16" t="n"/>
      <c r="L335" s="16">
        <f>(D335*6)+(E335*4)</f>
        <v/>
      </c>
      <c r="M335" s="16" t="n"/>
      <c r="N335" s="16" t="n"/>
      <c r="O335" s="16" t="n"/>
      <c r="P335" s="16" t="n"/>
      <c r="Q335" s="16" t="n"/>
    </row>
    <row r="336" ht="20.05" customHeight="1" s="47">
      <c r="A336" s="8" t="inlineStr">
        <is>
          <t>Tholin Shark</t>
        </is>
      </c>
      <c r="B336" s="9" t="inlineStr">
        <is>
          <t>Unit</t>
        </is>
      </c>
      <c r="C336" s="16" t="n"/>
      <c r="D336" s="16" t="n"/>
      <c r="E336" s="16" t="n"/>
      <c r="F336" s="17" t="inlineStr">
        <is>
          <t>Cosmic</t>
        </is>
      </c>
      <c r="G336" s="16" t="n">
        <v>1</v>
      </c>
      <c r="H336" s="16" t="n"/>
      <c r="J336" s="16" t="n"/>
      <c r="K336" s="16" t="n"/>
      <c r="L336" s="16">
        <f>(D336*6)+(E336*4)</f>
        <v/>
      </c>
      <c r="M336" s="16" t="n"/>
      <c r="N336" s="16" t="n"/>
      <c r="O336" s="16" t="n"/>
      <c r="P336" s="16" t="n"/>
      <c r="Q336" s="16" t="n"/>
    </row>
    <row r="337" ht="20.05" customHeight="1" s="47">
      <c r="A337" s="8" t="inlineStr">
        <is>
          <t>Nebulomancer</t>
        </is>
      </c>
      <c r="B337" s="9" t="inlineStr">
        <is>
          <t>Unit</t>
        </is>
      </c>
      <c r="C337" s="16" t="n"/>
      <c r="D337" s="16" t="n"/>
      <c r="E337" s="16" t="n"/>
      <c r="F337" s="17" t="inlineStr">
        <is>
          <t>Cosmic</t>
        </is>
      </c>
      <c r="G337" s="16" t="n">
        <v>1</v>
      </c>
      <c r="H337" s="16" t="n"/>
      <c r="J337" s="16" t="n"/>
      <c r="K337" s="16" t="n"/>
      <c r="L337" s="16">
        <f>(D337*6)+(E337*4)</f>
        <v/>
      </c>
      <c r="M337" s="16" t="n"/>
      <c r="N337" s="16" t="n"/>
      <c r="O337" s="16" t="n"/>
      <c r="P337" s="16" t="n"/>
      <c r="Q337" s="16" t="n"/>
    </row>
    <row r="338" ht="32.05" customHeight="1" s="47">
      <c r="A338" s="8" t="inlineStr">
        <is>
          <t>Aembar the Intel Dealer</t>
        </is>
      </c>
      <c r="B338" s="9" t="inlineStr">
        <is>
          <t>Unit</t>
        </is>
      </c>
      <c r="C338" s="16" t="n"/>
      <c r="D338" s="16" t="n"/>
      <c r="E338" s="16" t="n"/>
      <c r="F338" s="17" t="inlineStr">
        <is>
          <t>Cosmic</t>
        </is>
      </c>
      <c r="G338" s="16" t="n">
        <v>1</v>
      </c>
      <c r="H338" s="16" t="n"/>
      <c r="J338" s="16" t="n"/>
      <c r="K338" s="16" t="n"/>
      <c r="L338" s="16">
        <f>(D338*6)+(E338*4)</f>
        <v/>
      </c>
      <c r="M338" s="16" t="n"/>
      <c r="N338" s="16" t="n"/>
      <c r="O338" s="16" t="n"/>
      <c r="P338" s="16" t="n"/>
      <c r="Q338" s="16" t="n"/>
    </row>
    <row r="339" ht="20.05" customHeight="1" s="47">
      <c r="A339" s="8" t="inlineStr">
        <is>
          <t>Tholin Lobster</t>
        </is>
      </c>
      <c r="B339" s="9" t="inlineStr">
        <is>
          <t>Unit</t>
        </is>
      </c>
      <c r="C339" s="16" t="n"/>
      <c r="D339" s="16" t="n"/>
      <c r="E339" s="16" t="n"/>
      <c r="F339" s="17" t="inlineStr">
        <is>
          <t>Cosmic</t>
        </is>
      </c>
      <c r="G339" s="16" t="n">
        <v>1</v>
      </c>
      <c r="H339" s="16" t="n"/>
      <c r="J339" s="16" t="n"/>
      <c r="K339" s="16" t="n"/>
      <c r="L339" s="16">
        <f>(D339*6)+(E339*4)</f>
        <v/>
      </c>
      <c r="M339" s="16" t="n"/>
      <c r="N339" s="16" t="n"/>
      <c r="O339" s="16" t="n"/>
      <c r="P339" s="16" t="n"/>
      <c r="Q339" s="16" t="n"/>
    </row>
    <row r="340" ht="32.05" customHeight="1" s="47">
      <c r="A340" s="8" t="inlineStr">
        <is>
          <t>Europan Marksman</t>
        </is>
      </c>
      <c r="B340" s="9" t="inlineStr">
        <is>
          <t>Unit</t>
        </is>
      </c>
      <c r="C340" s="16" t="n"/>
      <c r="D340" s="16" t="n"/>
      <c r="E340" s="16" t="n"/>
      <c r="F340" s="17" t="inlineStr">
        <is>
          <t>Cosmic</t>
        </is>
      </c>
      <c r="G340" s="16" t="n">
        <v>1</v>
      </c>
      <c r="H340" s="16" t="n"/>
      <c r="J340" s="16" t="n"/>
      <c r="K340" s="16" t="n"/>
      <c r="L340" s="16">
        <f>(D340*6)+(E340*4)</f>
        <v/>
      </c>
      <c r="M340" s="16" t="n"/>
      <c r="N340" s="16" t="n"/>
      <c r="O340" s="16" t="n"/>
      <c r="P340" s="16" t="n"/>
      <c r="Q340" s="16" t="n"/>
    </row>
    <row r="341" ht="32.05" customHeight="1" s="47">
      <c r="A341" s="8" t="inlineStr">
        <is>
          <t>Parom the Smuggler</t>
        </is>
      </c>
      <c r="B341" s="9" t="inlineStr">
        <is>
          <t>Unit</t>
        </is>
      </c>
      <c r="C341" s="16" t="n">
        <v>300</v>
      </c>
      <c r="D341" s="16" t="n">
        <v>30</v>
      </c>
      <c r="E341" s="16" t="n">
        <v>20</v>
      </c>
      <c r="F341" s="17" t="inlineStr">
        <is>
          <t>Cosmic</t>
        </is>
      </c>
      <c r="G341" s="16" t="n">
        <v>2</v>
      </c>
      <c r="H341" s="17" t="inlineStr">
        <is>
          <t>Each time foe’s cell got revealed: gain 40 Crystals.</t>
        </is>
      </c>
      <c r="J341" s="16" t="n"/>
      <c r="K341" s="17" t="inlineStr">
        <is>
          <t>Yes</t>
        </is>
      </c>
      <c r="L341" s="16">
        <f>(D341*6)+(E341*4)</f>
        <v/>
      </c>
      <c r="M341" s="17" t="inlineStr">
        <is>
          <t>Yes</t>
        </is>
      </c>
      <c r="N341" s="16" t="n"/>
      <c r="O341" s="16" t="n"/>
      <c r="P341" s="17" t="inlineStr">
        <is>
          <t>Yes</t>
        </is>
      </c>
      <c r="Q341" s="16" t="n"/>
    </row>
    <row r="342" ht="32.05" customHeight="1" s="47">
      <c r="A342" s="8" t="inlineStr">
        <is>
          <t>Moon Tribe Marksman</t>
        </is>
      </c>
      <c r="B342" s="9" t="inlineStr">
        <is>
          <t>Unit</t>
        </is>
      </c>
      <c r="C342" s="16" t="n">
        <v>300</v>
      </c>
      <c r="D342" s="16" t="n">
        <v>35</v>
      </c>
      <c r="E342" s="16" t="n">
        <v>25</v>
      </c>
      <c r="F342" s="17" t="inlineStr">
        <is>
          <t>Cosmic</t>
        </is>
      </c>
      <c r="G342" s="16" t="n">
        <v>2</v>
      </c>
      <c r="H342" s="17" t="inlineStr">
        <is>
          <t>If no other Exposed ally Moon card, -10 ATK</t>
        </is>
      </c>
      <c r="I342" t="inlineStr">
        <is>
          <t>wording polish</t>
        </is>
      </c>
      <c r="J342" s="16" t="n"/>
      <c r="K342" s="17" t="inlineStr">
        <is>
          <t>Yes</t>
        </is>
      </c>
      <c r="L342" s="16">
        <f>(D342*6)+(E342*4)</f>
        <v/>
      </c>
      <c r="M342" s="17" t="inlineStr">
        <is>
          <t>Yes</t>
        </is>
      </c>
      <c r="N342" s="16" t="n"/>
      <c r="O342" s="17" t="inlineStr">
        <is>
          <t>Yes</t>
        </is>
      </c>
      <c r="P342" s="16" t="n"/>
      <c r="Q342" s="16" t="n"/>
    </row>
    <row r="343" ht="44.05" customHeight="1" s="47">
      <c r="A343" s="8" t="inlineStr">
        <is>
          <t>Moon Tribe Twin Blader</t>
        </is>
      </c>
      <c r="B343" s="9" t="inlineStr">
        <is>
          <t>Unit</t>
        </is>
      </c>
      <c r="C343" s="16" t="n">
        <v>300</v>
      </c>
      <c r="D343" s="16" t="n">
        <v>30</v>
      </c>
      <c r="E343" s="16" t="n">
        <v>20</v>
      </c>
      <c r="F343" s="17" t="inlineStr">
        <is>
          <t>Cosmic</t>
        </is>
      </c>
      <c r="G343" s="16" t="n">
        <v>2</v>
      </c>
      <c r="H343" s="17" t="inlineStr">
        <is>
          <t>If this card attacks, flip a coin. Heads: this card can attack twice.</t>
        </is>
      </c>
      <c r="I343" t="inlineStr">
        <is>
          <t>Head→Heads</t>
        </is>
      </c>
      <c r="J343" s="16" t="n"/>
      <c r="K343" s="17" t="inlineStr">
        <is>
          <t>Yes</t>
        </is>
      </c>
      <c r="L343" s="16">
        <f>(D343*6)+(E343*4)</f>
        <v/>
      </c>
      <c r="M343" s="17" t="inlineStr">
        <is>
          <t>Yes</t>
        </is>
      </c>
      <c r="N343" s="16" t="n"/>
      <c r="O343" s="16" t="n"/>
      <c r="P343" s="17" t="inlineStr">
        <is>
          <t>Yes</t>
        </is>
      </c>
      <c r="Q343" s="16" t="n"/>
    </row>
    <row r="344" ht="20.05" customHeight="1" s="47">
      <c r="A344" s="8" t="inlineStr">
        <is>
          <t>Parasite Mimas</t>
        </is>
      </c>
      <c r="B344" s="9" t="inlineStr">
        <is>
          <t>Unit</t>
        </is>
      </c>
      <c r="C344" s="16" t="n"/>
      <c r="D344" s="16" t="n"/>
      <c r="E344" s="16" t="n"/>
      <c r="F344" s="17" t="inlineStr">
        <is>
          <t>Cosmic</t>
        </is>
      </c>
      <c r="G344" s="16" t="n">
        <v>2</v>
      </c>
      <c r="H344" s="16" t="n"/>
      <c r="J344" s="16" t="n"/>
      <c r="K344" s="16" t="n"/>
      <c r="L344" s="16">
        <f>(D344*6)+(E344*4)</f>
        <v/>
      </c>
      <c r="M344" s="16" t="n"/>
      <c r="N344" s="16" t="n"/>
      <c r="O344" s="16" t="n"/>
      <c r="P344" s="16" t="n"/>
      <c r="Q344" s="16" t="n"/>
    </row>
    <row r="345" ht="44.05" customHeight="1" s="47">
      <c r="A345" s="8" t="inlineStr">
        <is>
          <t>Mastimus the Wanted Mercenary</t>
        </is>
      </c>
      <c r="B345" s="9" t="inlineStr">
        <is>
          <t>Unit</t>
        </is>
      </c>
      <c r="C345" s="16" t="n"/>
      <c r="D345" s="16" t="n"/>
      <c r="E345" s="16" t="n"/>
      <c r="F345" s="17" t="inlineStr">
        <is>
          <t>Cosmic</t>
        </is>
      </c>
      <c r="G345" s="16" t="n">
        <v>2</v>
      </c>
      <c r="H345" s="16" t="n"/>
      <c r="J345" s="16" t="n"/>
      <c r="K345" s="16" t="n"/>
      <c r="L345" s="16">
        <f>(D345*6)+(E345*4)</f>
        <v/>
      </c>
      <c r="M345" s="16" t="n"/>
      <c r="N345" s="16" t="n"/>
      <c r="O345" s="16" t="n"/>
      <c r="P345" s="16" t="n"/>
      <c r="Q345" s="16" t="n"/>
    </row>
    <row r="346" ht="20.05" customHeight="1" s="47">
      <c r="A346" s="8" t="inlineStr">
        <is>
          <t>Europan Trapper</t>
        </is>
      </c>
      <c r="B346" s="9" t="inlineStr">
        <is>
          <t>Unit</t>
        </is>
      </c>
      <c r="C346" s="16" t="n"/>
      <c r="D346" s="16" t="n"/>
      <c r="E346" s="16" t="n"/>
      <c r="F346" s="17" t="inlineStr">
        <is>
          <t>Cosmic</t>
        </is>
      </c>
      <c r="G346" s="16" t="n">
        <v>2</v>
      </c>
      <c r="H346" s="16" t="n"/>
      <c r="J346" s="16" t="n"/>
      <c r="K346" s="16" t="n"/>
      <c r="L346" s="16">
        <f>(D346*6)+(E346*4)</f>
        <v/>
      </c>
      <c r="M346" s="16" t="n"/>
      <c r="N346" s="16" t="n"/>
      <c r="O346" s="16" t="n"/>
      <c r="P346" s="16" t="n"/>
      <c r="Q346" s="16" t="n"/>
    </row>
    <row r="347" ht="20.05" customHeight="1" s="47">
      <c r="A347" s="8" t="inlineStr">
        <is>
          <t>Stratomancer</t>
        </is>
      </c>
      <c r="B347" s="9" t="inlineStr">
        <is>
          <t>Unit</t>
        </is>
      </c>
      <c r="C347" s="16" t="n"/>
      <c r="D347" s="16" t="n"/>
      <c r="E347" s="16" t="n"/>
      <c r="F347" s="17" t="inlineStr">
        <is>
          <t>Cosmic</t>
        </is>
      </c>
      <c r="G347" s="16" t="n">
        <v>2</v>
      </c>
      <c r="H347" s="16" t="n"/>
      <c r="J347" s="16" t="n"/>
      <c r="K347" s="16" t="n"/>
      <c r="L347" s="16">
        <f>(D347*6)+(E347*4)</f>
        <v/>
      </c>
      <c r="M347" s="16" t="n"/>
      <c r="N347" s="16" t="n"/>
      <c r="O347" s="16" t="n"/>
      <c r="P347" s="16" t="n"/>
      <c r="Q347" s="16" t="n"/>
    </row>
    <row r="348" ht="32.05" customHeight="1" s="47">
      <c r="A348" s="8" t="inlineStr">
        <is>
          <t>Mars Drill</t>
        </is>
      </c>
      <c r="B348" s="9" t="inlineStr">
        <is>
          <t>Unit</t>
        </is>
      </c>
      <c r="C348" s="16" t="n">
        <v>400</v>
      </c>
      <c r="D348" s="16" t="n">
        <v>40</v>
      </c>
      <c r="E348" s="16" t="n">
        <v>30</v>
      </c>
      <c r="F348" s="17" t="inlineStr">
        <is>
          <t>Cosmic</t>
        </is>
      </c>
      <c r="G348" s="16" t="n">
        <v>2</v>
      </c>
      <c r="H348" s="17" t="inlineStr">
        <is>
          <t>This card is not affected by 0-cost traps</t>
        </is>
      </c>
      <c r="I348" t="inlineStr">
        <is>
          <t>0 cost→0-cost</t>
        </is>
      </c>
      <c r="J348" s="16" t="n"/>
      <c r="K348" s="17" t="inlineStr">
        <is>
          <t>Yes</t>
        </is>
      </c>
      <c r="L348" s="16">
        <f>(D348*6)+(E348*4)</f>
        <v/>
      </c>
      <c r="M348" s="17" t="inlineStr">
        <is>
          <t>Yes</t>
        </is>
      </c>
      <c r="N348" s="16" t="n"/>
      <c r="O348" s="16" t="n"/>
      <c r="P348" s="16" t="n"/>
      <c r="Q348" s="17" t="inlineStr">
        <is>
          <t>Yes</t>
        </is>
      </c>
    </row>
    <row r="349" ht="32.05" customHeight="1" s="47">
      <c r="A349" s="8" t="inlineStr">
        <is>
          <t>Parasite Enceladus</t>
        </is>
      </c>
      <c r="B349" s="9" t="inlineStr">
        <is>
          <t>Unit</t>
        </is>
      </c>
      <c r="C349" s="16" t="n"/>
      <c r="D349" s="16" t="n"/>
      <c r="E349" s="16" t="n"/>
      <c r="F349" s="17" t="inlineStr">
        <is>
          <t>Cosmic</t>
        </is>
      </c>
      <c r="G349" s="16" t="n">
        <v>2</v>
      </c>
      <c r="H349" s="16" t="n"/>
      <c r="J349" s="16" t="n"/>
      <c r="K349" s="16" t="n"/>
      <c r="L349" s="16">
        <f>(D349*6)+(E349*4)</f>
        <v/>
      </c>
      <c r="M349" s="16" t="n"/>
      <c r="N349" s="16" t="n"/>
      <c r="O349" s="16" t="n"/>
      <c r="P349" s="16" t="n"/>
      <c r="Q349" s="16" t="n"/>
    </row>
    <row r="350" ht="32.05" customHeight="1" s="47">
      <c r="A350" s="8" t="inlineStr">
        <is>
          <t xml:space="preserve">Liam the Vastrunner </t>
        </is>
      </c>
      <c r="B350" s="9" t="inlineStr">
        <is>
          <t>Unit</t>
        </is>
      </c>
      <c r="C350" s="16" t="n"/>
      <c r="D350" s="16" t="n"/>
      <c r="E350" s="16" t="n"/>
      <c r="F350" s="17" t="inlineStr">
        <is>
          <t>Cosmic</t>
        </is>
      </c>
      <c r="G350" s="16" t="n">
        <v>2</v>
      </c>
      <c r="H350" s="16" t="n"/>
      <c r="J350" s="16" t="n"/>
      <c r="K350" s="16" t="n"/>
      <c r="L350" s="16">
        <f>(D350*6)+(E350*4)</f>
        <v/>
      </c>
      <c r="M350" s="16" t="n"/>
      <c r="N350" s="16" t="n"/>
      <c r="O350" s="16" t="n"/>
      <c r="P350" s="16" t="n"/>
      <c r="Q350" s="16" t="n"/>
    </row>
    <row r="351" ht="56.05" customHeight="1" s="47">
      <c r="A351" s="8" t="inlineStr">
        <is>
          <t>Echo Bringer</t>
        </is>
      </c>
      <c r="B351" s="9" t="inlineStr">
        <is>
          <t>Unit</t>
        </is>
      </c>
      <c r="C351" s="16" t="n">
        <v>900</v>
      </c>
      <c r="D351" s="16" t="n">
        <v>70</v>
      </c>
      <c r="E351" s="16" t="n">
        <v>40</v>
      </c>
      <c r="F351" s="17" t="inlineStr">
        <is>
          <t>Cosmic</t>
        </is>
      </c>
      <c r="G351" s="16" t="n">
        <v>3</v>
      </c>
      <c r="H351" s="17" t="inlineStr">
        <is>
          <t>When this card attacks a revealed card, it can attack a second time this turn (once per turn).</t>
        </is>
      </c>
      <c r="J351" s="16" t="n"/>
      <c r="K351" s="17" t="inlineStr">
        <is>
          <t>Yes</t>
        </is>
      </c>
      <c r="L351" s="16">
        <f>(D351*6)+(E351*4)</f>
        <v/>
      </c>
      <c r="M351" s="17" t="inlineStr">
        <is>
          <t>Yes</t>
        </is>
      </c>
      <c r="N351" s="16" t="n"/>
      <c r="O351" s="16" t="n"/>
      <c r="P351" s="16" t="n"/>
      <c r="Q351" s="17" t="inlineStr">
        <is>
          <t>Yes</t>
        </is>
      </c>
    </row>
    <row r="352" ht="44.05" customHeight="1" s="47">
      <c r="A352" s="8" t="inlineStr">
        <is>
          <t>Goliath the Wonder Seeker</t>
        </is>
      </c>
      <c r="B352" s="9" t="inlineStr">
        <is>
          <t>Unit</t>
        </is>
      </c>
      <c r="C352" s="16" t="n"/>
      <c r="D352" s="16" t="n"/>
      <c r="E352" s="16" t="n"/>
      <c r="F352" s="17" t="inlineStr">
        <is>
          <t>Cosmic</t>
        </is>
      </c>
      <c r="G352" s="16" t="n">
        <v>3</v>
      </c>
      <c r="H352" s="17" t="inlineStr">
        <is>
          <t>At their turn’s end, if this card survived, reveal one random foe cell.</t>
        </is>
      </c>
      <c r="J352" s="16" t="n"/>
      <c r="K352" s="16" t="n"/>
      <c r="L352" s="16">
        <f>(D352*6)+(E352*4)</f>
        <v/>
      </c>
      <c r="M352" s="16" t="n"/>
      <c r="N352" s="16" t="n"/>
      <c r="O352" s="16" t="n"/>
      <c r="P352" s="16" t="n"/>
      <c r="Q352" s="16" t="n"/>
    </row>
    <row r="353" ht="56.05" customHeight="1" s="47">
      <c r="A353" s="8" t="inlineStr">
        <is>
          <t>Moon Tribe Demolisher</t>
        </is>
      </c>
      <c r="B353" s="9" t="inlineStr">
        <is>
          <t>Unit</t>
        </is>
      </c>
      <c r="C353" s="16" t="n"/>
      <c r="D353" s="16" t="n"/>
      <c r="E353" s="16" t="n"/>
      <c r="F353" s="17" t="inlineStr">
        <is>
          <t>Cosmic</t>
        </is>
      </c>
      <c r="G353" s="16" t="n">
        <v>3</v>
      </c>
      <c r="H353" s="17" t="inlineStr">
        <is>
          <t>Once: in battle calculation, destroy the defender. If no another ally Moon card, also destroy this card.</t>
        </is>
      </c>
      <c r="I353" t="inlineStr">
        <is>
          <t>wording polish</t>
        </is>
      </c>
      <c r="J353" s="16" t="n"/>
      <c r="K353" s="16" t="n"/>
      <c r="L353" s="16">
        <f>(D353*6)+(E353*4)</f>
        <v/>
      </c>
      <c r="M353" s="16" t="n"/>
      <c r="N353" s="16" t="n"/>
      <c r="O353" s="16" t="n"/>
      <c r="P353" s="16" t="n"/>
      <c r="Q353" s="16" t="n"/>
    </row>
    <row r="354" ht="20.05" customHeight="1" s="47">
      <c r="A354" s="8" t="inlineStr">
        <is>
          <t>Tholin Kraken</t>
        </is>
      </c>
      <c r="B354" s="9" t="inlineStr">
        <is>
          <t>Unit</t>
        </is>
      </c>
      <c r="C354" s="16" t="n"/>
      <c r="D354" s="16" t="n"/>
      <c r="E354" s="16" t="n"/>
      <c r="F354" s="17" t="inlineStr">
        <is>
          <t>Cosmic</t>
        </is>
      </c>
      <c r="G354" s="16" t="n">
        <v>3</v>
      </c>
      <c r="H354" s="16" t="n"/>
      <c r="J354" s="16" t="n"/>
      <c r="K354" s="16" t="n"/>
      <c r="L354" s="16">
        <f>(D354*6)+(E354*4)</f>
        <v/>
      </c>
      <c r="M354" s="16" t="n"/>
      <c r="N354" s="16" t="n"/>
      <c r="O354" s="16" t="n"/>
      <c r="P354" s="16" t="n"/>
      <c r="Q354" s="16" t="n"/>
    </row>
    <row r="355" ht="20.05" customHeight="1" s="47">
      <c r="A355" s="8" t="inlineStr">
        <is>
          <t>Parasite Dione</t>
        </is>
      </c>
      <c r="B355" s="9" t="inlineStr">
        <is>
          <t>Unit</t>
        </is>
      </c>
      <c r="C355" s="16" t="n"/>
      <c r="D355" s="16" t="n"/>
      <c r="E355" s="16" t="n"/>
      <c r="F355" s="17" t="inlineStr">
        <is>
          <t>Cosmic</t>
        </is>
      </c>
      <c r="G355" s="16" t="n">
        <v>3</v>
      </c>
      <c r="H355" s="16" t="n"/>
      <c r="J355" s="16" t="n"/>
      <c r="K355" s="16" t="n"/>
      <c r="L355" s="16">
        <f>(D355*6)+(E355*4)</f>
        <v/>
      </c>
      <c r="M355" s="16" t="n"/>
      <c r="N355" s="16" t="n"/>
      <c r="O355" s="16" t="n"/>
      <c r="P355" s="16" t="n"/>
      <c r="Q355" s="16" t="n"/>
    </row>
    <row r="356" ht="20.05" customHeight="1" s="47">
      <c r="A356" s="8" t="inlineStr">
        <is>
          <t>Europan Engineer</t>
        </is>
      </c>
      <c r="B356" s="9" t="inlineStr">
        <is>
          <t>Unit</t>
        </is>
      </c>
      <c r="C356" s="16" t="n"/>
      <c r="D356" s="16" t="n"/>
      <c r="E356" s="16" t="n"/>
      <c r="F356" s="17" t="inlineStr">
        <is>
          <t>Cosmic</t>
        </is>
      </c>
      <c r="G356" s="16" t="n">
        <v>3</v>
      </c>
      <c r="H356" s="16" t="n"/>
      <c r="J356" s="16" t="n"/>
      <c r="K356" s="16" t="n"/>
      <c r="L356" s="16">
        <f>(D356*6)+(E356*4)</f>
        <v/>
      </c>
      <c r="M356" s="16" t="n"/>
      <c r="N356" s="16" t="n"/>
      <c r="O356" s="16" t="n"/>
      <c r="P356" s="16" t="n"/>
      <c r="Q356" s="16" t="n"/>
    </row>
    <row r="357" ht="56.05" customHeight="1" s="47">
      <c r="A357" s="8" t="inlineStr">
        <is>
          <t>Space Junk Janitor</t>
        </is>
      </c>
      <c r="B357" s="9" t="inlineStr">
        <is>
          <t>Unit</t>
        </is>
      </c>
      <c r="C357" s="16" t="n">
        <v>800</v>
      </c>
      <c r="D357" s="16" t="n">
        <v>50</v>
      </c>
      <c r="E357" s="16" t="n">
        <v>50</v>
      </c>
      <c r="F357" s="17" t="inlineStr">
        <is>
          <t>Cosmic</t>
        </is>
      </c>
      <c r="G357" s="16" t="n">
        <v>3</v>
      </c>
      <c r="H357" s="17" t="inlineStr">
        <is>
          <t>Before Reckoning, the owner can choose to destroy 1 trap card on its side to gain +20 ATK and DEF</t>
        </is>
      </c>
      <c r="I357" t="inlineStr">
        <is>
          <t>ATK&amp;DEF→ATK and DEF</t>
        </is>
      </c>
      <c r="J357" s="16" t="n"/>
      <c r="K357" s="16" t="n"/>
      <c r="L357" s="16">
        <f>(D357*6)+(E357*4)</f>
        <v/>
      </c>
      <c r="M357" s="16" t="n"/>
      <c r="N357" s="16" t="n"/>
      <c r="O357" s="16" t="n"/>
      <c r="P357" s="16" t="n"/>
      <c r="Q357" s="16" t="n"/>
    </row>
    <row r="358" ht="32.05" customHeight="1" s="47">
      <c r="A358" s="8" t="inlineStr">
        <is>
          <t>Quezil the Space Scavenger</t>
        </is>
      </c>
      <c r="B358" s="9" t="inlineStr">
        <is>
          <t>Unit</t>
        </is>
      </c>
      <c r="C358" s="16" t="n"/>
      <c r="D358" s="16" t="n"/>
      <c r="E358" s="16" t="n"/>
      <c r="F358" s="17" t="inlineStr">
        <is>
          <t>Cosmic</t>
        </is>
      </c>
      <c r="G358" s="16" t="n">
        <v>3</v>
      </c>
      <c r="H358" s="17" t="inlineStr">
        <is>
          <t>Once Exposed, gain 50 Crystals per card in their void</t>
        </is>
      </c>
      <c r="I358" t="inlineStr">
        <is>
          <t>wording polish</t>
        </is>
      </c>
      <c r="J358" s="16" t="n"/>
      <c r="K358" s="16" t="n"/>
      <c r="L358" s="16">
        <f>(D358*6)+(E358*4)</f>
        <v/>
      </c>
      <c r="M358" s="16" t="n"/>
      <c r="N358" s="16" t="n"/>
      <c r="O358" s="16" t="n"/>
      <c r="P358" s="16" t="n"/>
      <c r="Q358" s="16" t="n"/>
    </row>
    <row r="359" ht="20.05" customHeight="1" s="47">
      <c r="A359" s="8" t="inlineStr">
        <is>
          <t>Methanomancer</t>
        </is>
      </c>
      <c r="B359" s="9" t="inlineStr">
        <is>
          <t>Unit</t>
        </is>
      </c>
      <c r="C359" s="16" t="n"/>
      <c r="D359" s="16" t="n"/>
      <c r="E359" s="16" t="n"/>
      <c r="F359" s="17" t="inlineStr">
        <is>
          <t>Cosmic</t>
        </is>
      </c>
      <c r="G359" s="16" t="n">
        <v>3</v>
      </c>
      <c r="H359" s="16" t="n"/>
      <c r="J359" s="16" t="n"/>
      <c r="K359" s="16" t="n"/>
      <c r="L359" s="16">
        <f>(D359*6)+(E359*4)</f>
        <v/>
      </c>
      <c r="M359" s="16" t="n"/>
      <c r="N359" s="16" t="n"/>
      <c r="O359" s="16" t="n"/>
      <c r="P359" s="16" t="n"/>
      <c r="Q359" s="16" t="n"/>
    </row>
    <row r="360" ht="20.05" customHeight="1" s="47">
      <c r="A360" s="8" t="inlineStr">
        <is>
          <t>Lunar Wraith</t>
        </is>
      </c>
      <c r="B360" s="9" t="inlineStr">
        <is>
          <t>Unit</t>
        </is>
      </c>
      <c r="C360" s="16" t="n"/>
      <c r="D360" s="16" t="n"/>
      <c r="E360" s="16" t="n"/>
      <c r="F360" s="17" t="inlineStr">
        <is>
          <t>Cosmic</t>
        </is>
      </c>
      <c r="G360" s="16" t="n">
        <v>3</v>
      </c>
      <c r="H360" s="16" t="n"/>
      <c r="J360" s="16" t="n"/>
      <c r="K360" s="16" t="n"/>
      <c r="L360" s="16">
        <f>(D360*6)+(E360*4)</f>
        <v/>
      </c>
      <c r="M360" s="16" t="n"/>
      <c r="N360" s="16" t="n"/>
      <c r="O360" s="16" t="n"/>
      <c r="P360" s="16" t="n"/>
      <c r="Q360" s="16" t="n"/>
    </row>
    <row r="361" ht="20.05" customHeight="1" s="47">
      <c r="A361" s="8" t="inlineStr">
        <is>
          <t>Pyrosilicate Drake</t>
        </is>
      </c>
      <c r="B361" s="9" t="inlineStr">
        <is>
          <t>Unit</t>
        </is>
      </c>
      <c r="C361" s="16" t="n"/>
      <c r="D361" s="16" t="n"/>
      <c r="E361" s="16" t="n"/>
      <c r="F361" s="17" t="inlineStr">
        <is>
          <t>Cosmic</t>
        </is>
      </c>
      <c r="G361" s="16" t="n">
        <v>4</v>
      </c>
      <c r="H361" s="16" t="n"/>
      <c r="J361" s="16" t="n"/>
      <c r="K361" s="16" t="n"/>
      <c r="L361" s="16">
        <f>(D361*6)+(E361*4)</f>
        <v/>
      </c>
      <c r="M361" s="16" t="n"/>
      <c r="N361" s="16" t="n"/>
      <c r="O361" s="16" t="n"/>
      <c r="P361" s="16" t="n"/>
      <c r="Q361" s="16" t="n"/>
    </row>
    <row r="362" ht="20.05" customHeight="1" s="47">
      <c r="A362" s="8" t="inlineStr">
        <is>
          <t>Kaseioni</t>
        </is>
      </c>
      <c r="B362" s="9" t="inlineStr">
        <is>
          <t>Unit</t>
        </is>
      </c>
      <c r="C362" s="16" t="n"/>
      <c r="D362" s="16" t="n"/>
      <c r="E362" s="16" t="n"/>
      <c r="F362" s="17" t="inlineStr">
        <is>
          <t>Cosmic</t>
        </is>
      </c>
      <c r="G362" s="16" t="n">
        <v>4</v>
      </c>
      <c r="H362" s="16" t="n"/>
      <c r="J362" s="16" t="n"/>
      <c r="K362" s="16" t="n"/>
      <c r="L362" s="16">
        <f>(D362*6)+(E362*4)</f>
        <v/>
      </c>
      <c r="M362" s="16" t="n"/>
      <c r="N362" s="16" t="n"/>
      <c r="O362" s="16" t="n"/>
      <c r="P362" s="16" t="n"/>
      <c r="Q362" s="16" t="n"/>
    </row>
    <row r="363" ht="32.05" customHeight="1" s="47">
      <c r="A363" s="8" t="inlineStr">
        <is>
          <t>Electrogazer</t>
        </is>
      </c>
      <c r="B363" s="9" t="inlineStr">
        <is>
          <t>Unit</t>
        </is>
      </c>
      <c r="C363" s="16" t="n">
        <v>1000</v>
      </c>
      <c r="D363" s="16" t="n">
        <v>80</v>
      </c>
      <c r="E363" s="16" t="n">
        <v>45</v>
      </c>
      <c r="F363" s="17" t="inlineStr">
        <is>
          <t>Cosmic</t>
        </is>
      </c>
      <c r="G363" s="16" t="n">
        <v>4</v>
      </c>
      <c r="H363" s="17" t="inlineStr">
        <is>
          <t>Disable all 0-cost traps on both fields.</t>
        </is>
      </c>
      <c r="I363" t="inlineStr">
        <is>
          <t>User confirmed negate=disable (not destroy/immune).</t>
        </is>
      </c>
      <c r="J363" s="16" t="n"/>
      <c r="K363" s="17" t="inlineStr">
        <is>
          <t>Yes</t>
        </is>
      </c>
      <c r="L363" s="16">
        <f>(D363*6)+(E363*4)</f>
        <v/>
      </c>
      <c r="M363" s="17" t="inlineStr">
        <is>
          <t>Yes</t>
        </is>
      </c>
      <c r="N363" s="16" t="n"/>
      <c r="O363" s="16" t="n"/>
      <c r="P363" s="17" t="inlineStr">
        <is>
          <t>Yes</t>
        </is>
      </c>
      <c r="Q363" s="16" t="n"/>
    </row>
    <row r="364" ht="32.05" customHeight="1" s="47">
      <c r="A364" s="8" t="inlineStr">
        <is>
          <t>Deozhor the Europan Warlord</t>
        </is>
      </c>
      <c r="B364" s="9" t="inlineStr">
        <is>
          <t>Unit</t>
        </is>
      </c>
      <c r="C364" s="16" t="n"/>
      <c r="D364" s="16" t="n"/>
      <c r="E364" s="16" t="n"/>
      <c r="F364" s="17" t="inlineStr">
        <is>
          <t>Cosmic</t>
        </is>
      </c>
      <c r="G364" s="16" t="n">
        <v>4</v>
      </c>
      <c r="H364" s="16" t="n"/>
      <c r="J364" s="16" t="n"/>
      <c r="K364" s="16" t="n"/>
      <c r="L364" s="16">
        <f>(D364*6)+(E364*4)</f>
        <v/>
      </c>
      <c r="M364" s="16" t="n"/>
      <c r="N364" s="16" t="n"/>
      <c r="O364" s="16" t="n"/>
      <c r="P364" s="16" t="n"/>
      <c r="Q364" s="16" t="n"/>
    </row>
    <row r="365" ht="20.05" customHeight="1" s="47">
      <c r="A365" s="8" t="inlineStr">
        <is>
          <t>Parasite Titan</t>
        </is>
      </c>
      <c r="B365" s="9" t="inlineStr">
        <is>
          <t>Unit</t>
        </is>
      </c>
      <c r="C365" s="16" t="n"/>
      <c r="D365" s="16" t="n"/>
      <c r="E365" s="16" t="n"/>
      <c r="F365" s="17" t="inlineStr">
        <is>
          <t>Cosmic</t>
        </is>
      </c>
      <c r="G365" s="16" t="n">
        <v>4</v>
      </c>
      <c r="H365" s="16" t="n"/>
      <c r="J365" s="16" t="n"/>
      <c r="K365" s="16" t="n"/>
      <c r="L365" s="16">
        <f>(D365*6)+(E365*4)</f>
        <v/>
      </c>
      <c r="M365" s="16" t="n"/>
      <c r="N365" s="16" t="n"/>
      <c r="O365" s="16" t="n"/>
      <c r="P365" s="16" t="n"/>
      <c r="Q365" s="16" t="n"/>
    </row>
    <row r="366" ht="20.05" customHeight="1" s="47">
      <c r="A366" s="8" t="inlineStr">
        <is>
          <t>Lunar Siren</t>
        </is>
      </c>
      <c r="B366" s="9" t="inlineStr">
        <is>
          <t>Unit</t>
        </is>
      </c>
      <c r="C366" s="16" t="n"/>
      <c r="D366" s="16" t="n"/>
      <c r="E366" s="16" t="n"/>
      <c r="F366" s="17" t="inlineStr">
        <is>
          <t>Cosmic</t>
        </is>
      </c>
      <c r="G366" s="16" t="n">
        <v>4</v>
      </c>
      <c r="H366" s="16" t="n"/>
      <c r="J366" s="16" t="n"/>
      <c r="K366" s="16" t="n"/>
      <c r="L366" s="16">
        <f>(D366*6)+(E366*4)</f>
        <v/>
      </c>
      <c r="M366" s="16" t="n"/>
      <c r="N366" s="16" t="n"/>
      <c r="O366" s="16" t="n"/>
      <c r="P366" s="16" t="n"/>
      <c r="Q366" s="16" t="n"/>
    </row>
    <row r="367" ht="44.05" customHeight="1" s="47">
      <c r="A367" s="8" t="inlineStr">
        <is>
          <t>Satellite Cannon</t>
        </is>
      </c>
      <c r="B367" s="9" t="inlineStr">
        <is>
          <t>Unit</t>
        </is>
      </c>
      <c r="C367" s="16" t="n">
        <v>1100</v>
      </c>
      <c r="D367" s="16" t="n">
        <v>100</v>
      </c>
      <c r="E367" s="16" t="n">
        <v>80</v>
      </c>
      <c r="F367" s="17" t="inlineStr">
        <is>
          <t>Cosmic</t>
        </is>
      </c>
      <c r="G367" s="16" t="n">
        <v>5</v>
      </c>
      <c r="H367" s="17" t="inlineStr">
        <is>
          <t>+20 ATK if attacking the 3x3 center zone. +40 more ATK if attacking the very center cell.</t>
        </is>
      </c>
      <c r="J367" s="16" t="n"/>
      <c r="K367" s="17" t="inlineStr">
        <is>
          <t>Yes</t>
        </is>
      </c>
      <c r="L367" s="16">
        <f>(D367*6)+(E367*4)</f>
        <v/>
      </c>
      <c r="M367" s="17" t="inlineStr">
        <is>
          <t>Yes</t>
        </is>
      </c>
      <c r="N367" s="16" t="n"/>
      <c r="O367" s="16" t="n"/>
      <c r="P367" s="16" t="n"/>
      <c r="Q367" s="17" t="inlineStr">
        <is>
          <t>Yes</t>
        </is>
      </c>
    </row>
    <row r="368" ht="20.05" customHeight="1" s="47">
      <c r="A368" s="8" t="inlineStr">
        <is>
          <t>Suigin</t>
        </is>
      </c>
      <c r="B368" s="9" t="inlineStr">
        <is>
          <t>Unit</t>
        </is>
      </c>
      <c r="C368" s="16" t="n"/>
      <c r="D368" s="16" t="n"/>
      <c r="E368" s="16" t="n"/>
      <c r="F368" s="17" t="inlineStr">
        <is>
          <t>Cosmic</t>
        </is>
      </c>
      <c r="G368" s="16" t="n">
        <v>5</v>
      </c>
      <c r="H368" s="16" t="n"/>
      <c r="J368" s="16" t="n"/>
      <c r="K368" s="16" t="n"/>
      <c r="L368" s="16">
        <f>(D368*6)+(E368*4)</f>
        <v/>
      </c>
      <c r="M368" s="16" t="n"/>
      <c r="N368" s="16" t="n"/>
      <c r="O368" s="16" t="n"/>
      <c r="P368" s="16" t="n"/>
      <c r="Q368" s="16" t="n"/>
    </row>
    <row r="369" ht="32.05" customHeight="1" s="47">
      <c r="A369" s="8" t="inlineStr">
        <is>
          <t>Tholin Battleship</t>
        </is>
      </c>
      <c r="B369" s="9" t="inlineStr">
        <is>
          <t>Unit</t>
        </is>
      </c>
      <c r="C369" s="16" t="n"/>
      <c r="D369" s="16" t="n"/>
      <c r="E369" s="16" t="n"/>
      <c r="F369" s="17" t="inlineStr">
        <is>
          <t>Cosmic</t>
        </is>
      </c>
      <c r="G369" s="16" t="n">
        <v>5</v>
      </c>
      <c r="H369" s="17" t="inlineStr">
        <is>
          <t>This card is not affected by 0-cost traps</t>
        </is>
      </c>
      <c r="I369" t="inlineStr">
        <is>
          <t>0 cost→0-cost</t>
        </is>
      </c>
      <c r="J369" s="16" t="n"/>
      <c r="K369" s="16" t="n"/>
      <c r="L369" s="16">
        <f>(D369*6)+(E369*4)</f>
        <v/>
      </c>
      <c r="M369" s="16" t="n"/>
      <c r="N369" s="16" t="n"/>
      <c r="O369" s="16" t="n"/>
      <c r="P369" s="16" t="n"/>
      <c r="Q369" s="16" t="n"/>
    </row>
    <row r="370" ht="32.05" customHeight="1" s="47">
      <c r="A370" s="8" t="inlineStr">
        <is>
          <t>Superionic Leviathan</t>
        </is>
      </c>
      <c r="B370" s="9" t="inlineStr">
        <is>
          <t>Unit</t>
        </is>
      </c>
      <c r="C370" s="16" t="n"/>
      <c r="D370" s="16" t="n"/>
      <c r="E370" s="16" t="n"/>
      <c r="F370" s="17" t="inlineStr">
        <is>
          <t>Cosmic</t>
        </is>
      </c>
      <c r="G370" s="16" t="n">
        <v>5</v>
      </c>
      <c r="H370" s="16" t="n"/>
      <c r="J370" s="16" t="n"/>
      <c r="K370" s="16" t="n"/>
      <c r="L370" s="16">
        <f>(D370*6)+(E370*4)</f>
        <v/>
      </c>
      <c r="M370" s="16" t="n"/>
      <c r="N370" s="16" t="n"/>
      <c r="O370" s="16" t="n"/>
      <c r="P370" s="16" t="n"/>
      <c r="Q370" s="16" t="n"/>
    </row>
    <row r="371" ht="32.05" customHeight="1" s="47">
      <c r="A371" s="8" t="inlineStr">
        <is>
          <t>Xenospawn</t>
        </is>
      </c>
      <c r="B371" s="9" t="inlineStr">
        <is>
          <t>Unit</t>
        </is>
      </c>
      <c r="C371" s="16" t="n"/>
      <c r="D371" s="16" t="n"/>
      <c r="E371" s="16" t="n"/>
      <c r="F371" s="17" t="inlineStr">
        <is>
          <t>Cosmic</t>
        </is>
      </c>
      <c r="G371" s="16" t="n">
        <v>5</v>
      </c>
      <c r="H371" s="17" t="inlineStr">
        <is>
          <t>Immune to traps.</t>
        </is>
      </c>
      <c r="I371" t="inlineStr">
        <is>
          <t>Shortened immunity wording.</t>
        </is>
      </c>
      <c r="J371" s="16" t="n"/>
      <c r="K371" s="16" t="n"/>
      <c r="L371" s="16">
        <f>(D371*6)+(E371*4)</f>
        <v/>
      </c>
      <c r="M371" s="16" t="n"/>
      <c r="N371" s="16" t="n"/>
      <c r="O371" s="16" t="n"/>
      <c r="P371" s="16" t="n"/>
      <c r="Q371" s="16" t="n"/>
    </row>
    <row r="372" ht="32.05" customHeight="1" s="47">
      <c r="A372" s="8" t="inlineStr">
        <is>
          <t>Grand Fort Footsoldier</t>
        </is>
      </c>
      <c r="B372" s="9" t="inlineStr">
        <is>
          <t>Unit</t>
        </is>
      </c>
      <c r="C372" s="16" t="n">
        <v>300</v>
      </c>
      <c r="D372" s="16" t="n">
        <v>25</v>
      </c>
      <c r="E372" s="16" t="n">
        <v>25</v>
      </c>
      <c r="F372" s="17" t="inlineStr">
        <is>
          <t>Anima</t>
        </is>
      </c>
      <c r="G372" s="16" t="n">
        <v>1</v>
      </c>
      <c r="H372" s="17" t="inlineStr">
        <is>
          <t>None</t>
        </is>
      </c>
      <c r="J372" s="16" t="n"/>
      <c r="K372" s="17" t="inlineStr">
        <is>
          <t>Yes</t>
        </is>
      </c>
      <c r="L372" s="16">
        <f>(D372*6)+(E372*4)</f>
        <v/>
      </c>
      <c r="M372" s="17" t="inlineStr">
        <is>
          <t>Yes</t>
        </is>
      </c>
      <c r="N372" s="16" t="n"/>
      <c r="O372" s="17" t="inlineStr">
        <is>
          <t>Yes</t>
        </is>
      </c>
      <c r="P372" s="16" t="n"/>
      <c r="Q372" s="17" t="inlineStr">
        <is>
          <t>Yes</t>
        </is>
      </c>
    </row>
    <row r="373" ht="20.05" customHeight="1" s="47">
      <c r="A373" s="8" t="inlineStr">
        <is>
          <t>Swords Dancer</t>
        </is>
      </c>
      <c r="B373" s="9" t="inlineStr">
        <is>
          <t>Unit</t>
        </is>
      </c>
      <c r="C373" s="16" t="n"/>
      <c r="D373" s="16" t="n"/>
      <c r="E373" s="16" t="n"/>
      <c r="F373" s="17" t="inlineStr">
        <is>
          <t>Anima</t>
        </is>
      </c>
      <c r="G373" s="16" t="n">
        <v>1</v>
      </c>
      <c r="H373" s="16" t="n"/>
      <c r="J373" s="16" t="n"/>
      <c r="K373" s="16" t="n"/>
      <c r="L373" s="16">
        <f>(D373*6)+(E373*4)</f>
        <v/>
      </c>
      <c r="M373" s="16" t="n"/>
      <c r="N373" s="16" t="n"/>
      <c r="O373" s="16" t="n"/>
      <c r="P373" s="16" t="n"/>
      <c r="Q373" s="16" t="n"/>
    </row>
    <row r="374" ht="20.05" customHeight="1" s="47">
      <c r="A374" s="8" t="inlineStr">
        <is>
          <t>Mina the Chemist</t>
        </is>
      </c>
      <c r="B374" s="9" t="inlineStr">
        <is>
          <t>Unit</t>
        </is>
      </c>
      <c r="C374" s="16" t="n"/>
      <c r="D374" s="16" t="n"/>
      <c r="E374" s="16" t="n"/>
      <c r="F374" s="17" t="inlineStr">
        <is>
          <t>Anima</t>
        </is>
      </c>
      <c r="G374" s="16" t="n">
        <v>1</v>
      </c>
      <c r="H374" s="16" t="n"/>
      <c r="J374" s="16" t="n"/>
      <c r="K374" s="16" t="n"/>
      <c r="L374" s="16">
        <f>(D374*6)+(E374*4)</f>
        <v/>
      </c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9" t="inlineStr">
        <is>
          <t>Unit</t>
        </is>
      </c>
      <c r="C375" s="16" t="n"/>
      <c r="D375" s="16" t="n"/>
      <c r="E375" s="16" t="n"/>
      <c r="F375" s="17" t="inlineStr">
        <is>
          <t>Anima</t>
        </is>
      </c>
      <c r="G375" s="16" t="n">
        <v>1</v>
      </c>
      <c r="H375" s="16" t="n"/>
      <c r="J375" s="16" t="n"/>
      <c r="K375" s="16" t="n"/>
      <c r="L375" s="16">
        <f>(D375*6)+(E375*4)</f>
        <v/>
      </c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9" t="inlineStr">
        <is>
          <t>Unit</t>
        </is>
      </c>
      <c r="C376" s="16" t="n"/>
      <c r="D376" s="16" t="n"/>
      <c r="E376" s="16" t="n"/>
      <c r="F376" s="17" t="inlineStr">
        <is>
          <t>Anima</t>
        </is>
      </c>
      <c r="G376" s="16" t="n">
        <v>1</v>
      </c>
      <c r="H376" s="16" t="n"/>
      <c r="J376" s="16" t="n"/>
      <c r="K376" s="16" t="n"/>
      <c r="L376" s="16">
        <f>(D376*6)+(E376*4)</f>
        <v/>
      </c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9" t="inlineStr">
        <is>
          <t>Unit</t>
        </is>
      </c>
      <c r="C377" s="16" t="n"/>
      <c r="D377" s="16" t="n"/>
      <c r="E377" s="16" t="n"/>
      <c r="F377" s="17" t="inlineStr">
        <is>
          <t>Anima</t>
        </is>
      </c>
      <c r="G377" s="16" t="n">
        <v>1</v>
      </c>
      <c r="H377" s="16" t="n"/>
      <c r="J377" s="16" t="n"/>
      <c r="K377" s="16" t="n"/>
      <c r="L377" s="16">
        <f>(D377*6)+(E377*4)</f>
        <v/>
      </c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9" t="inlineStr">
        <is>
          <t>Unit</t>
        </is>
      </c>
      <c r="C378" s="16" t="n"/>
      <c r="D378" s="16" t="n"/>
      <c r="E378" s="16" t="n"/>
      <c r="F378" s="17" t="inlineStr">
        <is>
          <t>Anima</t>
        </is>
      </c>
      <c r="G378" s="16" t="n">
        <v>1</v>
      </c>
      <c r="H378" s="16" t="n"/>
      <c r="J378" s="16" t="n"/>
      <c r="K378" s="16" t="n"/>
      <c r="L378" s="16">
        <f>(D378*6)+(E378*4)</f>
        <v/>
      </c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9" t="inlineStr">
        <is>
          <t>Unit</t>
        </is>
      </c>
      <c r="C379" s="16" t="n"/>
      <c r="D379" s="16" t="n"/>
      <c r="E379" s="16" t="n"/>
      <c r="F379" s="17" t="inlineStr">
        <is>
          <t>Anima</t>
        </is>
      </c>
      <c r="G379" s="16" t="n">
        <v>1</v>
      </c>
      <c r="H379" s="16" t="n"/>
      <c r="J379" s="16" t="n"/>
      <c r="K379" s="16" t="n"/>
      <c r="L379" s="16">
        <f>(D379*6)+(E379*4)</f>
        <v/>
      </c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9" t="inlineStr">
        <is>
          <t>Unit</t>
        </is>
      </c>
      <c r="C380" s="16" t="n"/>
      <c r="D380" s="16" t="n"/>
      <c r="E380" s="16" t="n"/>
      <c r="F380" s="17" t="inlineStr">
        <is>
          <t>Anima</t>
        </is>
      </c>
      <c r="G380" s="16" t="n">
        <v>1</v>
      </c>
      <c r="H380" s="16" t="n"/>
      <c r="J380" s="16" t="n"/>
      <c r="K380" s="16" t="n"/>
      <c r="L380" s="16">
        <f>(D380*6)+(E380*4)</f>
        <v/>
      </c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9" t="inlineStr">
        <is>
          <t>Unit</t>
        </is>
      </c>
      <c r="C381" s="16" t="n"/>
      <c r="D381" s="16" t="n"/>
      <c r="E381" s="16" t="n"/>
      <c r="F381" s="17" t="inlineStr">
        <is>
          <t>Anima</t>
        </is>
      </c>
      <c r="G381" s="16" t="n">
        <v>1</v>
      </c>
      <c r="H381" s="16" t="n"/>
      <c r="J381" s="16" t="n"/>
      <c r="K381" s="16" t="n"/>
      <c r="L381" s="16">
        <f>(D381*6)+(E381*4)</f>
        <v/>
      </c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9" t="inlineStr">
        <is>
          <t>Unit</t>
        </is>
      </c>
      <c r="C382" s="16" t="n"/>
      <c r="D382" s="16" t="n"/>
      <c r="E382" s="16" t="n"/>
      <c r="F382" s="17" t="inlineStr">
        <is>
          <t>Anima</t>
        </is>
      </c>
      <c r="G382" s="16" t="n">
        <v>1</v>
      </c>
      <c r="H382" s="16" t="n"/>
      <c r="J382" s="16" t="n"/>
      <c r="K382" s="16" t="n"/>
      <c r="L382" s="16">
        <f>(D382*6)+(E382*4)</f>
        <v/>
      </c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9" t="inlineStr">
        <is>
          <t>Unit</t>
        </is>
      </c>
      <c r="C383" s="16" t="n"/>
      <c r="D383" s="16" t="n"/>
      <c r="E383" s="16" t="n"/>
      <c r="F383" s="17" t="inlineStr">
        <is>
          <t>Anima</t>
        </is>
      </c>
      <c r="G383" s="16" t="n">
        <v>1</v>
      </c>
      <c r="H383" s="16" t="n"/>
      <c r="J383" s="16" t="n"/>
      <c r="K383" s="16" t="n"/>
      <c r="L383" s="16">
        <f>(D383*6)+(E383*4)</f>
        <v/>
      </c>
      <c r="M383" s="16" t="n"/>
      <c r="N383" s="16" t="n"/>
      <c r="O383" s="16" t="n"/>
      <c r="P383" s="16" t="n"/>
      <c r="Q383" s="16" t="n"/>
    </row>
    <row r="384" ht="20.05" customHeight="1" s="47">
      <c r="A384" s="8" t="inlineStr">
        <is>
          <t>Firework Mania</t>
        </is>
      </c>
      <c r="B384" s="9" t="inlineStr">
        <is>
          <t>Unit</t>
        </is>
      </c>
      <c r="C384" s="16" t="n">
        <v>200</v>
      </c>
      <c r="D384" s="16" t="n">
        <v>20</v>
      </c>
      <c r="E384" s="16" t="n">
        <v>20</v>
      </c>
      <c r="F384" s="17" t="inlineStr">
        <is>
          <t>Anima</t>
        </is>
      </c>
      <c r="G384" s="16" t="n">
        <v>1</v>
      </c>
      <c r="H384" s="17" t="inlineStr">
        <is>
          <t>None</t>
        </is>
      </c>
      <c r="J384" s="16" t="n"/>
      <c r="K384" s="16" t="n"/>
      <c r="L384" s="16">
        <f>(D384*6)+(E384*4)</f>
        <v/>
      </c>
      <c r="M384" s="16" t="n"/>
      <c r="N384" s="16" t="n"/>
      <c r="O384" s="16" t="n"/>
      <c r="P384" s="16" t="n"/>
      <c r="Q384" s="16" t="n"/>
    </row>
    <row r="385" ht="32.05" customHeight="1" s="47">
      <c r="A385" s="8" t="inlineStr">
        <is>
          <t>Logan the Lumberjack</t>
        </is>
      </c>
      <c r="B385" s="9" t="inlineStr">
        <is>
          <t>Unit</t>
        </is>
      </c>
      <c r="C385" s="16" t="n"/>
      <c r="D385" s="16" t="n"/>
      <c r="E385" s="16" t="n"/>
      <c r="F385" s="17" t="inlineStr">
        <is>
          <t>Anima</t>
        </is>
      </c>
      <c r="G385" s="16" t="n">
        <v>1</v>
      </c>
      <c r="H385" s="16" t="n"/>
      <c r="J385" s="16" t="n"/>
      <c r="K385" s="16" t="n"/>
      <c r="L385" s="16">
        <f>(D385*6)+(E385*4)</f>
        <v/>
      </c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9" t="inlineStr">
        <is>
          <t>Unit</t>
        </is>
      </c>
      <c r="C386" s="16" t="n"/>
      <c r="D386" s="16" t="n"/>
      <c r="E386" s="16" t="n"/>
      <c r="F386" s="17" t="inlineStr">
        <is>
          <t>Anima</t>
        </is>
      </c>
      <c r="G386" s="16" t="n">
        <v>1</v>
      </c>
      <c r="H386" s="16" t="n"/>
      <c r="J386" s="16" t="n"/>
      <c r="K386" s="16" t="n"/>
      <c r="L386" s="16">
        <f>(D386*6)+(E386*4)</f>
        <v/>
      </c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9" t="inlineStr">
        <is>
          <t>Unit</t>
        </is>
      </c>
      <c r="C387" s="16" t="n"/>
      <c r="D387" s="16" t="n"/>
      <c r="E387" s="16" t="n"/>
      <c r="F387" s="17" t="inlineStr">
        <is>
          <t>Anima</t>
        </is>
      </c>
      <c r="G387" s="16" t="n">
        <v>1</v>
      </c>
      <c r="H387" s="16" t="n"/>
      <c r="J387" s="16" t="n"/>
      <c r="K387" s="16" t="n"/>
      <c r="L387" s="16">
        <f>(D387*6)+(E387*4)</f>
        <v/>
      </c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9" t="inlineStr">
        <is>
          <t>Unit</t>
        </is>
      </c>
      <c r="C388" s="16" t="n"/>
      <c r="D388" s="16" t="n"/>
      <c r="E388" s="16" t="n"/>
      <c r="F388" s="17" t="inlineStr">
        <is>
          <t>Anima</t>
        </is>
      </c>
      <c r="G388" s="16" t="n">
        <v>1</v>
      </c>
      <c r="H388" s="16" t="n"/>
      <c r="J388" s="16" t="n"/>
      <c r="K388" s="16" t="n"/>
      <c r="L388" s="16">
        <f>(D388*6)+(E388*4)</f>
        <v/>
      </c>
      <c r="M388" s="16" t="n"/>
      <c r="N388" s="16" t="n"/>
      <c r="O388" s="16" t="n"/>
      <c r="P388" s="16" t="n"/>
      <c r="Q388" s="16" t="n"/>
    </row>
    <row r="389" ht="44.05" customHeight="1" s="47">
      <c r="A389" s="8" t="inlineStr">
        <is>
          <t>Hairpin Assassin</t>
        </is>
      </c>
      <c r="B389" s="9" t="inlineStr">
        <is>
          <t>Unit</t>
        </is>
      </c>
      <c r="C389" s="16" t="n">
        <v>300</v>
      </c>
      <c r="D389" s="16" t="n">
        <v>25</v>
      </c>
      <c r="E389" s="16" t="n">
        <v>15</v>
      </c>
      <c r="F389" s="17" t="inlineStr">
        <is>
          <t>Anima</t>
        </is>
      </c>
      <c r="G389" s="16" t="n">
        <v>1</v>
      </c>
      <c r="H389" s="17" t="inlineStr">
        <is>
          <t>In Reckoning: the owner can pay 100 Crystal for +10 ATK bonus</t>
        </is>
      </c>
      <c r="I389" t="inlineStr">
        <is>
          <t>wording polish</t>
        </is>
      </c>
      <c r="J389" s="16" t="n"/>
      <c r="K389" s="17" t="inlineStr">
        <is>
          <t>Yes</t>
        </is>
      </c>
      <c r="L389" s="16">
        <f>(D389*6)+(E389*4)</f>
        <v/>
      </c>
      <c r="M389" s="17" t="inlineStr">
        <is>
          <t>Yes</t>
        </is>
      </c>
      <c r="N389" s="16" t="n"/>
      <c r="O389" s="16" t="n"/>
      <c r="P389" s="16" t="n"/>
      <c r="Q389" s="17" t="inlineStr">
        <is>
          <t>Yes</t>
        </is>
      </c>
    </row>
    <row r="390" ht="20.05" customHeight="1" s="47">
      <c r="A390" s="46" t="n"/>
      <c r="B390" s="9" t="inlineStr">
        <is>
          <t>Unit</t>
        </is>
      </c>
      <c r="C390" s="16" t="n"/>
      <c r="D390" s="16" t="n"/>
      <c r="E390" s="16" t="n"/>
      <c r="F390" s="17" t="inlineStr">
        <is>
          <t>Anima</t>
        </is>
      </c>
      <c r="G390" s="16" t="n">
        <v>1</v>
      </c>
      <c r="H390" s="16" t="n"/>
      <c r="J390" s="16" t="n"/>
      <c r="K390" s="16" t="n"/>
      <c r="L390" s="16">
        <f>(D390*6)+(E390*4)</f>
        <v/>
      </c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9" t="inlineStr">
        <is>
          <t>Unit</t>
        </is>
      </c>
      <c r="C391" s="16" t="n"/>
      <c r="D391" s="16" t="n"/>
      <c r="E391" s="16" t="n"/>
      <c r="F391" s="17" t="inlineStr">
        <is>
          <t>Anima</t>
        </is>
      </c>
      <c r="G391" s="16" t="n">
        <v>1</v>
      </c>
      <c r="H391" s="16" t="n"/>
      <c r="J391" s="16" t="n"/>
      <c r="K391" s="16" t="n"/>
      <c r="L391" s="16">
        <f>(D391*6)+(E391*4)</f>
        <v/>
      </c>
      <c r="M391" s="16" t="n"/>
      <c r="N391" s="16" t="n"/>
      <c r="O391" s="16" t="n"/>
      <c r="P391" s="16" t="n"/>
      <c r="Q391" s="16" t="n"/>
    </row>
    <row r="392" ht="20.05" customHeight="1" s="47">
      <c r="A392" s="8" t="inlineStr">
        <is>
          <t>Grand Fort Archer</t>
        </is>
      </c>
      <c r="B392" s="9" t="inlineStr">
        <is>
          <t>Unit</t>
        </is>
      </c>
      <c r="C392" s="16" t="n">
        <v>280</v>
      </c>
      <c r="D392" s="16" t="n">
        <v>20</v>
      </c>
      <c r="E392" s="16" t="n">
        <v>20</v>
      </c>
      <c r="F392" s="17" t="inlineStr">
        <is>
          <t>Anima</t>
        </is>
      </c>
      <c r="G392" s="16" t="n">
        <v>2</v>
      </c>
      <c r="H392" s="17" t="inlineStr">
        <is>
          <t>Once: +10 ATK when attack</t>
        </is>
      </c>
      <c r="I392" t="inlineStr">
        <is>
          <t>wording polish</t>
        </is>
      </c>
      <c r="J392" s="16" t="n"/>
      <c r="K392" s="17" t="inlineStr">
        <is>
          <t>Yes</t>
        </is>
      </c>
      <c r="L392" s="16">
        <f>(D392*6)+(E392*4)</f>
        <v/>
      </c>
      <c r="M392" s="17" t="inlineStr">
        <is>
          <t>Yes</t>
        </is>
      </c>
      <c r="N392" s="16" t="n"/>
      <c r="O392" s="17" t="inlineStr">
        <is>
          <t>Yes</t>
        </is>
      </c>
      <c r="P392" s="16" t="n"/>
      <c r="Q392" s="16" t="n"/>
    </row>
    <row r="393" ht="20.05" customHeight="1" s="47">
      <c r="A393" s="8" t="inlineStr">
        <is>
          <t>Grand Fort Mauler</t>
        </is>
      </c>
      <c r="B393" s="9" t="inlineStr">
        <is>
          <t>Unit</t>
        </is>
      </c>
      <c r="C393" s="16" t="n">
        <v>350</v>
      </c>
      <c r="D393" s="16" t="n">
        <v>40</v>
      </c>
      <c r="E393" s="16" t="n">
        <v>10</v>
      </c>
      <c r="F393" s="17" t="inlineStr">
        <is>
          <t>Anima</t>
        </is>
      </c>
      <c r="G393" s="16" t="n">
        <v>2</v>
      </c>
      <c r="H393" s="17" t="inlineStr">
        <is>
          <t>None</t>
        </is>
      </c>
      <c r="J393" s="16" t="n"/>
      <c r="K393" s="17" t="inlineStr">
        <is>
          <t>Yes</t>
        </is>
      </c>
      <c r="L393" s="16">
        <f>(D393*6)+(E393*4)</f>
        <v/>
      </c>
      <c r="M393" s="17" t="inlineStr">
        <is>
          <t>Yes</t>
        </is>
      </c>
      <c r="N393" s="16" t="n"/>
      <c r="O393" s="16" t="n"/>
      <c r="P393" s="16" t="n"/>
      <c r="Q393" s="17" t="inlineStr">
        <is>
          <t>Yes</t>
        </is>
      </c>
    </row>
    <row r="394" ht="20.05" customHeight="1" s="47">
      <c r="A394" s="8" t="inlineStr">
        <is>
          <t>Ox Patrol</t>
        </is>
      </c>
      <c r="B394" s="9" t="inlineStr">
        <is>
          <t>Unit</t>
        </is>
      </c>
      <c r="C394" s="16" t="n">
        <v>420</v>
      </c>
      <c r="D394" s="16" t="n">
        <v>30</v>
      </c>
      <c r="E394" s="16" t="n">
        <v>35</v>
      </c>
      <c r="F394" s="17" t="inlineStr">
        <is>
          <t>Anima</t>
        </is>
      </c>
      <c r="G394" s="16" t="n">
        <v>2</v>
      </c>
      <c r="H394" s="17" t="inlineStr">
        <is>
          <t>+10 ATK and DEF vs Non-Anima</t>
        </is>
      </c>
      <c r="I394" t="inlineStr">
        <is>
          <t>ATK&amp;DEF→ATK and DEF</t>
        </is>
      </c>
      <c r="J394" s="16" t="n"/>
      <c r="K394" s="17" t="inlineStr">
        <is>
          <t>Yes</t>
        </is>
      </c>
      <c r="L394" s="16">
        <f>(D394*6)+(E394*4)</f>
        <v/>
      </c>
      <c r="M394" s="17" t="inlineStr">
        <is>
          <t>Yes</t>
        </is>
      </c>
      <c r="N394" s="16" t="n"/>
      <c r="O394" s="16" t="n"/>
      <c r="P394" s="17" t="inlineStr">
        <is>
          <t>Yes</t>
        </is>
      </c>
      <c r="Q394" s="16" t="n"/>
    </row>
    <row r="395" ht="32.05" customHeight="1" s="47">
      <c r="A395" s="8" t="inlineStr">
        <is>
          <t>Shepherd Detective</t>
        </is>
      </c>
      <c r="B395" s="9" t="inlineStr">
        <is>
          <t>Unit</t>
        </is>
      </c>
      <c r="C395" s="16" t="n">
        <v>400</v>
      </c>
      <c r="D395" s="16" t="n">
        <v>40</v>
      </c>
      <c r="E395" s="16" t="n">
        <v>25</v>
      </c>
      <c r="F395" s="17" t="inlineStr">
        <is>
          <t>Anima</t>
        </is>
      </c>
      <c r="G395" s="16" t="n">
        <v>2</v>
      </c>
      <c r="H395" s="17" t="inlineStr">
        <is>
          <t>After performed attack : reveal 1 foe’s cell</t>
        </is>
      </c>
      <c r="J395" s="16" t="n"/>
      <c r="K395" s="17" t="inlineStr">
        <is>
          <t>Yes</t>
        </is>
      </c>
      <c r="L395" s="16">
        <f>(D395*6)+(E395*4)</f>
        <v/>
      </c>
      <c r="M395" s="17" t="inlineStr">
        <is>
          <t>Yes</t>
        </is>
      </c>
      <c r="N395" s="16" t="n"/>
      <c r="O395" s="16" t="n"/>
      <c r="P395" s="16" t="n"/>
      <c r="Q395" s="17" t="inlineStr">
        <is>
          <t>Yes</t>
        </is>
      </c>
    </row>
    <row r="396" ht="20.05" customHeight="1" s="47">
      <c r="A396" s="8" t="inlineStr">
        <is>
          <t>Witchhunter</t>
        </is>
      </c>
      <c r="B396" s="9" t="inlineStr">
        <is>
          <t>Unit</t>
        </is>
      </c>
      <c r="C396" s="16" t="n">
        <v>250</v>
      </c>
      <c r="D396" s="16" t="n">
        <v>20</v>
      </c>
      <c r="E396" s="16" t="n">
        <v>20</v>
      </c>
      <c r="F396" s="17" t="inlineStr">
        <is>
          <t>Anima</t>
        </is>
      </c>
      <c r="G396" s="16" t="n">
        <v>2</v>
      </c>
      <c r="H396" s="17" t="inlineStr">
        <is>
          <t>+5 ATK and DEF vs Arcane</t>
        </is>
      </c>
      <c r="I396" t="inlineStr">
        <is>
          <t>ATK&amp;DEF→ATK and DEF</t>
        </is>
      </c>
      <c r="J396" s="16" t="n"/>
      <c r="K396" s="17" t="inlineStr">
        <is>
          <t>Yes</t>
        </is>
      </c>
      <c r="L396" s="16">
        <f>(D396*6)+(E396*4)</f>
        <v/>
      </c>
      <c r="M396" s="17" t="inlineStr">
        <is>
          <t>Yes</t>
        </is>
      </c>
      <c r="N396" s="16" t="n"/>
      <c r="O396" s="16" t="n"/>
      <c r="P396" s="16" t="n"/>
      <c r="Q396" s="17" t="inlineStr">
        <is>
          <t>Yes</t>
        </is>
      </c>
    </row>
    <row r="397" ht="20.05" customHeight="1" s="47">
      <c r="A397" s="8" t="inlineStr">
        <is>
          <t>Silver Spearman</t>
        </is>
      </c>
      <c r="B397" s="9" t="inlineStr">
        <is>
          <t>Unit</t>
        </is>
      </c>
      <c r="C397" s="16" t="n">
        <v>250</v>
      </c>
      <c r="D397" s="16" t="n">
        <v>25</v>
      </c>
      <c r="E397" s="16" t="n">
        <v>20</v>
      </c>
      <c r="F397" s="17" t="inlineStr">
        <is>
          <t>Anima</t>
        </is>
      </c>
      <c r="G397" s="16" t="n">
        <v>2</v>
      </c>
      <c r="H397" s="17" t="inlineStr">
        <is>
          <t>+5 ATK vs Chaos</t>
        </is>
      </c>
      <c r="J397" s="16" t="n"/>
      <c r="K397" s="17" t="inlineStr">
        <is>
          <t>Yes</t>
        </is>
      </c>
      <c r="L397" s="16">
        <f>(D397*6)+(E397*4)</f>
        <v/>
      </c>
      <c r="M397" s="17" t="inlineStr">
        <is>
          <t>Yes</t>
        </is>
      </c>
      <c r="N397" s="16" t="n"/>
      <c r="O397" s="16" t="n"/>
      <c r="P397" s="16" t="n"/>
      <c r="Q397" s="17" t="inlineStr">
        <is>
          <t>Yes</t>
        </is>
      </c>
    </row>
    <row r="398" ht="44.05" customHeight="1" s="47">
      <c r="A398" s="8" t="inlineStr">
        <is>
          <t>Leopard Jailer</t>
        </is>
      </c>
      <c r="B398" s="9" t="inlineStr">
        <is>
          <t>Unit</t>
        </is>
      </c>
      <c r="C398" s="16" t="n">
        <v>450</v>
      </c>
      <c r="D398" s="16" t="n">
        <v>30</v>
      </c>
      <c r="E398" s="16" t="n">
        <v>45</v>
      </c>
      <c r="F398" s="17" t="inlineStr">
        <is>
          <t>Anima</t>
        </is>
      </c>
      <c r="G398" s="16" t="n">
        <v>2</v>
      </c>
      <c r="H398" s="17" t="inlineStr">
        <is>
          <t>If this card attacks a unit card, the target is unable to attack until the end of their turn.</t>
        </is>
      </c>
      <c r="J398" s="16" t="n"/>
      <c r="K398" s="17" t="inlineStr">
        <is>
          <t>Yes</t>
        </is>
      </c>
      <c r="L398" s="16">
        <f>(D398*6)+(E398*4)</f>
        <v/>
      </c>
      <c r="M398" s="17" t="inlineStr">
        <is>
          <t>Yes</t>
        </is>
      </c>
      <c r="N398" s="16" t="n"/>
      <c r="O398" s="16" t="n"/>
      <c r="P398" s="16" t="n"/>
      <c r="Q398" s="17" t="inlineStr">
        <is>
          <t>Yes</t>
        </is>
      </c>
    </row>
    <row r="399" ht="20.05" customHeight="1" s="47">
      <c r="A399" s="46" t="n"/>
      <c r="B399" s="9" t="inlineStr">
        <is>
          <t>Unit</t>
        </is>
      </c>
      <c r="C399" s="16" t="n"/>
      <c r="D399" s="16" t="n"/>
      <c r="E399" s="16" t="n"/>
      <c r="F399" s="17" t="inlineStr">
        <is>
          <t>Anima</t>
        </is>
      </c>
      <c r="G399" s="16" t="n">
        <v>2</v>
      </c>
      <c r="H399" s="16" t="n"/>
      <c r="J399" s="16" t="n"/>
      <c r="K399" s="16" t="n"/>
      <c r="L399" s="16">
        <f>(D399*6)+(E399*4)</f>
        <v/>
      </c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9" t="inlineStr">
        <is>
          <t>Unit</t>
        </is>
      </c>
      <c r="C400" s="16" t="n"/>
      <c r="D400" s="16" t="n"/>
      <c r="E400" s="16" t="n"/>
      <c r="F400" s="17" t="inlineStr">
        <is>
          <t>Anima</t>
        </is>
      </c>
      <c r="G400" s="16" t="n">
        <v>2</v>
      </c>
      <c r="H400" s="16" t="n"/>
      <c r="J400" s="16" t="n"/>
      <c r="K400" s="16" t="n"/>
      <c r="L400" s="16">
        <f>(D400*6)+(E400*4)</f>
        <v/>
      </c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9" t="inlineStr">
        <is>
          <t>Unit</t>
        </is>
      </c>
      <c r="C401" s="16" t="n"/>
      <c r="D401" s="16" t="n"/>
      <c r="E401" s="16" t="n"/>
      <c r="F401" s="17" t="inlineStr">
        <is>
          <t>Anima</t>
        </is>
      </c>
      <c r="G401" s="16" t="n">
        <v>2</v>
      </c>
      <c r="H401" s="16" t="n"/>
      <c r="J401" s="16" t="n"/>
      <c r="K401" s="16" t="n"/>
      <c r="L401" s="16">
        <f>(D401*6)+(E401*4)</f>
        <v/>
      </c>
      <c r="M401" s="16" t="n"/>
      <c r="N401" s="16" t="n"/>
      <c r="O401" s="16" t="n"/>
      <c r="P401" s="16" t="n"/>
      <c r="Q401" s="16" t="n"/>
    </row>
    <row r="402" ht="32.05" customHeight="1" s="47">
      <c r="A402" s="8" t="inlineStr">
        <is>
          <t>Wild West Raccoon</t>
        </is>
      </c>
      <c r="B402" s="9" t="inlineStr">
        <is>
          <t>Unit</t>
        </is>
      </c>
      <c r="C402" s="16" t="n">
        <v>350</v>
      </c>
      <c r="D402" s="16" t="n">
        <v>35</v>
      </c>
      <c r="E402" s="16" t="n">
        <v>35</v>
      </c>
      <c r="F402" s="17" t="inlineStr">
        <is>
          <t>Anima</t>
        </is>
      </c>
      <c r="G402" s="16" t="n">
        <v>2</v>
      </c>
      <c r="H402" s="17" t="inlineStr">
        <is>
          <t>None</t>
        </is>
      </c>
      <c r="J402" s="16" t="n"/>
      <c r="K402" s="16" t="n"/>
      <c r="L402" s="16">
        <f>(D402*6)+(E402*4)</f>
        <v/>
      </c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9" t="inlineStr">
        <is>
          <t>Unit</t>
        </is>
      </c>
      <c r="C403" s="16" t="n"/>
      <c r="D403" s="16" t="n"/>
      <c r="E403" s="16" t="n"/>
      <c r="F403" s="17" t="inlineStr">
        <is>
          <t>Anima</t>
        </is>
      </c>
      <c r="G403" s="16" t="n">
        <v>2</v>
      </c>
      <c r="H403" s="16" t="n"/>
      <c r="J403" s="16" t="n"/>
      <c r="K403" s="16" t="n"/>
      <c r="L403" s="16">
        <f>(D403*6)+(E403*4)</f>
        <v/>
      </c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9" t="inlineStr">
        <is>
          <t>Unit</t>
        </is>
      </c>
      <c r="C404" s="16" t="n"/>
      <c r="D404" s="16" t="n"/>
      <c r="E404" s="16" t="n"/>
      <c r="F404" s="17" t="inlineStr">
        <is>
          <t>Anima</t>
        </is>
      </c>
      <c r="G404" s="16" t="n">
        <v>2</v>
      </c>
      <c r="H404" s="16" t="n"/>
      <c r="J404" s="16" t="n"/>
      <c r="K404" s="16" t="n"/>
      <c r="L404" s="16">
        <f>(D404*6)+(E404*4)</f>
        <v/>
      </c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9" t="inlineStr">
        <is>
          <t>Unit</t>
        </is>
      </c>
      <c r="C405" s="16" t="n"/>
      <c r="D405" s="16" t="n"/>
      <c r="E405" s="16" t="n"/>
      <c r="F405" s="17" t="inlineStr">
        <is>
          <t>Anima</t>
        </is>
      </c>
      <c r="G405" s="16" t="n">
        <v>2</v>
      </c>
      <c r="H405" s="16" t="n"/>
      <c r="J405" s="16" t="n"/>
      <c r="K405" s="16" t="n"/>
      <c r="L405" s="16">
        <f>(D405*6)+(E405*4)</f>
        <v/>
      </c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9" t="inlineStr">
        <is>
          <t>Unit</t>
        </is>
      </c>
      <c r="C406" s="16" t="n"/>
      <c r="D406" s="16" t="n"/>
      <c r="E406" s="16" t="n"/>
      <c r="F406" s="17" t="inlineStr">
        <is>
          <t>Anima</t>
        </is>
      </c>
      <c r="G406" s="16" t="n">
        <v>2</v>
      </c>
      <c r="H406" s="16" t="n"/>
      <c r="J406" s="16" t="n"/>
      <c r="K406" s="16" t="n"/>
      <c r="L406" s="16">
        <f>(D406*6)+(E406*4)</f>
        <v/>
      </c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9" t="inlineStr">
        <is>
          <t>Unit</t>
        </is>
      </c>
      <c r="C407" s="16" t="n"/>
      <c r="D407" s="16" t="n"/>
      <c r="E407" s="16" t="n"/>
      <c r="F407" s="17" t="inlineStr">
        <is>
          <t>Anima</t>
        </is>
      </c>
      <c r="G407" s="16" t="n">
        <v>2</v>
      </c>
      <c r="H407" s="16" t="n"/>
      <c r="J407" s="16" t="n"/>
      <c r="K407" s="16" t="n"/>
      <c r="L407" s="16">
        <f>(D407*6)+(E407*4)</f>
        <v/>
      </c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9" t="inlineStr">
        <is>
          <t>Unit</t>
        </is>
      </c>
      <c r="C408" s="16" t="n"/>
      <c r="D408" s="16" t="n"/>
      <c r="E408" s="16" t="n"/>
      <c r="F408" s="17" t="inlineStr">
        <is>
          <t>Anima</t>
        </is>
      </c>
      <c r="G408" s="16" t="n">
        <v>2</v>
      </c>
      <c r="H408" s="16" t="n"/>
      <c r="J408" s="16" t="n"/>
      <c r="K408" s="16" t="n"/>
      <c r="L408" s="16">
        <f>(D408*6)+(E408*4)</f>
        <v/>
      </c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9" t="inlineStr">
        <is>
          <t>Unit</t>
        </is>
      </c>
      <c r="C409" s="16" t="n"/>
      <c r="D409" s="16" t="n"/>
      <c r="E409" s="16" t="n"/>
      <c r="F409" s="17" t="inlineStr">
        <is>
          <t>Anima</t>
        </is>
      </c>
      <c r="G409" s="16" t="n">
        <v>2</v>
      </c>
      <c r="H409" s="16" t="n"/>
      <c r="J409" s="16" t="n"/>
      <c r="K409" s="16" t="n"/>
      <c r="L409" s="16">
        <f>(D409*6)+(E409*4)</f>
        <v/>
      </c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9" t="inlineStr">
        <is>
          <t>Unit</t>
        </is>
      </c>
      <c r="C410" s="16" t="n"/>
      <c r="D410" s="16" t="n"/>
      <c r="E410" s="16" t="n"/>
      <c r="F410" s="17" t="inlineStr">
        <is>
          <t>Anima</t>
        </is>
      </c>
      <c r="G410" s="16" t="n">
        <v>3</v>
      </c>
      <c r="H410" s="16" t="n"/>
      <c r="J410" s="16" t="n"/>
      <c r="K410" s="16" t="n"/>
      <c r="L410" s="16">
        <f>(D410*6)+(E410*4)</f>
        <v/>
      </c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9" t="inlineStr">
        <is>
          <t>Unit</t>
        </is>
      </c>
      <c r="C411" s="16" t="n"/>
      <c r="D411" s="16" t="n"/>
      <c r="E411" s="16" t="n"/>
      <c r="F411" s="17" t="inlineStr">
        <is>
          <t>Anima</t>
        </is>
      </c>
      <c r="G411" s="16" t="n">
        <v>3</v>
      </c>
      <c r="H411" s="16" t="n"/>
      <c r="J411" s="16" t="n"/>
      <c r="K411" s="16" t="n"/>
      <c r="L411" s="16">
        <f>(D411*6)+(E411*4)</f>
        <v/>
      </c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9" t="inlineStr">
        <is>
          <t>Unit</t>
        </is>
      </c>
      <c r="C412" s="16" t="n"/>
      <c r="D412" s="16" t="n"/>
      <c r="E412" s="16" t="n"/>
      <c r="F412" s="17" t="inlineStr">
        <is>
          <t>Anima</t>
        </is>
      </c>
      <c r="G412" s="16" t="n">
        <v>3</v>
      </c>
      <c r="H412" s="16" t="n"/>
      <c r="J412" s="16" t="n"/>
      <c r="K412" s="16" t="n"/>
      <c r="L412" s="16">
        <f>(D412*6)+(E412*4)</f>
        <v/>
      </c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9" t="inlineStr">
        <is>
          <t>Unit</t>
        </is>
      </c>
      <c r="C413" s="16" t="n"/>
      <c r="D413" s="16" t="n"/>
      <c r="E413" s="16" t="n"/>
      <c r="F413" s="17" t="inlineStr">
        <is>
          <t>Anima</t>
        </is>
      </c>
      <c r="G413" s="16" t="n">
        <v>3</v>
      </c>
      <c r="H413" s="16" t="n"/>
      <c r="J413" s="16" t="n"/>
      <c r="K413" s="16" t="n"/>
      <c r="L413" s="16">
        <f>(D413*6)+(E413*4)</f>
        <v/>
      </c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9" t="inlineStr">
        <is>
          <t>Unit</t>
        </is>
      </c>
      <c r="C414" s="16" t="n"/>
      <c r="D414" s="16" t="n"/>
      <c r="E414" s="16" t="n"/>
      <c r="F414" s="17" t="inlineStr">
        <is>
          <t>Anima</t>
        </is>
      </c>
      <c r="G414" s="16" t="n">
        <v>3</v>
      </c>
      <c r="H414" s="16" t="n"/>
      <c r="J414" s="16" t="n"/>
      <c r="K414" s="16" t="n"/>
      <c r="L414" s="16">
        <f>(D414*6)+(E414*4)</f>
        <v/>
      </c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9" t="inlineStr">
        <is>
          <t>Unit</t>
        </is>
      </c>
      <c r="C415" s="16" t="n"/>
      <c r="D415" s="16" t="n"/>
      <c r="E415" s="16" t="n"/>
      <c r="F415" s="17" t="inlineStr">
        <is>
          <t>Anima</t>
        </is>
      </c>
      <c r="G415" s="16" t="n">
        <v>3</v>
      </c>
      <c r="H415" s="16" t="n"/>
      <c r="J415" s="16" t="n"/>
      <c r="K415" s="16" t="n"/>
      <c r="L415" s="16">
        <f>(D415*6)+(E415*4)</f>
        <v/>
      </c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9" t="inlineStr">
        <is>
          <t>Unit</t>
        </is>
      </c>
      <c r="C416" s="16" t="n"/>
      <c r="D416" s="16" t="n"/>
      <c r="E416" s="16" t="n"/>
      <c r="F416" s="17" t="inlineStr">
        <is>
          <t>Anima</t>
        </is>
      </c>
      <c r="G416" s="16" t="n">
        <v>3</v>
      </c>
      <c r="H416" s="16" t="n"/>
      <c r="J416" s="16" t="n"/>
      <c r="K416" s="16" t="n"/>
      <c r="L416" s="16">
        <f>(D416*6)+(E416*4)</f>
        <v/>
      </c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9" t="inlineStr">
        <is>
          <t>Unit</t>
        </is>
      </c>
      <c r="C417" s="16" t="n"/>
      <c r="D417" s="16" t="n"/>
      <c r="E417" s="16" t="n"/>
      <c r="F417" s="17" t="inlineStr">
        <is>
          <t>Anima</t>
        </is>
      </c>
      <c r="G417" s="16" t="n">
        <v>3</v>
      </c>
      <c r="H417" s="16" t="n"/>
      <c r="J417" s="16" t="n"/>
      <c r="K417" s="16" t="n"/>
      <c r="L417" s="16">
        <f>(D417*6)+(E417*4)</f>
        <v/>
      </c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9" t="inlineStr">
        <is>
          <t>Unit</t>
        </is>
      </c>
      <c r="C418" s="16" t="n"/>
      <c r="D418" s="16" t="n"/>
      <c r="E418" s="16" t="n"/>
      <c r="F418" s="17" t="inlineStr">
        <is>
          <t>Anima</t>
        </is>
      </c>
      <c r="G418" s="16" t="n">
        <v>3</v>
      </c>
      <c r="H418" s="16" t="n"/>
      <c r="J418" s="16" t="n"/>
      <c r="K418" s="16" t="n"/>
      <c r="L418" s="16">
        <f>(D418*6)+(E418*4)</f>
        <v/>
      </c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9" t="inlineStr">
        <is>
          <t>Unit</t>
        </is>
      </c>
      <c r="C419" s="16" t="n"/>
      <c r="D419" s="16" t="n"/>
      <c r="E419" s="16" t="n"/>
      <c r="F419" s="17" t="inlineStr">
        <is>
          <t>Anima</t>
        </is>
      </c>
      <c r="G419" s="16" t="n">
        <v>3</v>
      </c>
      <c r="H419" s="16" t="n"/>
      <c r="J419" s="16" t="n"/>
      <c r="K419" s="16" t="n"/>
      <c r="L419" s="16">
        <f>(D419*6)+(E419*4)</f>
        <v/>
      </c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9" t="inlineStr">
        <is>
          <t>Unit</t>
        </is>
      </c>
      <c r="C420" s="16" t="n"/>
      <c r="D420" s="16" t="n"/>
      <c r="E420" s="16" t="n"/>
      <c r="F420" s="17" t="inlineStr">
        <is>
          <t>Anima</t>
        </is>
      </c>
      <c r="G420" s="16" t="n">
        <v>3</v>
      </c>
      <c r="H420" s="16" t="n"/>
      <c r="J420" s="16" t="n"/>
      <c r="K420" s="16" t="n"/>
      <c r="L420" s="16">
        <f>(D420*6)+(E420*4)</f>
        <v/>
      </c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9" t="inlineStr">
        <is>
          <t>Unit</t>
        </is>
      </c>
      <c r="C421" s="16" t="n"/>
      <c r="D421" s="16" t="n"/>
      <c r="E421" s="16" t="n"/>
      <c r="F421" s="17" t="inlineStr">
        <is>
          <t>Anima</t>
        </is>
      </c>
      <c r="G421" s="16" t="n">
        <v>3</v>
      </c>
      <c r="H421" s="16" t="n"/>
      <c r="J421" s="16" t="n"/>
      <c r="K421" s="16" t="n"/>
      <c r="L421" s="16">
        <f>(D421*6)+(E421*4)</f>
        <v/>
      </c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9" t="inlineStr">
        <is>
          <t>Unit</t>
        </is>
      </c>
      <c r="C422" s="16" t="n"/>
      <c r="D422" s="16" t="n"/>
      <c r="E422" s="16" t="n"/>
      <c r="F422" s="17" t="inlineStr">
        <is>
          <t>Anima</t>
        </is>
      </c>
      <c r="G422" s="16" t="n">
        <v>4</v>
      </c>
      <c r="H422" s="16" t="n"/>
      <c r="J422" s="16" t="n"/>
      <c r="K422" s="16" t="n"/>
      <c r="L422" s="16">
        <f>(D422*6)+(E422*4)</f>
        <v/>
      </c>
      <c r="M422" s="16" t="n"/>
      <c r="N422" s="16" t="n"/>
      <c r="O422" s="16" t="n"/>
      <c r="P422" s="16" t="n"/>
      <c r="Q422" s="16" t="n"/>
    </row>
    <row r="423" ht="44.05" customHeight="1" s="47">
      <c r="A423" s="8" t="inlineStr">
        <is>
          <t>Zealot</t>
        </is>
      </c>
      <c r="B423" s="9" t="inlineStr">
        <is>
          <t>Unit</t>
        </is>
      </c>
      <c r="C423" s="16" t="n"/>
      <c r="D423" s="16" t="n"/>
      <c r="E423" s="16" t="n"/>
      <c r="F423" s="17" t="inlineStr">
        <is>
          <t>Anima</t>
        </is>
      </c>
      <c r="G423" s="16" t="n">
        <v>4</v>
      </c>
      <c r="H423" s="17" t="inlineStr">
        <is>
          <t>If this card is used for Union summon, increase the Union card’s ATK and DEF by 40</t>
        </is>
      </c>
      <c r="I423" t="inlineStr">
        <is>
          <t>ATK&amp;DEF→ATK and DEF</t>
        </is>
      </c>
      <c r="J423" s="16" t="n"/>
      <c r="K423" s="16" t="n"/>
      <c r="L423" s="16">
        <f>(D423*6)+(E423*4)</f>
        <v/>
      </c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9" t="inlineStr">
        <is>
          <t>Unit</t>
        </is>
      </c>
      <c r="C424" s="16" t="n"/>
      <c r="D424" s="16" t="n"/>
      <c r="E424" s="16" t="n"/>
      <c r="F424" s="17" t="inlineStr">
        <is>
          <t>Anima</t>
        </is>
      </c>
      <c r="G424" s="16" t="n">
        <v>4</v>
      </c>
      <c r="H424" s="16" t="n"/>
      <c r="J424" s="16" t="n"/>
      <c r="K424" s="16" t="n"/>
      <c r="L424" s="16">
        <f>(D424*6)+(E424*4)</f>
        <v/>
      </c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9" t="inlineStr">
        <is>
          <t>Unit</t>
        </is>
      </c>
      <c r="C425" s="16" t="n"/>
      <c r="D425" s="16" t="n"/>
      <c r="E425" s="16" t="n"/>
      <c r="F425" s="17" t="inlineStr">
        <is>
          <t>Anima</t>
        </is>
      </c>
      <c r="G425" s="16" t="n">
        <v>4</v>
      </c>
      <c r="H425" s="16" t="n"/>
      <c r="J425" s="16" t="n"/>
      <c r="K425" s="16" t="n"/>
      <c r="L425" s="16">
        <f>(D425*6)+(E425*4)</f>
        <v/>
      </c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9" t="inlineStr">
        <is>
          <t>Unit</t>
        </is>
      </c>
      <c r="C426" s="16" t="n"/>
      <c r="D426" s="16" t="n"/>
      <c r="E426" s="16" t="n"/>
      <c r="F426" s="17" t="inlineStr">
        <is>
          <t>Anima</t>
        </is>
      </c>
      <c r="G426" s="16" t="n">
        <v>4</v>
      </c>
      <c r="H426" s="16" t="n"/>
      <c r="J426" s="16" t="n"/>
      <c r="K426" s="16" t="n"/>
      <c r="L426" s="16">
        <f>(D426*6)+(E426*4)</f>
        <v/>
      </c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9" t="inlineStr">
        <is>
          <t>Unit</t>
        </is>
      </c>
      <c r="C427" s="16" t="n"/>
      <c r="D427" s="16" t="n"/>
      <c r="E427" s="16" t="n"/>
      <c r="F427" s="17" t="inlineStr">
        <is>
          <t>Anima</t>
        </is>
      </c>
      <c r="G427" s="16" t="n">
        <v>4</v>
      </c>
      <c r="H427" s="16" t="n"/>
      <c r="J427" s="16" t="n"/>
      <c r="K427" s="16" t="n"/>
      <c r="L427" s="16">
        <f>(D427*6)+(E427*4)</f>
        <v/>
      </c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9" t="inlineStr">
        <is>
          <t>Unit</t>
        </is>
      </c>
      <c r="C428" s="16" t="n"/>
      <c r="D428" s="16" t="n"/>
      <c r="E428" s="16" t="n"/>
      <c r="F428" s="17" t="inlineStr">
        <is>
          <t>Anima</t>
        </is>
      </c>
      <c r="G428" s="16" t="n">
        <v>4</v>
      </c>
      <c r="H428" s="16" t="n"/>
      <c r="J428" s="16" t="n"/>
      <c r="K428" s="16" t="n"/>
      <c r="L428" s="16">
        <f>(D428*6)+(E428*4)</f>
        <v/>
      </c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9" t="inlineStr">
        <is>
          <t>Unit</t>
        </is>
      </c>
      <c r="C429" s="16" t="n"/>
      <c r="D429" s="16" t="n"/>
      <c r="E429" s="16" t="n"/>
      <c r="F429" s="17" t="inlineStr">
        <is>
          <t>Anima</t>
        </is>
      </c>
      <c r="G429" s="16" t="n">
        <v>5</v>
      </c>
      <c r="H429" s="16" t="n"/>
      <c r="J429" s="16" t="n"/>
      <c r="K429" s="16" t="n"/>
      <c r="L429" s="16">
        <f>(D429*6)+(E429*4)</f>
        <v/>
      </c>
      <c r="M429" s="16" t="n"/>
      <c r="N429" s="16" t="n"/>
      <c r="O429" s="16" t="n"/>
      <c r="P429" s="16" t="n"/>
      <c r="Q429" s="16" t="n"/>
    </row>
    <row r="430" ht="20.05" customHeight="1" s="47">
      <c r="A430" s="8" t="inlineStr">
        <is>
          <t>Alchemist</t>
        </is>
      </c>
      <c r="B430" s="9" t="inlineStr">
        <is>
          <t>Unit</t>
        </is>
      </c>
      <c r="C430" s="16" t="n"/>
      <c r="D430" s="16" t="n"/>
      <c r="E430" s="16" t="n"/>
      <c r="F430" s="17" t="inlineStr">
        <is>
          <t>Anima</t>
        </is>
      </c>
      <c r="G430" s="16" t="n">
        <v>5</v>
      </c>
      <c r="H430" s="16" t="n"/>
      <c r="J430" s="16" t="n"/>
      <c r="K430" s="16" t="n"/>
      <c r="L430" s="16">
        <f>(D430*6)+(E430*4)</f>
        <v/>
      </c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9" t="inlineStr">
        <is>
          <t>Unit</t>
        </is>
      </c>
      <c r="C431" s="16" t="n"/>
      <c r="D431" s="16" t="n"/>
      <c r="E431" s="16" t="n"/>
      <c r="F431" s="17" t="inlineStr">
        <is>
          <t>Anima</t>
        </is>
      </c>
      <c r="G431" s="16" t="n">
        <v>5</v>
      </c>
      <c r="H431" s="16" t="n"/>
      <c r="J431" s="16" t="n"/>
      <c r="K431" s="16" t="n"/>
      <c r="L431" s="16">
        <f>(D431*6)+(E431*4)</f>
        <v/>
      </c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9" t="inlineStr">
        <is>
          <t>Unit</t>
        </is>
      </c>
      <c r="C432" s="16" t="n"/>
      <c r="D432" s="16" t="n"/>
      <c r="E432" s="16" t="n"/>
      <c r="F432" s="17" t="inlineStr">
        <is>
          <t>Anima</t>
        </is>
      </c>
      <c r="G432" s="16" t="n">
        <v>5</v>
      </c>
      <c r="H432" s="16" t="n"/>
      <c r="J432" s="16" t="n"/>
      <c r="K432" s="16" t="n"/>
      <c r="L432" s="16">
        <f>(D432*6)+(E432*4)</f>
        <v/>
      </c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9" t="inlineStr">
        <is>
          <t>Unit</t>
        </is>
      </c>
      <c r="C433" s="16" t="n"/>
      <c r="D433" s="16" t="n"/>
      <c r="E433" s="16" t="n"/>
      <c r="F433" s="17" t="inlineStr">
        <is>
          <t>Anima</t>
        </is>
      </c>
      <c r="G433" s="16" t="n">
        <v>5</v>
      </c>
      <c r="H433" s="16" t="n"/>
      <c r="J433" s="16" t="n"/>
      <c r="K433" s="16" t="n"/>
      <c r="L433" s="16">
        <f>(D433*6)+(E433*4)</f>
        <v/>
      </c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9" t="inlineStr">
        <is>
          <t>Unit</t>
        </is>
      </c>
      <c r="C434" s="16" t="n"/>
      <c r="D434" s="16" t="n"/>
      <c r="E434" s="16" t="n"/>
      <c r="F434" s="17" t="inlineStr">
        <is>
          <t>Anima</t>
        </is>
      </c>
      <c r="G434" s="16" t="n">
        <v>5</v>
      </c>
      <c r="H434" s="16" t="n"/>
      <c r="J434" s="16" t="n"/>
      <c r="K434" s="16" t="n"/>
      <c r="L434" s="16">
        <f>(D434*6)+(E434*4)</f>
        <v/>
      </c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9" t="inlineStr">
        <is>
          <t>Unit</t>
        </is>
      </c>
      <c r="C435" s="16" t="n"/>
      <c r="D435" s="16" t="n"/>
      <c r="E435" s="16" t="n"/>
      <c r="F435" s="17" t="inlineStr">
        <is>
          <t>Anima</t>
        </is>
      </c>
      <c r="G435" s="16" t="n">
        <v>5</v>
      </c>
      <c r="H435" s="16" t="n"/>
      <c r="J435" s="16" t="n"/>
      <c r="K435" s="16" t="n"/>
      <c r="L435" s="16">
        <f>(D435*6)+(E435*4)</f>
        <v/>
      </c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9" t="inlineStr">
        <is>
          <t>Unit</t>
        </is>
      </c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>
        <f>(D436*6)+(E436*4)</f>
        <v/>
      </c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9" t="inlineStr">
        <is>
          <t>Unit</t>
        </is>
      </c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>
        <f>(D437*6)+(E437*4)</f>
        <v/>
      </c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9" t="inlineStr">
        <is>
          <t>Unit</t>
        </is>
      </c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>
        <f>(D438*6)+(E438*4)</f>
        <v/>
      </c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9" t="inlineStr">
        <is>
          <t>Unit</t>
        </is>
      </c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>
        <f>(D439*6)+(E439*4)</f>
        <v/>
      </c>
      <c r="M439" s="16" t="n"/>
      <c r="N439" s="16" t="n"/>
      <c r="O439" s="16" t="n"/>
      <c r="P439" s="16" t="n"/>
      <c r="Q439" s="16" t="n"/>
    </row>
    <row r="440" ht="44.05" customHeight="1" s="47">
      <c r="A440" s="8" t="inlineStr">
        <is>
          <t>Evolving Cell</t>
        </is>
      </c>
      <c r="B440" s="9" t="inlineStr">
        <is>
          <t>Unit</t>
        </is>
      </c>
      <c r="C440" s="16" t="n">
        <v>1200</v>
      </c>
      <c r="D440" s="16" t="n">
        <v>75</v>
      </c>
      <c r="E440" s="16" t="n">
        <v>55</v>
      </c>
      <c r="F440" s="17" t="inlineStr">
        <is>
          <t>Bio</t>
        </is>
      </c>
      <c r="G440" s="16" t="n">
        <v>5</v>
      </c>
      <c r="H440" s="17" t="inlineStr">
        <is>
          <t>Cannot select unit with 0 DEF as attack target. Once: if defended, drain 35 ATK and DEF</t>
        </is>
      </c>
      <c r="I440" t="inlineStr">
        <is>
          <t>ATK&amp;DEF→ATK and DEF</t>
        </is>
      </c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8" t="inlineStr">
        <is>
          <t>Vent Killer</t>
        </is>
      </c>
      <c r="B441" s="9" t="inlineStr">
        <is>
          <t>Chaos</t>
        </is>
      </c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</row>
    <row r="557" ht="20.05" customHeight="1" s="47">
      <c r="A557" s="46" t="n"/>
      <c r="B557" s="12" t="n"/>
      <c r="C557" s="16" t="n"/>
      <c r="D557" s="16" t="n"/>
      <c r="E557" s="16" t="n"/>
      <c r="F557" s="16" t="n"/>
      <c r="G557" s="16" t="n"/>
      <c r="H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</row>
    <row r="558" ht="20.05" customHeight="1" s="47">
      <c r="A558" s="46" t="n"/>
      <c r="B558" s="12" t="n"/>
      <c r="C558" s="16" t="n"/>
      <c r="D558" s="16" t="n"/>
      <c r="E558" s="16" t="n"/>
      <c r="F558" s="16" t="n"/>
      <c r="G558" s="16" t="n"/>
      <c r="H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</row>
    <row r="559" ht="20.05" customHeight="1" s="47">
      <c r="A559" s="46" t="n"/>
      <c r="B559" s="12" t="n"/>
      <c r="C559" s="16" t="n"/>
      <c r="D559" s="16" t="n"/>
      <c r="E559" s="16" t="n"/>
      <c r="F559" s="16" t="n"/>
      <c r="G559" s="16" t="n"/>
      <c r="H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</row>
    <row r="560" ht="20.05" customHeight="1" s="47">
      <c r="A560" s="46" t="n"/>
      <c r="B560" s="12" t="n"/>
      <c r="C560" s="16" t="n"/>
      <c r="D560" s="16" t="n"/>
      <c r="E560" s="16" t="n"/>
      <c r="F560" s="16" t="n"/>
      <c r="G560" s="16" t="n"/>
      <c r="H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</row>
    <row r="561" ht="20.05" customHeight="1" s="47">
      <c r="A561" s="46" t="n"/>
      <c r="B561" s="12" t="n"/>
      <c r="C561" s="16" t="n"/>
      <c r="D561" s="16" t="n"/>
      <c r="E561" s="16" t="n"/>
      <c r="F561" s="16" t="n"/>
      <c r="G561" s="16" t="n"/>
      <c r="H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</row>
    <row r="562" ht="20.05" customHeight="1" s="47">
      <c r="A562" s="46" t="n"/>
      <c r="B562" s="12" t="n"/>
      <c r="C562" s="16" t="n"/>
      <c r="D562" s="16" t="n"/>
      <c r="E562" s="16" t="n"/>
      <c r="F562" s="16" t="n"/>
      <c r="G562" s="16" t="n"/>
      <c r="H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</row>
    <row r="563" ht="20.05" customHeight="1" s="47">
      <c r="A563" s="46" t="n"/>
      <c r="B563" s="12" t="n"/>
      <c r="C563" s="16" t="n"/>
      <c r="D563" s="16" t="n"/>
      <c r="E563" s="16" t="n"/>
      <c r="F563" s="16" t="n"/>
      <c r="G563" s="16" t="n"/>
      <c r="H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</row>
    <row r="564" ht="20.05" customHeight="1" s="47">
      <c r="A564" s="46" t="n"/>
      <c r="B564" s="12" t="n"/>
      <c r="C564" s="16" t="n"/>
      <c r="D564" s="16" t="n"/>
      <c r="E564" s="16" t="n"/>
      <c r="F564" s="16" t="n"/>
      <c r="G564" s="16" t="n"/>
      <c r="H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</row>
    <row r="565" ht="20.05" customHeight="1" s="47">
      <c r="A565" s="46" t="n"/>
      <c r="B565" s="12" t="n"/>
      <c r="C565" s="16" t="n"/>
      <c r="D565" s="16" t="n"/>
      <c r="E565" s="16" t="n"/>
      <c r="F565" s="16" t="n"/>
      <c r="G565" s="16" t="n"/>
      <c r="H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</row>
    <row r="566" ht="20.05" customHeight="1" s="47">
      <c r="A566" s="46" t="n"/>
      <c r="B566" s="12" t="n"/>
      <c r="C566" s="16" t="n"/>
      <c r="D566" s="16" t="n"/>
      <c r="E566" s="16" t="n"/>
      <c r="F566" s="16" t="n"/>
      <c r="G566" s="16" t="n"/>
      <c r="H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</row>
    <row r="567" ht="20.05" customHeight="1" s="47">
      <c r="A567" s="46" t="n"/>
      <c r="B567" s="12" t="n"/>
      <c r="C567" s="16" t="n"/>
      <c r="D567" s="16" t="n"/>
      <c r="E567" s="16" t="n"/>
      <c r="F567" s="16" t="n"/>
      <c r="G567" s="16" t="n"/>
      <c r="H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</row>
    <row r="568" ht="20.05" customHeight="1" s="47">
      <c r="A568" s="46" t="n"/>
      <c r="B568" s="12" t="n"/>
      <c r="C568" s="16" t="n"/>
      <c r="D568" s="16" t="n"/>
      <c r="E568" s="16" t="n"/>
      <c r="F568" s="16" t="n"/>
      <c r="G568" s="16" t="n"/>
      <c r="H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52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9375" customWidth="1" style="44" min="1" max="1"/>
    <col width="6.53125" customWidth="1" style="44" min="2" max="2"/>
    <col width="5.22656" customWidth="1" style="44" min="3" max="3"/>
    <col width="6.23438" customWidth="1" style="44" min="4" max="4"/>
    <col width="4.90625" customWidth="1" style="44" min="5" max="5"/>
    <col width="8.79688" customWidth="1" style="44" min="6" max="6"/>
    <col width="6.22656" customWidth="1" style="44" min="7" max="7"/>
    <col width="16.3516" customWidth="1" style="44" min="8" max="15"/>
    <col width="16.3516" customWidth="1" style="44" min="16" max="16384"/>
  </cols>
  <sheetData>
    <row r="1" ht="27.65" customHeight="1" s="47">
      <c r="A1" s="2" t="inlineStr">
        <is>
          <t>Table 1</t>
        </is>
      </c>
    </row>
    <row r="2" ht="32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Partial Ability</t>
        </is>
      </c>
      <c r="I2" s="3" t="inlineStr">
        <is>
          <t>Full Ability</t>
        </is>
      </c>
      <c r="J2" t="inlineStr">
        <is>
          <t>Comment</t>
        </is>
      </c>
      <c r="K2" s="3" t="inlineStr">
        <is>
          <t>Partial Formula</t>
        </is>
      </c>
      <c r="L2" s="3" t="inlineStr">
        <is>
          <t>Full Formula</t>
        </is>
      </c>
      <c r="M2" s="3" t="inlineStr">
        <is>
          <t>Union Zone</t>
        </is>
      </c>
      <c r="N2" s="3" t="inlineStr">
        <is>
          <t>Have illustration</t>
        </is>
      </c>
      <c r="O2" s="3" t="inlineStr">
        <is>
          <t>Demo</t>
        </is>
      </c>
      <c r="P2" s="3" t="inlineStr">
        <is>
          <t>Test 1</t>
        </is>
      </c>
    </row>
    <row r="3" ht="68.25" customHeight="1" s="47">
      <c r="A3" s="5" t="inlineStr">
        <is>
          <t>Gryphon Rider</t>
        </is>
      </c>
      <c r="B3" s="6" t="inlineStr">
        <is>
          <t>Union</t>
        </is>
      </c>
      <c r="C3" s="14" t="n"/>
      <c r="D3" s="14" t="n">
        <v>125</v>
      </c>
      <c r="E3" s="14" t="n">
        <v>90</v>
      </c>
      <c r="F3" s="15" t="inlineStr">
        <is>
          <t>Divine</t>
        </is>
      </c>
      <c r="G3" s="14" t="n"/>
      <c r="H3" s="15" t="inlineStr">
        <is>
          <t>None</t>
        </is>
      </c>
      <c r="I3" s="15" t="inlineStr">
        <is>
          <t>None</t>
        </is>
      </c>
      <c r="K3" s="15" t="inlineStr">
        <is>
          <t>1 ??? + 1 ??? + 1000 cost</t>
        </is>
      </c>
      <c r="L3" s="15" t="inlineStr">
        <is>
          <t>Gryphon + 1 Divine + 1000 cost</t>
        </is>
      </c>
      <c r="M3" s="15" t="inlineStr">
        <is>
          <t>10000
01000
00100
00010
00001</t>
        </is>
      </c>
      <c r="N3" s="15" t="inlineStr">
        <is>
          <t>Yes</t>
        </is>
      </c>
      <c r="O3" s="15" t="inlineStr">
        <is>
          <t>Yes</t>
        </is>
      </c>
      <c r="P3" s="14" t="n"/>
    </row>
    <row r="4" ht="68.05" customHeight="1" s="47">
      <c r="A4" s="8" t="inlineStr">
        <is>
          <t>Seraphim Fistmaster</t>
        </is>
      </c>
      <c r="B4" s="9" t="inlineStr">
        <is>
          <t>Union</t>
        </is>
      </c>
      <c r="C4" s="16" t="n"/>
      <c r="D4" s="16" t="n">
        <v>120</v>
      </c>
      <c r="E4" s="16" t="n">
        <v>120</v>
      </c>
      <c r="F4" s="17" t="inlineStr">
        <is>
          <t>Divine</t>
        </is>
      </c>
      <c r="G4" s="16" t="n"/>
      <c r="H4" s="17" t="inlineStr">
        <is>
          <t>Double ATK and DEF against ??? Affinity</t>
        </is>
      </c>
      <c r="I4" s="17" t="inlineStr">
        <is>
          <t>Double ATK and DEF against Chaos</t>
        </is>
      </c>
      <c r="J4" t="inlineStr">
        <is>
          <t>Partial: ATK&amp;DEF→ATK and DEF; dropped redundant Affinity | Full: ATK&amp;DEF→ATK and DEF</t>
        </is>
      </c>
      <c r="K4" s="17" t="inlineStr">
        <is>
          <t>1 ??? + 1 ??? + 1500 cost</t>
        </is>
      </c>
      <c r="L4" s="17" t="inlineStr">
        <is>
          <t>1 ‘Seraph’ unit + 1 Divine (≥ 800 cost) + 1500 cost</t>
        </is>
      </c>
      <c r="M4" s="17" t="inlineStr">
        <is>
          <t>11011
10001
00000
10001
11011</t>
        </is>
      </c>
      <c r="N4" s="17" t="inlineStr">
        <is>
          <t>Yes</t>
        </is>
      </c>
      <c r="O4" s="17" t="inlineStr">
        <is>
          <t>Yes</t>
        </is>
      </c>
      <c r="P4" s="16" t="n"/>
    </row>
    <row r="5" ht="68.05" customHeight="1" s="47">
      <c r="A5" s="8" t="inlineStr">
        <is>
          <t>Gaia Turtle</t>
        </is>
      </c>
      <c r="B5" s="9" t="inlineStr">
        <is>
          <t>Union</t>
        </is>
      </c>
      <c r="C5" s="16" t="n"/>
      <c r="D5" s="16" t="n">
        <v>0</v>
      </c>
      <c r="E5" s="16" t="n">
        <v>205</v>
      </c>
      <c r="F5" s="17" t="inlineStr">
        <is>
          <t>Nature</t>
        </is>
      </c>
      <c r="G5" s="16" t="n"/>
      <c r="H5" s="17" t="inlineStr">
        <is>
          <t>None</t>
        </is>
      </c>
      <c r="I5" s="17" t="inlineStr">
        <is>
          <t>None</t>
        </is>
      </c>
      <c r="K5" s="17" t="inlineStr">
        <is>
          <t>2 ??? + 2000 cost</t>
        </is>
      </c>
      <c r="L5" s="17" t="inlineStr">
        <is>
          <t>2 any units (≥90 DEF) + 2000 cost</t>
        </is>
      </c>
      <c r="M5" s="17" t="inlineStr">
        <is>
          <t>00000
00000
01110
01110
00000</t>
        </is>
      </c>
      <c r="N5" s="17" t="inlineStr">
        <is>
          <t>Yes</t>
        </is>
      </c>
      <c r="O5" s="17" t="inlineStr">
        <is>
          <t>Yes</t>
        </is>
      </c>
      <c r="P5" s="16" t="n"/>
    </row>
    <row r="6" ht="68.05" customHeight="1" s="47">
      <c r="A6" s="8" t="inlineStr">
        <is>
          <t>Barros the Colossal</t>
        </is>
      </c>
      <c r="B6" s="9" t="inlineStr">
        <is>
          <t>Union</t>
        </is>
      </c>
      <c r="C6" s="16" t="n"/>
      <c r="D6" s="16" t="n">
        <v>150</v>
      </c>
      <c r="E6" s="16" t="n">
        <v>130</v>
      </c>
      <c r="F6" s="17" t="inlineStr">
        <is>
          <t>Nature</t>
        </is>
      </c>
      <c r="G6" s="16" t="n"/>
      <c r="H6" s="17" t="inlineStr">
        <is>
          <t>None</t>
        </is>
      </c>
      <c r="I6" s="17" t="inlineStr">
        <is>
          <t>None</t>
        </is>
      </c>
      <c r="K6" s="17" t="inlineStr">
        <is>
          <t>2 ???+ 1500 cost</t>
        </is>
      </c>
      <c r="L6" s="17" t="inlineStr">
        <is>
          <t>2 Nature (≥ 800 cost) + 1500 cost</t>
        </is>
      </c>
      <c r="M6" s="17" t="inlineStr">
        <is>
          <t>00000
01010
00100
01010
00000</t>
        </is>
      </c>
      <c r="N6" s="17" t="inlineStr">
        <is>
          <t>Yes</t>
        </is>
      </c>
      <c r="O6" s="17" t="inlineStr">
        <is>
          <t>Yes</t>
        </is>
      </c>
      <c r="P6" s="16" t="n"/>
    </row>
    <row r="7" ht="68.05" customHeight="1" s="47">
      <c r="A7" s="8" t="inlineStr">
        <is>
          <t>X-Death Squad</t>
        </is>
      </c>
      <c r="B7" s="9" t="inlineStr">
        <is>
          <t>Union</t>
        </is>
      </c>
      <c r="C7" s="16" t="n"/>
      <c r="D7" s="16" t="n">
        <v>50</v>
      </c>
      <c r="E7" s="16" t="n">
        <v>50</v>
      </c>
      <c r="F7" s="17" t="inlineStr">
        <is>
          <t>Anima</t>
        </is>
      </c>
      <c r="G7" s="16" t="n"/>
      <c r="H7" s="17" t="inlineStr">
        <is>
          <t>In Reckoning, pay ???, destroy foe’s unit. They pay ???.</t>
        </is>
      </c>
      <c r="I7" s="17" t="inlineStr">
        <is>
          <t>In Reckoning: pay 1000, destroy foe’s unit. They pay no Crystal cost.</t>
        </is>
      </c>
      <c r="J7" t="inlineStr">
        <is>
          <t>Full: wording polish</t>
        </is>
      </c>
      <c r="K7" s="17" t="inlineStr">
        <is>
          <t>1 ??? + 2 ??? + 800 cost</t>
        </is>
      </c>
      <c r="L7" s="17" t="inlineStr">
        <is>
          <t>1 Anima (≥ 800 cost) + 2 Anima + 800 cost</t>
        </is>
      </c>
      <c r="M7" s="17" t="inlineStr">
        <is>
          <t>10101
00000
10101
00000
10101</t>
        </is>
      </c>
      <c r="N7" s="17" t="inlineStr">
        <is>
          <t>Yes</t>
        </is>
      </c>
      <c r="O7" s="17" t="inlineStr">
        <is>
          <t>Yes</t>
        </is>
      </c>
      <c r="P7" s="16" t="n"/>
    </row>
    <row r="8" ht="68.05" customHeight="1" s="47">
      <c r="A8" s="8" t="inlineStr">
        <is>
          <t>Rocket Marauder</t>
        </is>
      </c>
      <c r="B8" s="9" t="inlineStr">
        <is>
          <t>Union</t>
        </is>
      </c>
      <c r="C8" s="16" t="n"/>
      <c r="D8" s="16" t="n">
        <v>125</v>
      </c>
      <c r="E8" s="16" t="n">
        <v>105</v>
      </c>
      <c r="F8" s="17" t="inlineStr">
        <is>
          <t>Bio</t>
        </is>
      </c>
      <c r="G8" s="16" t="n"/>
      <c r="H8" s="17" t="inlineStr">
        <is>
          <t>None</t>
        </is>
      </c>
      <c r="I8" s="17" t="inlineStr">
        <is>
          <t>None</t>
        </is>
      </c>
      <c r="K8" s="17" t="inlineStr">
        <is>
          <t>1 ??? + 1 ??? + 1000 cost</t>
        </is>
      </c>
      <c r="L8" s="17" t="inlineStr">
        <is>
          <t>1 Bio (≥ 800 cost) + 1 Anima (≥ 800 cost) + 1000 cost</t>
        </is>
      </c>
      <c r="M8" s="17" t="inlineStr">
        <is>
          <t>00000
00000
00000
01010
10101</t>
        </is>
      </c>
      <c r="N8" s="17" t="inlineStr">
        <is>
          <t>Yes</t>
        </is>
      </c>
      <c r="O8" s="17" t="inlineStr">
        <is>
          <t>Yes</t>
        </is>
      </c>
      <c r="P8" s="16" t="n"/>
    </row>
    <row r="9" ht="68.05" customHeight="1" s="47">
      <c r="A9" s="8" t="inlineStr">
        <is>
          <t>Lord of Terror</t>
        </is>
      </c>
      <c r="B9" s="9" t="inlineStr">
        <is>
          <t>Union</t>
        </is>
      </c>
      <c r="C9" s="16" t="n"/>
      <c r="D9" s="16" t="n">
        <v>150</v>
      </c>
      <c r="E9" s="16" t="n">
        <v>100</v>
      </c>
      <c r="F9" s="17" t="inlineStr">
        <is>
          <t>Chaos</t>
        </is>
      </c>
      <c r="G9" s="16" t="n"/>
      <c r="H9" s="17" t="inlineStr">
        <is>
          <t>-50 ATK if ???</t>
        </is>
      </c>
      <c r="I9" s="17" t="inlineStr">
        <is>
          <t>-50 ATK if attacks Dead End</t>
        </is>
      </c>
      <c r="K9" s="17" t="inlineStr">
        <is>
          <t>2 ??? + 1500 cost</t>
        </is>
      </c>
      <c r="L9" s="17" t="inlineStr">
        <is>
          <t>2 Chaos (≥ 800 cost) + 1500 cost</t>
        </is>
      </c>
      <c r="M9" s="17" t="inlineStr">
        <is>
          <t>00000
00100
00100
01110
00100</t>
        </is>
      </c>
      <c r="N9" s="17" t="inlineStr">
        <is>
          <t>Yes</t>
        </is>
      </c>
      <c r="O9" s="17" t="inlineStr">
        <is>
          <t>Yes</t>
        </is>
      </c>
      <c r="P9" s="16" t="n"/>
    </row>
    <row r="10" ht="68.05" customHeight="1" s="47">
      <c r="A10" s="8" t="inlineStr">
        <is>
          <t>Armored Dino</t>
        </is>
      </c>
      <c r="B10" s="9" t="inlineStr">
        <is>
          <t>Union</t>
        </is>
      </c>
      <c r="C10" s="16" t="n"/>
      <c r="D10" s="16" t="n">
        <v>95</v>
      </c>
      <c r="E10" s="16" t="n">
        <v>60</v>
      </c>
      <c r="F10" s="17" t="inlineStr">
        <is>
          <t>Nature</t>
        </is>
      </c>
      <c r="G10" s="16" t="n"/>
      <c r="H10" s="17" t="inlineStr">
        <is>
          <t>In Reckoning, pay ??? Crystal cost to +??DEF</t>
        </is>
      </c>
      <c r="I10" s="17" t="inlineStr">
        <is>
          <t>In Reckoning: pay 1000 Crystal cost to +60 DEF</t>
        </is>
      </c>
      <c r="J10" t="inlineStr">
        <is>
          <t>Full: wording polish</t>
        </is>
      </c>
      <c r="K10" s="17" t="inlineStr">
        <is>
          <t>1 ??? + 1 ??? + 700 cost</t>
        </is>
      </c>
      <c r="L10" s="17" t="inlineStr">
        <is>
          <t>1 Armored Nature card + 1 Nature (≥ 700 cost) + 800 cost</t>
        </is>
      </c>
      <c r="M10" s="17" t="inlineStr">
        <is>
          <t>00000
01110
11111
00000
00000</t>
        </is>
      </c>
      <c r="N10" s="17" t="inlineStr">
        <is>
          <t>Yes</t>
        </is>
      </c>
      <c r="O10" s="17" t="inlineStr">
        <is>
          <t>Yes</t>
        </is>
      </c>
      <c r="P10" s="16" t="n"/>
    </row>
    <row r="11" ht="68.05" customHeight="1" s="47">
      <c r="A11" s="8" t="inlineStr">
        <is>
          <t>Greater Succubus</t>
        </is>
      </c>
      <c r="B11" s="9" t="inlineStr">
        <is>
          <t>Union</t>
        </is>
      </c>
      <c r="C11" s="16" t="n"/>
      <c r="D11" s="16" t="n">
        <v>30</v>
      </c>
      <c r="E11" s="16" t="n">
        <v>50</v>
      </c>
      <c r="F11" s="17" t="inlineStr">
        <is>
          <t>Chaos</t>
        </is>
      </c>
      <c r="G11" s="16" t="n"/>
      <c r="H11" s="17" t="inlineStr">
        <is>
          <t>Once, after Reckoning: +ATK and DEF equal to ???</t>
        </is>
      </c>
      <c r="I11" s="17" t="inlineStr">
        <is>
          <t>Once: after Reckoning: +ATK and DEF equal to half of that foe’s card</t>
        </is>
      </c>
      <c r="J11" t="inlineStr">
        <is>
          <t>Partial: ATK&amp;DEF→ATK and DEF | Full: ATK&amp;DEF→ATK and DEF</t>
        </is>
      </c>
      <c r="K11" s="17" t="inlineStr">
        <is>
          <t>1 ??? + 1 ??? + 800 cost</t>
        </is>
      </c>
      <c r="L11" s="17" t="inlineStr">
        <is>
          <t>1 Succubus + 1 Chaos + 800 cost</t>
        </is>
      </c>
      <c r="M11" s="17" t="inlineStr">
        <is>
          <t>00100
11111
10001
00000
00000</t>
        </is>
      </c>
      <c r="N11" s="17" t="inlineStr">
        <is>
          <t>Yes</t>
        </is>
      </c>
      <c r="O11" s="17" t="inlineStr">
        <is>
          <t>Yes</t>
        </is>
      </c>
      <c r="P11" s="16" t="n"/>
    </row>
    <row r="12" ht="68.05" customHeight="1" s="47">
      <c r="A12" s="8" t="inlineStr">
        <is>
          <t>Pixie Queen</t>
        </is>
      </c>
      <c r="B12" s="9" t="inlineStr">
        <is>
          <t>Union</t>
        </is>
      </c>
      <c r="C12" s="16" t="n"/>
      <c r="D12" s="16" t="n">
        <v>30</v>
      </c>
      <c r="E12" s="16" t="n">
        <v>30</v>
      </c>
      <c r="F12" s="17" t="inlineStr">
        <is>
          <t>Divine</t>
        </is>
      </c>
      <c r="G12" s="16" t="n"/>
      <c r="H12" s="17" t="inlineStr">
        <is>
          <t>+5 ATK for each ????</t>
        </is>
      </c>
      <c r="I12" s="17" t="inlineStr">
        <is>
          <t>+5 ATK for each Divine cards on its side</t>
        </is>
      </c>
      <c r="K12" s="17" t="inlineStr">
        <is>
          <t>1 ??? + 1 ??? + 300 cost</t>
        </is>
      </c>
      <c r="L12" s="17" t="inlineStr">
        <is>
          <t>1 Tiny Pixie + 1 Divine+ 300 cost</t>
        </is>
      </c>
      <c r="M12" s="17" t="inlineStr">
        <is>
          <t>00100
00100
10001
10101
01010</t>
        </is>
      </c>
      <c r="N12" s="17" t="inlineStr">
        <is>
          <t>Yes</t>
        </is>
      </c>
      <c r="O12" s="17" t="inlineStr">
        <is>
          <t>Yes</t>
        </is>
      </c>
      <c r="P12" s="16" t="n"/>
    </row>
    <row r="13" ht="68.05" customHeight="1" s="47">
      <c r="A13" s="8" t="inlineStr">
        <is>
          <t>Diamond Unicorn</t>
        </is>
      </c>
      <c r="B13" s="9" t="inlineStr">
        <is>
          <t>Union</t>
        </is>
      </c>
      <c r="C13" s="16" t="n"/>
      <c r="D13" s="16" t="n">
        <v>30</v>
      </c>
      <c r="E13" s="16" t="n">
        <v>35</v>
      </c>
      <c r="F13" s="17" t="inlineStr">
        <is>
          <t>Divine</t>
        </is>
      </c>
      <c r="G13" s="16" t="n"/>
      <c r="H13" s="17" t="inlineStr">
        <is>
          <t>Once Union, ??? until this turn’s end</t>
        </is>
      </c>
      <c r="I13" s="17" t="inlineStr">
        <is>
          <t>Once Union, +15 ATK until this turn’s end</t>
        </is>
      </c>
      <c r="K13" s="17" t="inlineStr">
        <is>
          <t>1 ??? + 1 ??? + 500 cost</t>
        </is>
      </c>
      <c r="L13" s="17" t="inlineStr">
        <is>
          <t>1 Ponycorn + 1 Divine card + 500 cost</t>
        </is>
      </c>
      <c r="M13" s="17" t="inlineStr">
        <is>
          <t>00100
01010
10001
01010
00100</t>
        </is>
      </c>
      <c r="N13" s="17" t="inlineStr">
        <is>
          <t>Yes</t>
        </is>
      </c>
      <c r="O13" s="17" t="inlineStr">
        <is>
          <t>Yes</t>
        </is>
      </c>
      <c r="P13" s="16" t="n"/>
    </row>
    <row r="14" ht="68.05" customHeight="1" s="47">
      <c r="A14" s="8" t="inlineStr">
        <is>
          <t>Choir Lead Amber</t>
        </is>
      </c>
      <c r="B14" s="9" t="inlineStr">
        <is>
          <t>Union</t>
        </is>
      </c>
      <c r="C14" s="16" t="n"/>
      <c r="D14" s="16" t="n">
        <v>35</v>
      </c>
      <c r="E14" s="16" t="n">
        <v>35</v>
      </c>
      <c r="F14" s="17" t="inlineStr">
        <is>
          <t>Divine</t>
        </is>
      </c>
      <c r="G14" s="16" t="n"/>
      <c r="H14" s="17" t="inlineStr">
        <is>
          <t>+20 ATK to all ?????</t>
        </is>
      </c>
      <c r="I14" s="17" t="inlineStr">
        <is>
          <t>+20 ATK to all Divine units on its side</t>
        </is>
      </c>
      <c r="K14" s="17" t="inlineStr">
        <is>
          <t>3 ??? + 500 cost</t>
        </is>
      </c>
      <c r="L14" s="17" t="inlineStr">
        <is>
          <t>3 Choir Lady cards + 500 cost</t>
        </is>
      </c>
      <c r="M14" s="17" t="inlineStr">
        <is>
          <t>01100
01011
01001
11000
11000</t>
        </is>
      </c>
      <c r="N14" s="17" t="inlineStr">
        <is>
          <t>Yes</t>
        </is>
      </c>
      <c r="O14" s="17" t="inlineStr">
        <is>
          <t>Yes</t>
        </is>
      </c>
      <c r="P14" s="16" t="n"/>
    </row>
    <row r="15" ht="68.05" customHeight="1" s="47">
      <c r="A15" s="8" t="inlineStr">
        <is>
          <t>Raijin and Fujin</t>
        </is>
      </c>
      <c r="B15" s="9" t="inlineStr">
        <is>
          <t>Union</t>
        </is>
      </c>
      <c r="C15" s="16" t="n"/>
      <c r="D15" s="16" t="n">
        <v>80</v>
      </c>
      <c r="E15" s="16" t="n">
        <v>80</v>
      </c>
      <c r="F15" s="17" t="inlineStr">
        <is>
          <t>Divine</t>
        </is>
      </c>
      <c r="G15" s="16" t="n"/>
      <c r="H15" s="17" t="inlineStr">
        <is>
          <t>None</t>
        </is>
      </c>
      <c r="I15" s="17" t="inlineStr">
        <is>
          <t>None</t>
        </is>
      </c>
      <c r="K15" s="17" t="inlineStr">
        <is>
          <t>1 ??? + 1 ??? + 800 cost</t>
        </is>
      </c>
      <c r="L15" s="17" t="inlineStr">
        <is>
          <t>Raijin + Fujin + 800 cost</t>
        </is>
      </c>
      <c r="M15" s="17" t="inlineStr">
        <is>
          <t>10001
10001
10001
10001
10001</t>
        </is>
      </c>
      <c r="N15" s="17" t="inlineStr">
        <is>
          <t>Yes</t>
        </is>
      </c>
      <c r="O15" s="17" t="inlineStr">
        <is>
          <t>Yes</t>
        </is>
      </c>
      <c r="P15" s="16" t="n"/>
    </row>
    <row r="16" ht="92.05" customHeight="1" s="47">
      <c r="A16" s="8" t="inlineStr">
        <is>
          <t>Sky Protector</t>
        </is>
      </c>
      <c r="B16" s="9" t="inlineStr">
        <is>
          <t>Union</t>
        </is>
      </c>
      <c r="C16" s="16" t="n"/>
      <c r="D16" s="16" t="n">
        <v>0</v>
      </c>
      <c r="E16" s="16" t="n">
        <v>0</v>
      </c>
      <c r="F16" s="17" t="inlineStr">
        <is>
          <t>Divine</t>
        </is>
      </c>
      <c r="G16" s="16" t="n"/>
      <c r="H16" s="17" t="inlineStr">
        <is>
          <t>If this card defends, DEF becomes ???, ATK becomes ???. If this card performs attack, ATK becomes ???, DEF becomes ???.</t>
        </is>
      </c>
      <c r="I16" s="17" t="inlineStr">
        <is>
          <t>If this card defends, DEF becomes 60, ATK becomes 0. If this card performs attack, ATK becomes 60, DEF becomes 0.</t>
        </is>
      </c>
      <c r="K16" s="17" t="inlineStr">
        <is>
          <t>1 ??? + 1 ??? + 400 cost</t>
        </is>
      </c>
      <c r="L16" s="17" t="inlineStr">
        <is>
          <t>Sunrise Lady + Moonrise Gentleman + 400 cost</t>
        </is>
      </c>
      <c r="M16" s="17" t="inlineStr">
        <is>
          <t>11111
00000
00000
00000
00000</t>
        </is>
      </c>
      <c r="N16" s="17" t="inlineStr">
        <is>
          <t>Yes</t>
        </is>
      </c>
      <c r="O16" s="17" t="inlineStr">
        <is>
          <t>Yes</t>
        </is>
      </c>
      <c r="P16" s="16" t="n"/>
    </row>
    <row r="17" ht="68.05" customHeight="1" s="47">
      <c r="A17" s="8" t="inlineStr">
        <is>
          <t>Giant Mining Pod</t>
        </is>
      </c>
      <c r="B17" s="9" t="inlineStr">
        <is>
          <t>Union</t>
        </is>
      </c>
      <c r="C17" s="16" t="n"/>
      <c r="D17" s="16" t="n">
        <v>20</v>
      </c>
      <c r="E17" s="16" t="n">
        <v>80</v>
      </c>
      <c r="F17" s="17" t="inlineStr">
        <is>
          <t>Cosmic</t>
        </is>
      </c>
      <c r="G17" s="16" t="n"/>
      <c r="H17" s="17" t="inlineStr">
        <is>
          <t>If this card attacks a Dead End,  receive ???Crystals</t>
        </is>
      </c>
      <c r="I17" s="17" t="inlineStr">
        <is>
          <t>If this card attacks a Dead End, receive 200 Crystals</t>
        </is>
      </c>
      <c r="K17" s="17" t="inlineStr">
        <is>
          <t>1 ??? + 1 ??? + 500 cost</t>
        </is>
      </c>
      <c r="L17" s="17" t="inlineStr">
        <is>
          <t>1 Miner probe + 1 Cosmic + 500 cost</t>
        </is>
      </c>
      <c r="M17" s="17" t="inlineStr">
        <is>
          <t>11111
01110
01110
00100
00000</t>
        </is>
      </c>
      <c r="N17" s="17" t="inlineStr">
        <is>
          <t>Yes</t>
        </is>
      </c>
      <c r="O17" s="17" t="inlineStr">
        <is>
          <t>Yes</t>
        </is>
      </c>
      <c r="P17" s="16" t="n"/>
    </row>
    <row r="18" ht="68.05" customHeight="1" s="47">
      <c r="A18" s="8" t="inlineStr">
        <is>
          <t>Kitsune</t>
        </is>
      </c>
      <c r="B18" s="9" t="inlineStr">
        <is>
          <t>Union</t>
        </is>
      </c>
      <c r="C18" s="16" t="n"/>
      <c r="D18" s="16" t="n">
        <v>35</v>
      </c>
      <c r="E18" s="16" t="n">
        <v>35</v>
      </c>
      <c r="F18" s="17" t="inlineStr">
        <is>
          <t>Chaos</t>
        </is>
      </c>
      <c r="G18" s="16" t="n"/>
      <c r="H18" s="17" t="inlineStr">
        <is>
          <t>None</t>
        </is>
      </c>
      <c r="I18" s="17" t="inlineStr">
        <is>
          <t>None</t>
        </is>
      </c>
      <c r="K18" s="17" t="inlineStr">
        <is>
          <t>1 ??? + 1 ??? + 300 cost</t>
        </is>
      </c>
      <c r="L18" s="17" t="inlineStr">
        <is>
          <t>Dark Monk + 1 Chaos + 300 cost</t>
        </is>
      </c>
      <c r="M18" s="17" t="inlineStr">
        <is>
          <t>01100
00110
01100
00110
01100</t>
        </is>
      </c>
      <c r="N18" s="17" t="inlineStr">
        <is>
          <t>Yes</t>
        </is>
      </c>
      <c r="O18" s="17" t="inlineStr">
        <is>
          <t>Yes</t>
        </is>
      </c>
      <c r="P18" s="16" t="n"/>
    </row>
    <row r="19" ht="68.05" customHeight="1" s="47">
      <c r="A19" s="8" t="inlineStr">
        <is>
          <t>Ten Arms Yaksa</t>
        </is>
      </c>
      <c r="B19" s="9" t="inlineStr">
        <is>
          <t>Union</t>
        </is>
      </c>
      <c r="C19" s="16" t="n"/>
      <c r="D19" s="16" t="n">
        <v>45</v>
      </c>
      <c r="E19" s="16" t="n">
        <v>30</v>
      </c>
      <c r="F19" s="17" t="inlineStr">
        <is>
          <t>Chaos</t>
        </is>
      </c>
      <c r="G19" s="16" t="n"/>
      <c r="H19" s="17" t="inlineStr">
        <is>
          <t>This card can choose ?? attack targets. -?? ATK for each successful attack.</t>
        </is>
      </c>
      <c r="I19" s="17" t="inlineStr">
        <is>
          <t>This card can choose two attack targets. -5 ATK for each successful attack.</t>
        </is>
      </c>
      <c r="K19" s="17" t="inlineStr">
        <is>
          <t>1 ??? + 1 ??? + 600 cost</t>
        </is>
      </c>
      <c r="L19" s="17" t="inlineStr">
        <is>
          <t>Yaksa + 1 Chaos + 600 cost</t>
        </is>
      </c>
      <c r="M19" s="17" t="inlineStr">
        <is>
          <t>11011
00100
00100
01110
01010</t>
        </is>
      </c>
      <c r="N19" s="17" t="inlineStr">
        <is>
          <t>Yes</t>
        </is>
      </c>
      <c r="O19" s="17" t="inlineStr">
        <is>
          <t>Yes</t>
        </is>
      </c>
      <c r="P19" s="16" t="n"/>
    </row>
    <row r="20" ht="68.05" customHeight="1" s="47">
      <c r="A20" s="8" t="inlineStr">
        <is>
          <t>Skeleton Overlord</t>
        </is>
      </c>
      <c r="B20" s="9" t="inlineStr">
        <is>
          <t>Union</t>
        </is>
      </c>
      <c r="C20" s="16" t="n"/>
      <c r="D20" s="16" t="n">
        <v>50</v>
      </c>
      <c r="E20" s="16" t="n">
        <v>5</v>
      </c>
      <c r="F20" s="17" t="inlineStr">
        <is>
          <t>Chaos</t>
        </is>
      </c>
      <c r="G20" s="16" t="n"/>
      <c r="H20" s="17" t="inlineStr">
        <is>
          <t>None</t>
        </is>
      </c>
      <c r="I20" s="17" t="inlineStr">
        <is>
          <t>None</t>
        </is>
      </c>
      <c r="K20" s="17" t="inlineStr">
        <is>
          <t>3 ??? + 400 cost</t>
        </is>
      </c>
      <c r="L20" s="17" t="inlineStr">
        <is>
          <t>3 Skeleton cards + 400 cost</t>
        </is>
      </c>
      <c r="M20" s="17" t="inlineStr">
        <is>
          <t>01110
00000
11111
00000
01110</t>
        </is>
      </c>
      <c r="N20" s="17" t="inlineStr">
        <is>
          <t>Yes</t>
        </is>
      </c>
      <c r="O20" s="17" t="inlineStr">
        <is>
          <t>Yes</t>
        </is>
      </c>
      <c r="P20" s="16" t="n"/>
    </row>
    <row r="21" ht="68.05" customHeight="1" s="47">
      <c r="A21" s="8" t="inlineStr">
        <is>
          <t>Katana Shark</t>
        </is>
      </c>
      <c r="B21" s="9" t="inlineStr">
        <is>
          <t>Union</t>
        </is>
      </c>
      <c r="C21" s="16" t="n"/>
      <c r="D21" s="16" t="n">
        <v>75</v>
      </c>
      <c r="E21" s="16" t="n">
        <v>50</v>
      </c>
      <c r="F21" s="17" t="inlineStr">
        <is>
          <t>Nature</t>
        </is>
      </c>
      <c r="G21" s="16" t="n"/>
      <c r="H21" s="17" t="inlineStr">
        <is>
          <t>None</t>
        </is>
      </c>
      <c r="I21" s="17" t="inlineStr">
        <is>
          <t>None</t>
        </is>
      </c>
      <c r="K21" s="17" t="inlineStr">
        <is>
          <t>3 ??? + 800 cost</t>
        </is>
      </c>
      <c r="L21" s="17" t="inlineStr">
        <is>
          <t>3 ‘Sharks’ name + 800 cost</t>
        </is>
      </c>
      <c r="M21" s="17" t="inlineStr">
        <is>
          <t>11000
00100
00010
00010
00001</t>
        </is>
      </c>
      <c r="N21" s="17" t="inlineStr">
        <is>
          <t>Yes</t>
        </is>
      </c>
      <c r="O21" s="17" t="inlineStr">
        <is>
          <t>Yes</t>
        </is>
      </c>
      <c r="P21" s="16" t="n"/>
    </row>
    <row r="22" ht="68.05" customHeight="1" s="47">
      <c r="A22" s="8" t="inlineStr">
        <is>
          <t>Rocket Peacock</t>
        </is>
      </c>
      <c r="B22" s="9" t="inlineStr">
        <is>
          <t>Union</t>
        </is>
      </c>
      <c r="C22" s="16" t="n"/>
      <c r="D22" s="16" t="n">
        <v>150</v>
      </c>
      <c r="E22" s="16" t="n">
        <v>100</v>
      </c>
      <c r="F22" s="17" t="inlineStr">
        <is>
          <t>Nature</t>
        </is>
      </c>
      <c r="G22" s="16" t="n"/>
      <c r="H22" s="17" t="inlineStr">
        <is>
          <t>After this card battles, select 1 foe’s card, flip a coin. Head: ???</t>
        </is>
      </c>
      <c r="I22" s="17" t="inlineStr">
        <is>
          <t>After this card battles, select 1 foe’s card, flip a coin. Heads: destroy that card</t>
        </is>
      </c>
      <c r="J22" t="inlineStr">
        <is>
          <t>Full: Head→Heads</t>
        </is>
      </c>
      <c r="K22" s="17" t="inlineStr">
        <is>
          <t>1 ??? + 1 ??? + 1500 cost</t>
        </is>
      </c>
      <c r="L22" s="17" t="inlineStr">
        <is>
          <t>Ostrich Cannon + 1 Nature + 1500 cost</t>
        </is>
      </c>
      <c r="M22" s="17" t="inlineStr">
        <is>
          <t>10001
10001
10001
00000
00100</t>
        </is>
      </c>
      <c r="N22" s="17" t="inlineStr">
        <is>
          <t>Yes</t>
        </is>
      </c>
      <c r="O22" s="17" t="inlineStr">
        <is>
          <t>Yes</t>
        </is>
      </c>
      <c r="P22" s="16" t="n"/>
    </row>
    <row r="23" ht="68.05" customHeight="1" s="47">
      <c r="A23" s="8" t="inlineStr">
        <is>
          <t>Scarlet Shroom</t>
        </is>
      </c>
      <c r="B23" s="9" t="inlineStr">
        <is>
          <t>Union</t>
        </is>
      </c>
      <c r="C23" s="16" t="n"/>
      <c r="D23" s="16" t="n">
        <v>0</v>
      </c>
      <c r="E23" s="16" t="n">
        <v>80</v>
      </c>
      <c r="F23" s="17" t="inlineStr">
        <is>
          <t>Nature</t>
        </is>
      </c>
      <c r="G23" s="16" t="n"/>
      <c r="H23" s="17" t="inlineStr">
        <is>
          <t xml:space="preserve">If ???, put venom flag on all ???. </t>
        </is>
      </c>
      <c r="I23" s="17" t="inlineStr">
        <is>
          <t>Once Union, put venom flag on all foe’s Exposed unit</t>
        </is>
      </c>
      <c r="J23" t="inlineStr">
        <is>
          <t>Full: wording polish</t>
        </is>
      </c>
      <c r="K23" s="17" t="inlineStr">
        <is>
          <t>2 ??? + 500 cost</t>
        </is>
      </c>
      <c r="L23" s="17" t="inlineStr">
        <is>
          <t>2 Nature cards + 500 cost</t>
        </is>
      </c>
      <c r="M23" s="17" t="inlineStr">
        <is>
          <t>11111
00100
00100
00100
00000</t>
        </is>
      </c>
      <c r="N23" s="17" t="inlineStr">
        <is>
          <t>Yes</t>
        </is>
      </c>
      <c r="O23" s="17" t="inlineStr">
        <is>
          <t>Yes</t>
        </is>
      </c>
      <c r="P23" s="16" t="n"/>
    </row>
    <row r="24" ht="68.05" customHeight="1" s="47">
      <c r="A24" s="8" t="inlineStr">
        <is>
          <t>Ancient Lizard</t>
        </is>
      </c>
      <c r="B24" s="9" t="inlineStr">
        <is>
          <t>Union</t>
        </is>
      </c>
      <c r="C24" s="16" t="n"/>
      <c r="D24" s="16" t="n">
        <v>75</v>
      </c>
      <c r="E24" s="16" t="n">
        <v>75</v>
      </c>
      <c r="F24" s="17" t="inlineStr">
        <is>
          <t>Nature</t>
        </is>
      </c>
      <c r="G24" s="16" t="n"/>
      <c r="H24" s="17" t="inlineStr">
        <is>
          <t>None</t>
        </is>
      </c>
      <c r="I24" s="17" t="inlineStr">
        <is>
          <t>None</t>
        </is>
      </c>
      <c r="K24" s="17" t="inlineStr">
        <is>
          <t>1 ??? + 1 ???+ 800 cost</t>
        </is>
      </c>
      <c r="L24" s="17" t="inlineStr">
        <is>
          <t>1 Flame Lizard + 1 Nature + 800 cost</t>
        </is>
      </c>
      <c r="M24" s="17" t="inlineStr">
        <is>
          <t>00000
00100
01110
00100
00000</t>
        </is>
      </c>
      <c r="N24" s="17" t="inlineStr">
        <is>
          <t>Yes</t>
        </is>
      </c>
      <c r="O24" s="17" t="inlineStr">
        <is>
          <t>Yes</t>
        </is>
      </c>
      <c r="P24" s="16" t="n"/>
    </row>
    <row r="25" ht="68.05" customHeight="1" s="47">
      <c r="A25" s="8" t="inlineStr">
        <is>
          <t>Burning Phoenix</t>
        </is>
      </c>
      <c r="B25" s="9" t="inlineStr">
        <is>
          <t>Union</t>
        </is>
      </c>
      <c r="C25" s="16" t="n"/>
      <c r="D25" s="16" t="n">
        <v>125</v>
      </c>
      <c r="E25" s="16" t="n">
        <v>50</v>
      </c>
      <c r="F25" s="17" t="inlineStr">
        <is>
          <t>Arcane</t>
        </is>
      </c>
      <c r="G25" s="16" t="n"/>
      <c r="H25" s="17" t="inlineStr">
        <is>
          <t>Cannot be destroyed by ???. If targeted by tech, ???</t>
        </is>
      </c>
      <c r="I25" s="17" t="inlineStr">
        <is>
          <t>Cannot be destroyed by non-union cards. If targeted by Tech, destroy this card.</t>
        </is>
      </c>
      <c r="J25" t="inlineStr">
        <is>
          <t>Full: wording polish</t>
        </is>
      </c>
      <c r="K25" s="17" t="inlineStr">
        <is>
          <t>1 ??? + 1 ??? + 1 ??? + 800 cost</t>
        </is>
      </c>
      <c r="L25" s="17" t="inlineStr">
        <is>
          <t>1 Arcane (≥ 500 cost) + 1 Nature (≥ 500 cost) + 1 Divine (≥ 500 cost) + 800 cost</t>
        </is>
      </c>
      <c r="M25" s="17" t="inlineStr">
        <is>
          <t>00100
01110
10101
00000
00000</t>
        </is>
      </c>
      <c r="N25" s="17" t="inlineStr">
        <is>
          <t>Yes</t>
        </is>
      </c>
      <c r="O25" s="17" t="inlineStr">
        <is>
          <t>Yes</t>
        </is>
      </c>
      <c r="P25" s="16" t="n"/>
    </row>
    <row r="26" ht="68.05" customHeight="1" s="47">
      <c r="A26" s="8" t="inlineStr">
        <is>
          <t>Berserk Hyena</t>
        </is>
      </c>
      <c r="B26" s="9" t="inlineStr">
        <is>
          <t>Union</t>
        </is>
      </c>
      <c r="C26" s="16" t="n"/>
      <c r="D26" s="16" t="n">
        <v>40</v>
      </c>
      <c r="E26" s="16" t="n">
        <v>0</v>
      </c>
      <c r="F26" s="17" t="inlineStr">
        <is>
          <t>Nature</t>
        </is>
      </c>
      <c r="G26" s="16" t="n"/>
      <c r="H26" s="17" t="inlineStr">
        <is>
          <t>None</t>
        </is>
      </c>
      <c r="I26" s="17" t="inlineStr">
        <is>
          <t>None</t>
        </is>
      </c>
      <c r="K26" s="17" t="inlineStr">
        <is>
          <t>2 ???+ 500 cost</t>
        </is>
      </c>
      <c r="L26" s="17" t="inlineStr">
        <is>
          <t>2 Nature + 500 cost</t>
        </is>
      </c>
      <c r="M26" s="17" t="inlineStr">
        <is>
          <t>00000
11111
10101
10101
00000</t>
        </is>
      </c>
      <c r="N26" s="17" t="inlineStr">
        <is>
          <t>Yes</t>
        </is>
      </c>
      <c r="O26" s="17" t="inlineStr">
        <is>
          <t>Yes</t>
        </is>
      </c>
      <c r="P26" s="16" t="n"/>
    </row>
    <row r="27" ht="80.05" customHeight="1" s="47">
      <c r="A27" s="8" t="inlineStr">
        <is>
          <t>False Prophet</t>
        </is>
      </c>
      <c r="B27" s="9" t="inlineStr">
        <is>
          <t>Union</t>
        </is>
      </c>
      <c r="C27" s="16" t="n"/>
      <c r="D27" s="16" t="n">
        <v>20</v>
      </c>
      <c r="E27" s="16" t="n">
        <v>40</v>
      </c>
      <c r="F27" s="17" t="inlineStr">
        <is>
          <t>Divine</t>
        </is>
      </c>
      <c r="G27" s="16" t="n"/>
      <c r="H27" s="17" t="inlineStr">
        <is>
          <t>At their turn’s end: Reveal ???. If it was a Dead End, destroy this card. Otherwise, gain ???</t>
        </is>
      </c>
      <c r="I27" s="17" t="inlineStr">
        <is>
          <t>At their turn’s end: Reveal 1 foe’s cell. If it was a Dead End, destroy this card. Otherwise, gain 600 Crystals.</t>
        </is>
      </c>
      <c r="J27" t="inlineStr">
        <is>
          <t>Full: wording polish</t>
        </is>
      </c>
      <c r="K27" s="17" t="inlineStr">
        <is>
          <t>2 ??? + 300 cost</t>
        </is>
      </c>
      <c r="L27" s="17" t="inlineStr">
        <is>
          <t>2 Divine cards + 300 cost</t>
        </is>
      </c>
      <c r="M27" s="17" t="inlineStr">
        <is>
          <t>00100
01010
00100
00000
00000</t>
        </is>
      </c>
      <c r="N27" s="17" t="inlineStr">
        <is>
          <t>Yes</t>
        </is>
      </c>
      <c r="O27" s="17" t="inlineStr">
        <is>
          <t>Yes</t>
        </is>
      </c>
      <c r="P27" s="16" t="n"/>
    </row>
    <row r="28" ht="68.05" customHeight="1" s="47">
      <c r="A28" s="8" t="inlineStr">
        <is>
          <t>Colorful Mage</t>
        </is>
      </c>
      <c r="B28" s="9" t="inlineStr">
        <is>
          <t>Union</t>
        </is>
      </c>
      <c r="C28" s="16" t="n"/>
      <c r="D28" s="16" t="n">
        <v>40</v>
      </c>
      <c r="E28" s="16" t="n">
        <v>40</v>
      </c>
      <c r="F28" s="17" t="inlineStr">
        <is>
          <t>Arcane</t>
        </is>
      </c>
      <c r="G28" s="16" t="n"/>
      <c r="H28" s="17" t="inlineStr">
        <is>
          <t>Foe’s non-Arcane get ??? in Reckoning with this card</t>
        </is>
      </c>
      <c r="I28" s="17" t="inlineStr">
        <is>
          <t>Foe’s non-Arcane get -10 ATK and DEF permanently in Reckoning with this card</t>
        </is>
      </c>
      <c r="J28" t="inlineStr">
        <is>
          <t>Full: ATK&amp;DEF→ATK and DEF</t>
        </is>
      </c>
      <c r="K28" s="17" t="inlineStr">
        <is>
          <t>??? + ???+ ??? + 500 cost</t>
        </is>
      </c>
      <c r="L28" s="17" t="inlineStr">
        <is>
          <t>Red Mage + Green Mage + Blue Mage + 500 cost</t>
        </is>
      </c>
      <c r="M28" s="17" t="inlineStr">
        <is>
          <t>00001
00010
01100
01100
10000</t>
        </is>
      </c>
      <c r="N28" s="17" t="inlineStr">
        <is>
          <t>Yes</t>
        </is>
      </c>
      <c r="O28" s="17" t="inlineStr">
        <is>
          <t>Yes</t>
        </is>
      </c>
      <c r="P28" s="16" t="n"/>
    </row>
    <row r="29" ht="80.05" customHeight="1" s="47">
      <c r="A29" s="8" t="inlineStr">
        <is>
          <t>Grand Fort Captain</t>
        </is>
      </c>
      <c r="B29" s="9" t="inlineStr">
        <is>
          <t>Union</t>
        </is>
      </c>
      <c r="C29" s="16" t="n"/>
      <c r="D29" s="16" t="n">
        <v>45</v>
      </c>
      <c r="E29" s="16" t="n">
        <v>40</v>
      </c>
      <c r="F29" s="17" t="inlineStr">
        <is>
          <t>Anima</t>
        </is>
      </c>
      <c r="G29" s="16" t="n"/>
      <c r="H29" s="17" t="inlineStr">
        <is>
          <t>None</t>
        </is>
      </c>
      <c r="I29" s="17" t="inlineStr">
        <is>
          <t>None</t>
        </is>
      </c>
      <c r="K29" s="17" t="inlineStr">
        <is>
          <t>2 ??? + 500 cost</t>
        </is>
      </c>
      <c r="L29" s="17" t="inlineStr">
        <is>
          <t>2 Grand Fort card + 500 cost</t>
        </is>
      </c>
      <c r="M29" s="17" t="inlineStr">
        <is>
          <t xml:space="preserve">00000
00100 
01110
00100
00000
</t>
        </is>
      </c>
      <c r="N29" s="17" t="inlineStr">
        <is>
          <t>Yes</t>
        </is>
      </c>
      <c r="O29" s="17" t="inlineStr">
        <is>
          <t>Yes</t>
        </is>
      </c>
      <c r="P29" s="16" t="n"/>
    </row>
    <row r="30" ht="80.05" customHeight="1" s="47">
      <c r="A30" s="8" t="inlineStr">
        <is>
          <t>Volatile Slasher</t>
        </is>
      </c>
      <c r="B30" s="9" t="inlineStr">
        <is>
          <t>Union</t>
        </is>
      </c>
      <c r="C30" s="16" t="n"/>
      <c r="D30" s="16" t="n">
        <v>50</v>
      </c>
      <c r="E30" s="16" t="n">
        <v>45</v>
      </c>
      <c r="F30" s="17" t="inlineStr">
        <is>
          <t>Bio</t>
        </is>
      </c>
      <c r="G30" s="16" t="n"/>
      <c r="H30" s="17" t="inlineStr">
        <is>
          <t>Once, after Reckoning with non-Bio, it gain ???.</t>
        </is>
      </c>
      <c r="I30" s="17" t="inlineStr">
        <is>
          <t>Once: after Reckoning with non-Bio, it gain +50 ATK permanently.</t>
        </is>
      </c>
      <c r="J30" t="inlineStr">
        <is>
          <t>Full: wording polish</t>
        </is>
      </c>
      <c r="K30" s="17" t="inlineStr">
        <is>
          <t>1 ??? + 1 ??? + 1000 cost</t>
        </is>
      </c>
      <c r="L30" s="17" t="inlineStr">
        <is>
          <t>1 Bladeshifter + 1 Bio card + 1000 cost</t>
        </is>
      </c>
      <c r="M30" s="17" t="inlineStr">
        <is>
          <t xml:space="preserve">10000
01100 
01100
01100
10000
</t>
        </is>
      </c>
      <c r="N30" s="17" t="inlineStr">
        <is>
          <t>Yes</t>
        </is>
      </c>
      <c r="O30" s="17" t="inlineStr">
        <is>
          <t>Yes</t>
        </is>
      </c>
      <c r="P30" s="16" t="n"/>
    </row>
    <row r="31" ht="80.05" customHeight="1" s="47">
      <c r="A31" s="8" t="inlineStr">
        <is>
          <t>Moon Tribe Shaman</t>
        </is>
      </c>
      <c r="B31" s="9" t="inlineStr">
        <is>
          <t>Union</t>
        </is>
      </c>
      <c r="C31" s="16" t="n"/>
      <c r="D31" s="16" t="n">
        <v>25</v>
      </c>
      <c r="E31" s="16" t="n">
        <v>55</v>
      </c>
      <c r="F31" s="17" t="inlineStr">
        <is>
          <t>Cosmic</t>
        </is>
      </c>
      <c r="G31" s="16" t="n"/>
      <c r="H31" s="17" t="inlineStr">
        <is>
          <t>Upon union, revive 1 ???. Double its cost.</t>
        </is>
      </c>
      <c r="I31" s="17" t="inlineStr">
        <is>
          <t>Upon union, revive 1 Moon non-Union card. Double its cost.</t>
        </is>
      </c>
      <c r="K31" s="17" t="inlineStr">
        <is>
          <t>1 ??? + 1 ??? + 500 cost</t>
        </is>
      </c>
      <c r="L31" s="17" t="inlineStr">
        <is>
          <t>1 Moon card+ 1 Cosmic card + 500 cost</t>
        </is>
      </c>
      <c r="M31" s="17" t="inlineStr">
        <is>
          <t xml:space="preserve">10001
01010 
00100
00100
00100
</t>
        </is>
      </c>
      <c r="N31" s="17" t="inlineStr">
        <is>
          <t>Yes</t>
        </is>
      </c>
      <c r="O31" s="17" t="inlineStr">
        <is>
          <t>Yes</t>
        </is>
      </c>
      <c r="P31" s="16" t="n"/>
    </row>
    <row r="32" ht="80.05" customHeight="1" s="47">
      <c r="A32" s="8" t="inlineStr">
        <is>
          <t>Rebel King</t>
        </is>
      </c>
      <c r="B32" s="9" t="inlineStr">
        <is>
          <t>Union</t>
        </is>
      </c>
      <c r="C32" s="16" t="n"/>
      <c r="D32" s="16" t="n">
        <v>60</v>
      </c>
      <c r="E32" s="16" t="n">
        <v>40</v>
      </c>
      <c r="F32" s="17" t="inlineStr">
        <is>
          <t>Anima</t>
        </is>
      </c>
      <c r="G32" s="16" t="n"/>
      <c r="H32" s="17" t="inlineStr">
        <is>
          <t>At the end of foe’s turn: ??? and swap its ATK and DEF</t>
        </is>
      </c>
      <c r="I32" s="17" t="inlineStr">
        <is>
          <t>At the end of foe’s turn: the owner of this card select 1 Exposed foe’s unit and swap its ATK and DEF</t>
        </is>
      </c>
      <c r="J32" t="inlineStr">
        <is>
          <t>Partial: ATK&amp;DEF→ATK and DEF | Full: ATK&amp;DEF→ATK and DEF</t>
        </is>
      </c>
      <c r="K32" s="17" t="inlineStr">
        <is>
          <t>??? + ??? + 800 cost</t>
        </is>
      </c>
      <c r="L32" s="17" t="inlineStr">
        <is>
          <t>Jirayu the Rebellious Prince + 1 Anima card (≥ 500 cost) + 800 cost</t>
        </is>
      </c>
      <c r="M32" s="17" t="inlineStr">
        <is>
          <t xml:space="preserve">00100
00000 
10101
00100
00100
</t>
        </is>
      </c>
      <c r="N32" s="17" t="inlineStr">
        <is>
          <t>Yes</t>
        </is>
      </c>
      <c r="O32" s="17" t="inlineStr">
        <is>
          <t>Yes</t>
        </is>
      </c>
      <c r="P32" s="16" t="n"/>
    </row>
    <row r="33" ht="80.05" customHeight="1" s="47">
      <c r="A33" s="8" t="inlineStr">
        <is>
          <t>Kiba the Giant Slayer</t>
        </is>
      </c>
      <c r="B33" s="9" t="inlineStr">
        <is>
          <t>Union</t>
        </is>
      </c>
      <c r="C33" s="16" t="n"/>
      <c r="D33" s="16" t="n">
        <v>80</v>
      </c>
      <c r="E33" s="16" t="n">
        <v>55</v>
      </c>
      <c r="F33" s="17" t="inlineStr">
        <is>
          <t>Anima</t>
        </is>
      </c>
      <c r="G33" s="16" t="n"/>
      <c r="H33" s="17" t="inlineStr">
        <is>
          <t>+??? vs Union</t>
        </is>
      </c>
      <c r="I33" s="17" t="inlineStr">
        <is>
          <t>+30 ATK vs Union</t>
        </is>
      </c>
      <c r="K33" s="17" t="inlineStr">
        <is>
          <t>??? + ??? + 1000 cost</t>
        </is>
      </c>
      <c r="L33" s="17" t="inlineStr">
        <is>
          <t>Kiyoko the Death Whisper + Silver Spearman + 1000 cost</t>
        </is>
      </c>
      <c r="M33" s="17" t="inlineStr">
        <is>
          <t xml:space="preserve">01010
01010 
01010
01010
01010
</t>
        </is>
      </c>
      <c r="N33" s="17" t="inlineStr">
        <is>
          <t>Yes</t>
        </is>
      </c>
      <c r="O33" s="17" t="inlineStr">
        <is>
          <t>Yes</t>
        </is>
      </c>
      <c r="P33" s="16" t="n"/>
    </row>
    <row r="34" ht="80.05" customHeight="1" s="47">
      <c r="A34" s="8" t="inlineStr">
        <is>
          <t>Moon Lady Ninja</t>
        </is>
      </c>
      <c r="B34" s="9" t="inlineStr">
        <is>
          <t>Union</t>
        </is>
      </c>
      <c r="C34" s="16" t="n"/>
      <c r="D34" s="16" t="n">
        <v>65</v>
      </c>
      <c r="E34" s="16" t="n">
        <v>50</v>
      </c>
      <c r="F34" s="17" t="inlineStr">
        <is>
          <t>Anima</t>
        </is>
      </c>
      <c r="G34" s="16" t="n"/>
      <c r="H34" s="17" t="inlineStr">
        <is>
          <t>Once, this card is ???.</t>
        </is>
      </c>
      <c r="I34" s="17" t="inlineStr">
        <is>
          <t>Once: this card is not destroyed.</t>
        </is>
      </c>
      <c r="J34" t="inlineStr">
        <is>
          <t>Full: wording polish</t>
        </is>
      </c>
      <c r="K34" s="17" t="inlineStr">
        <is>
          <t>??? + ??? + 800 cost</t>
        </is>
      </c>
      <c r="L34" s="17" t="inlineStr">
        <is>
          <t>Kiyoko the Death Whisper + 1 Anima card + 800 cost</t>
        </is>
      </c>
      <c r="M34" s="17" t="inlineStr">
        <is>
          <t xml:space="preserve">00100
00100 
01110
00100
00100
</t>
        </is>
      </c>
      <c r="N34" s="17" t="inlineStr">
        <is>
          <t>Yes</t>
        </is>
      </c>
      <c r="O34" s="17" t="inlineStr">
        <is>
          <t>Yes</t>
        </is>
      </c>
      <c r="P34" s="16" t="n"/>
    </row>
    <row r="35" ht="80.05" customHeight="1" s="47">
      <c r="A35" s="8" t="inlineStr">
        <is>
          <t>Imperial Frame</t>
        </is>
      </c>
      <c r="B35" s="9" t="inlineStr">
        <is>
          <t>Union</t>
        </is>
      </c>
      <c r="C35" s="16" t="n"/>
      <c r="D35" s="16" t="n">
        <v>45</v>
      </c>
      <c r="E35" s="16" t="n">
        <v>30</v>
      </c>
      <c r="F35" s="17" t="inlineStr">
        <is>
          <t>Cosmic</t>
        </is>
      </c>
      <c r="G35" s="16" t="n"/>
      <c r="H35" s="17" t="inlineStr">
        <is>
          <t>None</t>
        </is>
      </c>
      <c r="I35" s="17" t="inlineStr">
        <is>
          <t>None</t>
        </is>
      </c>
      <c r="K35" s="17" t="inlineStr">
        <is>
          <t>??? + ??? + 500 cost</t>
        </is>
      </c>
      <c r="L35" s="17" t="inlineStr">
        <is>
          <t>Laser Walker + 1 Cosmic card + 500 cost</t>
        </is>
      </c>
      <c r="M35" s="17" t="inlineStr">
        <is>
          <t xml:space="preserve">00111
00001
10001
10000
11100
</t>
        </is>
      </c>
      <c r="N35" s="17" t="inlineStr">
        <is>
          <t>Yes</t>
        </is>
      </c>
      <c r="O35" s="17" t="inlineStr">
        <is>
          <t>Yes</t>
        </is>
      </c>
      <c r="P35" s="16" t="n"/>
    </row>
    <row r="36" ht="80.05" customHeight="1" s="47">
      <c r="A36" s="8" t="inlineStr">
        <is>
          <t>Giant Meteor Vergaia</t>
        </is>
      </c>
      <c r="B36" s="9" t="inlineStr">
        <is>
          <t>Union</t>
        </is>
      </c>
      <c r="C36" s="16" t="n"/>
      <c r="D36" s="16" t="n">
        <v>60</v>
      </c>
      <c r="E36" s="16" t="n">
        <v>0</v>
      </c>
      <c r="F36" s="17" t="inlineStr">
        <is>
          <t>Cosmic</t>
        </is>
      </c>
      <c r="G36" s="16" t="n"/>
      <c r="H36" s="17" t="inlineStr">
        <is>
          <t>Destroy it at turn's end, then destroy all ???</t>
        </is>
      </c>
      <c r="I36" s="17" t="inlineStr">
        <is>
          <t>Destroy it at turn's end, then destroy all Exposed foe’s units surrounding the card that this card attacked.</t>
        </is>
      </c>
      <c r="J36" t="inlineStr">
        <is>
          <t>Full: wording polish</t>
        </is>
      </c>
      <c r="K36" s="17" t="inlineStr">
        <is>
          <t>??? + ??? + 1000 cost</t>
        </is>
      </c>
      <c r="L36" s="17" t="inlineStr">
        <is>
          <t>Striker Comet + 2 Cosmic card + 1000 cost</t>
        </is>
      </c>
      <c r="M36" s="17" t="inlineStr">
        <is>
          <t xml:space="preserve">10000
01000 
00000
00111
00111
</t>
        </is>
      </c>
      <c r="N36" s="17" t="inlineStr">
        <is>
          <t>Yes</t>
        </is>
      </c>
      <c r="O36" s="17" t="inlineStr">
        <is>
          <t>Yes</t>
        </is>
      </c>
      <c r="P36" s="16" t="n"/>
    </row>
    <row r="37" ht="68.05" customHeight="1" s="47">
      <c r="A37" s="8" t="inlineStr">
        <is>
          <t>Blood-hungry Mutant</t>
        </is>
      </c>
      <c r="B37" s="9" t="inlineStr">
        <is>
          <t>Union</t>
        </is>
      </c>
      <c r="C37" s="16" t="n"/>
      <c r="D37" s="16" t="n">
        <v>55</v>
      </c>
      <c r="E37" s="16" t="n">
        <v>40</v>
      </c>
      <c r="F37" s="17" t="inlineStr">
        <is>
          <t>Cosmic</t>
        </is>
      </c>
      <c r="G37" s="16" t="n"/>
      <c r="H37" s="17" t="inlineStr">
        <is>
          <t>After destroying foe’s card: ???</t>
        </is>
      </c>
      <c r="I37" s="17" t="inlineStr">
        <is>
          <t>After destroying foe’s card: +80 Crystals</t>
        </is>
      </c>
      <c r="K37" s="17" t="inlineStr">
        <is>
          <t>2 ??? + 600 cost</t>
        </is>
      </c>
      <c r="L37" s="17" t="inlineStr">
        <is>
          <t>2 Mutant cards + 600 cost</t>
        </is>
      </c>
      <c r="M37" s="17" t="inlineStr">
        <is>
          <t>00000
01010
10101
01010
00000</t>
        </is>
      </c>
      <c r="N37" s="17" t="inlineStr">
        <is>
          <t>Yes</t>
        </is>
      </c>
      <c r="O37" s="17" t="inlineStr">
        <is>
          <t>Yes</t>
        </is>
      </c>
      <c r="P37" s="16" t="n"/>
    </row>
    <row r="38" ht="80.05" customHeight="1" s="47">
      <c r="A38" s="8" t="inlineStr">
        <is>
          <t>Gamma Mermaid</t>
        </is>
      </c>
      <c r="B38" s="9" t="inlineStr">
        <is>
          <t>Union</t>
        </is>
      </c>
      <c r="C38" s="16" t="n"/>
      <c r="D38" s="16" t="n">
        <v>30</v>
      </c>
      <c r="E38" s="16" t="n">
        <v>20</v>
      </c>
      <c r="F38" s="17" t="inlineStr">
        <is>
          <t>Bio</t>
        </is>
      </c>
      <c r="G38" s="16" t="n"/>
      <c r="H38" s="17" t="inlineStr">
        <is>
          <t>Non-Bio defender get ???. With Mutagen Flag: +20 ???</t>
        </is>
      </c>
      <c r="I38" s="17" t="inlineStr">
        <is>
          <t>Non-Bio defender get -20 DEF. With Mutagen flag: +20 ATK and DEF to all ally Bio units</t>
        </is>
      </c>
      <c r="J38" t="inlineStr">
        <is>
          <t>Full: ATK&amp;DEF→ATK and DEF</t>
        </is>
      </c>
      <c r="K38" s="17" t="inlineStr">
        <is>
          <t>??? + ??? + 1000 cost</t>
        </is>
      </c>
      <c r="L38" s="17" t="inlineStr">
        <is>
          <t>1 Gamma cards + 1 Bio card + 500 cost</t>
        </is>
      </c>
      <c r="M38" s="17" t="inlineStr">
        <is>
          <t xml:space="preserve">00000
01110 
01010
01110
00000
</t>
        </is>
      </c>
      <c r="N38" s="17" t="inlineStr">
        <is>
          <t>Yes</t>
        </is>
      </c>
      <c r="O38" s="17" t="inlineStr">
        <is>
          <t>Yes</t>
        </is>
      </c>
      <c r="P38" s="16" t="n"/>
    </row>
    <row r="39" ht="68.05" customHeight="1" s="47">
      <c r="A39" s="8" t="inlineStr">
        <is>
          <t>Tendrill Tyrant</t>
        </is>
      </c>
      <c r="B39" s="9" t="inlineStr">
        <is>
          <t>Union</t>
        </is>
      </c>
      <c r="C39" s="16" t="n"/>
      <c r="D39" s="16" t="n">
        <v>90</v>
      </c>
      <c r="E39" s="16" t="n">
        <v>110</v>
      </c>
      <c r="F39" s="17" t="inlineStr">
        <is>
          <t>Bio</t>
        </is>
      </c>
      <c r="G39" s="16" t="n"/>
      <c r="H39" s="17" t="inlineStr">
        <is>
          <t>Can attack ? times per turn</t>
        </is>
      </c>
      <c r="I39" s="17" t="inlineStr">
        <is>
          <t>Can attack 3 times per turn</t>
        </is>
      </c>
      <c r="K39" s="17" t="inlineStr">
        <is>
          <t>1 ??? + 2 ??? + 1500 cost</t>
        </is>
      </c>
      <c r="L39" s="17" t="inlineStr">
        <is>
          <t>1 Bio with mutagen flag + 2 Bio (≥ 800 cost) + 1500 cost</t>
        </is>
      </c>
      <c r="M39" s="17" t="inlineStr">
        <is>
          <t>00100
00100
11111
00100
00100</t>
        </is>
      </c>
      <c r="N39" s="16" t="n"/>
      <c r="O39" s="16" t="n"/>
      <c r="P39" s="16" t="n"/>
    </row>
    <row r="40" ht="68.05" customHeight="1" s="47">
      <c r="A40" s="8" t="inlineStr">
        <is>
          <t>Helios the Prideful Fortress</t>
        </is>
      </c>
      <c r="B40" s="9" t="inlineStr">
        <is>
          <t>Union</t>
        </is>
      </c>
      <c r="C40" s="16" t="n"/>
      <c r="D40" s="16" t="n">
        <v>145</v>
      </c>
      <c r="E40" s="16" t="n">
        <v>100</v>
      </c>
      <c r="F40" s="17" t="inlineStr">
        <is>
          <t>Cosmic</t>
        </is>
      </c>
      <c r="G40" s="16" t="n"/>
      <c r="H40" s="17" t="inlineStr">
        <is>
          <t>As long as there is exposed ???, this card cannot be ???</t>
        </is>
      </c>
      <c r="I40" s="17" t="inlineStr">
        <is>
          <t>With another exposed Cosmic: this card cannot be destroyed</t>
        </is>
      </c>
      <c r="K40" s="17" t="inlineStr">
        <is>
          <t>2 ??? + 1500 cost</t>
        </is>
      </c>
      <c r="L40" s="17" t="inlineStr">
        <is>
          <t>2 Cosmic (≥ 800 cost) + 1500 cost</t>
        </is>
      </c>
      <c r="M40" s="17" t="inlineStr">
        <is>
          <t>00100
01010
10001
01010
00100</t>
        </is>
      </c>
      <c r="N40" s="16" t="n"/>
      <c r="O40" s="16" t="n"/>
      <c r="P40" s="16" t="n"/>
    </row>
    <row r="41" ht="68.05" customHeight="1" s="47">
      <c r="A41" s="8" t="inlineStr">
        <is>
          <t>Slim Gray Plasma Bomber</t>
        </is>
      </c>
      <c r="B41" s="9" t="inlineStr">
        <is>
          <t>Union</t>
        </is>
      </c>
      <c r="C41" s="16" t="n"/>
      <c r="D41" s="16" t="n">
        <v>80</v>
      </c>
      <c r="E41" s="16" t="n">
        <v>60</v>
      </c>
      <c r="F41" s="17" t="inlineStr">
        <is>
          <t>Cosmic</t>
        </is>
      </c>
      <c r="G41" s="16" t="n"/>
      <c r="H41" s="17" t="inlineStr">
        <is>
          <t>+?? ATK and DEF if ?? or more of cells on its side is revealed</t>
        </is>
      </c>
      <c r="I41" s="17" t="inlineStr">
        <is>
          <t>+100 ATK and DEF if 15 or more cells on its side is revealed</t>
        </is>
      </c>
      <c r="J41" t="inlineStr">
        <is>
          <t>Partial: ATK&amp;DEF→ATK and DEF | Full: ATK&amp;DEF→ATK and DEF</t>
        </is>
      </c>
      <c r="K41" s="17" t="inlineStr">
        <is>
          <t>1 ??? + 1 ??? + 1000 cost</t>
        </is>
      </c>
      <c r="L41" s="17" t="inlineStr">
        <is>
          <t>1 Slim Gray + 1 Cosmic (≥ 800 cost) + 1000 cost</t>
        </is>
      </c>
      <c r="M41" s="17" t="inlineStr">
        <is>
          <t>00100
01110
01010
01110
00000</t>
        </is>
      </c>
      <c r="N41" s="16" t="n"/>
      <c r="O41" s="16" t="n"/>
      <c r="P41" s="16" t="n"/>
    </row>
    <row r="42" ht="68.05" customHeight="1" s="47">
      <c r="A42" s="8" t="inlineStr">
        <is>
          <t>Interplanetary Assassin</t>
        </is>
      </c>
      <c r="B42" s="9" t="inlineStr">
        <is>
          <t>Union</t>
        </is>
      </c>
      <c r="C42" s="16" t="n"/>
      <c r="D42" s="16" t="n">
        <v>50</v>
      </c>
      <c r="E42" s="16" t="n">
        <v>70</v>
      </c>
      <c r="F42" s="17" t="inlineStr">
        <is>
          <t>Cosmic</t>
        </is>
      </c>
      <c r="G42" s="16" t="n"/>
      <c r="H42" s="17" t="inlineStr">
        <is>
          <t>+?? ATK vs Cosmic</t>
        </is>
      </c>
      <c r="I42" s="17" t="inlineStr">
        <is>
          <t>+100 ATK vs Cosmic</t>
        </is>
      </c>
      <c r="K42" s="17" t="inlineStr">
        <is>
          <t>1 ??? + 1 ??? + 1500 cost</t>
        </is>
      </c>
      <c r="L42" s="17" t="inlineStr">
        <is>
          <t>1 Cosmic (≥ 500 cost) + 1 Cosmic + 1500 cost</t>
        </is>
      </c>
      <c r="M42" s="17" t="inlineStr">
        <is>
          <t>00100
11111
00000
11111
00100</t>
        </is>
      </c>
      <c r="N42" s="16" t="n"/>
      <c r="O42" s="16" t="n"/>
      <c r="P42" s="16" t="n"/>
    </row>
    <row r="43" ht="68.05" customHeight="1" s="47">
      <c r="A43" s="8" t="inlineStr">
        <is>
          <t>Bioterrorist</t>
        </is>
      </c>
      <c r="B43" s="9" t="inlineStr">
        <is>
          <t>Union</t>
        </is>
      </c>
      <c r="C43" s="16" t="n"/>
      <c r="D43" s="16" t="n">
        <v>150</v>
      </c>
      <c r="E43" s="16" t="n">
        <v>0</v>
      </c>
      <c r="F43" s="17" t="inlineStr">
        <is>
          <t>Bio</t>
        </is>
      </c>
      <c r="G43" s="16" t="n"/>
      <c r="H43" s="17" t="inlineStr">
        <is>
          <t>Destroy this card after ???</t>
        </is>
      </c>
      <c r="I43" s="17" t="inlineStr">
        <is>
          <t>Destroy this card after battle calculation</t>
        </is>
      </c>
      <c r="K43" s="17" t="inlineStr">
        <is>
          <t>2 ??? + 1000 cost</t>
        </is>
      </c>
      <c r="L43" s="17" t="inlineStr">
        <is>
          <t>2 Bio cards (≥ 800 cost) + 1000 cost</t>
        </is>
      </c>
      <c r="M43" s="17" t="inlineStr">
        <is>
          <t>10001
01010
00000
01010
10001</t>
        </is>
      </c>
      <c r="N43" s="16" t="n"/>
      <c r="O43" s="16" t="n"/>
      <c r="P43" s="16" t="n"/>
    </row>
    <row r="44" ht="68.05" customHeight="1" s="47">
      <c r="A44" s="8" t="inlineStr">
        <is>
          <t>One Winged Angel</t>
        </is>
      </c>
      <c r="B44" s="9" t="inlineStr">
        <is>
          <t>Union</t>
        </is>
      </c>
      <c r="C44" s="16" t="n"/>
      <c r="D44" s="16" t="n">
        <v>120</v>
      </c>
      <c r="E44" s="16" t="n">
        <v>120</v>
      </c>
      <c r="F44" s="17" t="inlineStr">
        <is>
          <t>Divine</t>
        </is>
      </c>
      <c r="G44" s="16" t="n"/>
      <c r="H44" s="17" t="inlineStr">
        <is>
          <t>+??? ATK permanently at ???</t>
        </is>
      </c>
      <c r="I44" s="17" t="inlineStr">
        <is>
          <t>Once: +30 ATK permanently at the end of their turn</t>
        </is>
      </c>
      <c r="J44" t="inlineStr">
        <is>
          <t>Full: wording polish</t>
        </is>
      </c>
      <c r="K44" s="17" t="inlineStr">
        <is>
          <t>1 ??? + 1 ??? + 1500 cost</t>
        </is>
      </c>
      <c r="L44" s="17" t="inlineStr">
        <is>
          <t>1 Cleaver Saint + 1 Divine card + 1500 cost</t>
        </is>
      </c>
      <c r="M44" s="17" t="inlineStr">
        <is>
          <t>00011
00011
00011
00011
00011</t>
        </is>
      </c>
      <c r="N44" s="16" t="n"/>
      <c r="O44" s="16" t="n"/>
      <c r="P44" s="16" t="n"/>
    </row>
    <row r="45" ht="68.05" customHeight="1" s="47">
      <c r="A45" s="8" t="inlineStr">
        <is>
          <t>Genesis Mech</t>
        </is>
      </c>
      <c r="B45" s="9" t="inlineStr">
        <is>
          <t>Union</t>
        </is>
      </c>
      <c r="C45" s="16" t="n"/>
      <c r="D45" s="16" t="n">
        <v>60</v>
      </c>
      <c r="E45" s="16" t="n">
        <v>40</v>
      </c>
      <c r="F45" s="17" t="inlineStr">
        <is>
          <t>Divine</t>
        </is>
      </c>
      <c r="G45" s="16" t="n"/>
      <c r="H45" s="17" t="inlineStr">
        <is>
          <t>Once, destroy ???or ??? card</t>
        </is>
      </c>
      <c r="I45" s="17" t="inlineStr">
        <is>
          <t>Once: destroy Divine or Anima card</t>
        </is>
      </c>
      <c r="J45" t="inlineStr">
        <is>
          <t>Full: wording polish</t>
        </is>
      </c>
      <c r="K45" s="17" t="inlineStr">
        <is>
          <t>1 ??? + 1 ??? + 1000 cost</t>
        </is>
      </c>
      <c r="L45" s="17" t="inlineStr">
        <is>
          <t>1 Cruel Angel + 1 Anima Card + 1000 cost</t>
        </is>
      </c>
      <c r="M45" s="17" t="inlineStr">
        <is>
          <t>11111
11111
00000
00000
00000</t>
        </is>
      </c>
      <c r="N45" s="16" t="n"/>
      <c r="O45" s="16" t="n"/>
      <c r="P45" s="16" t="n"/>
    </row>
    <row r="46" ht="68.05" customHeight="1" s="47">
      <c r="A46" s="8" t="inlineStr">
        <is>
          <t>Keeper of the Afterlife</t>
        </is>
      </c>
      <c r="B46" s="9" t="inlineStr">
        <is>
          <t>Union</t>
        </is>
      </c>
      <c r="C46" s="16" t="n"/>
      <c r="D46" s="16" t="n">
        <v>40</v>
      </c>
      <c r="E46" s="16" t="n">
        <v>65</v>
      </c>
      <c r="F46" s="17" t="inlineStr">
        <is>
          <t>Divine</t>
        </is>
      </c>
      <c r="G46" s="16" t="n"/>
      <c r="H46" s="17" t="inlineStr">
        <is>
          <t>At battle calculation, flip a coin. If head, ????</t>
        </is>
      </c>
      <c r="I46" s="17" t="inlineStr">
        <is>
          <t>At battle calculation, flip a coin. Heads: the attack does nothing</t>
        </is>
      </c>
      <c r="J46" t="inlineStr">
        <is>
          <t>Full: Head→Heads</t>
        </is>
      </c>
      <c r="K46" s="17" t="inlineStr">
        <is>
          <t>1 ??? + 1 ???+ 1000 cost</t>
        </is>
      </c>
      <c r="L46" s="17" t="inlineStr">
        <is>
          <t>1 Sphinx unit + 1 Divine card + 1000 cost</t>
        </is>
      </c>
      <c r="M46" s="17" t="inlineStr">
        <is>
          <t>00000
00000
00100
01110
11111</t>
        </is>
      </c>
      <c r="N46" s="16" t="n"/>
      <c r="O46" s="16" t="n"/>
      <c r="P46" s="16" t="n"/>
    </row>
    <row r="47" ht="68.05" customHeight="1" s="47">
      <c r="A47" s="8" t="inlineStr">
        <is>
          <t>Keeper of the Sun</t>
        </is>
      </c>
      <c r="B47" s="9" t="inlineStr">
        <is>
          <t>Union</t>
        </is>
      </c>
      <c r="C47" s="16" t="n"/>
      <c r="D47" s="16" t="n">
        <v>70</v>
      </c>
      <c r="E47" s="16" t="n">
        <v>35</v>
      </c>
      <c r="F47" s="17" t="inlineStr">
        <is>
          <t>Divine</t>
        </is>
      </c>
      <c r="G47" s="16" t="n"/>
      <c r="H47" s="17" t="inlineStr">
        <is>
          <t>This card cannot attack if there is card with affinity other than ??? Or ???</t>
        </is>
      </c>
      <c r="I47" s="17" t="inlineStr">
        <is>
          <t>This card cannot attack if there is card with affinity other than Divine or Anima on its side</t>
        </is>
      </c>
      <c r="K47" s="17" t="inlineStr">
        <is>
          <t>1 ???+ ??? + 1000 cost</t>
        </is>
      </c>
      <c r="L47" s="17" t="inlineStr">
        <is>
          <t>1 Sphinx unit + 1 Anima + 1000 cost</t>
        </is>
      </c>
      <c r="M47" s="17" t="inlineStr">
        <is>
          <t>11111
01110
00100
00000
00000</t>
        </is>
      </c>
      <c r="N47" s="16" t="n"/>
      <c r="O47" s="16" t="n"/>
      <c r="P47" s="16" t="n"/>
    </row>
    <row r="48" ht="68.05" customHeight="1" s="47">
      <c r="A48" s="8" t="inlineStr">
        <is>
          <t>Keeper of Righteous</t>
        </is>
      </c>
      <c r="B48" s="9" t="inlineStr">
        <is>
          <t>Union</t>
        </is>
      </c>
      <c r="C48" s="16" t="n"/>
      <c r="D48" s="16" t="n">
        <v>90</v>
      </c>
      <c r="E48" s="16" t="n">
        <v>80</v>
      </c>
      <c r="F48" s="17" t="inlineStr">
        <is>
          <t>Divine</t>
        </is>
      </c>
      <c r="G48" s="16" t="n"/>
      <c r="H48" s="17" t="inlineStr">
        <is>
          <t>+??? ATK vs ?? and ??</t>
        </is>
      </c>
      <c r="I48" s="17" t="inlineStr">
        <is>
          <t>+20 ATK vs Chaos and Arcane</t>
        </is>
      </c>
      <c r="K48" s="17" t="inlineStr">
        <is>
          <t>2 ???+ 1000 cost</t>
        </is>
      </c>
      <c r="L48" s="17" t="inlineStr">
        <is>
          <t>2 Sphinx units + 1000 cost</t>
        </is>
      </c>
      <c r="M48" s="17" t="inlineStr">
        <is>
          <t>10001
01010
00100
01010
10001</t>
        </is>
      </c>
      <c r="N48" s="16" t="n"/>
      <c r="O48" s="16" t="n"/>
      <c r="P48" s="16" t="n"/>
    </row>
    <row r="49" ht="68.05" customHeight="1" s="47">
      <c r="A49" s="8" t="inlineStr">
        <is>
          <t>Lucky Wanderer</t>
        </is>
      </c>
      <c r="B49" s="9" t="inlineStr">
        <is>
          <t>Union</t>
        </is>
      </c>
      <c r="C49" s="16" t="n"/>
      <c r="D49" s="16" t="n">
        <v>70</v>
      </c>
      <c r="E49" s="16" t="n">
        <v>50</v>
      </c>
      <c r="F49" s="17" t="inlineStr">
        <is>
          <t>Divine</t>
        </is>
      </c>
      <c r="G49" s="16" t="n"/>
      <c r="H49" s="17" t="inlineStr">
        <is>
          <t>During the end of that turn, flip a coin. If head, +??? ATK. If tail, +?? DEF</t>
        </is>
      </c>
      <c r="I49" s="17" t="inlineStr">
        <is>
          <t>During the end of that turn, flip a coin. Heads: +10 ATK. Tails: +10 DEF</t>
        </is>
      </c>
      <c r="J49" t="inlineStr">
        <is>
          <t>Full: Head→Heads; Tail→Tails</t>
        </is>
      </c>
      <c r="K49" s="17" t="inlineStr">
        <is>
          <t>1 ??? + 1 ??? + 1000 cost</t>
        </is>
      </c>
      <c r="L49" s="17" t="inlineStr">
        <is>
          <t>1 Lucky Statue + 1 Divine card + 1000 cost</t>
        </is>
      </c>
      <c r="M49" s="17" t="inlineStr">
        <is>
          <t>00100
00100
00100
00100
00100</t>
        </is>
      </c>
      <c r="N49" s="16" t="n"/>
      <c r="O49" s="16" t="n"/>
      <c r="P49" s="16" t="n"/>
    </row>
    <row r="50" ht="68.05" customHeight="1" s="47">
      <c r="A50" s="8" t="inlineStr">
        <is>
          <t>Joyce the Rafflesia</t>
        </is>
      </c>
      <c r="B50" s="9" t="inlineStr">
        <is>
          <t>Union</t>
        </is>
      </c>
      <c r="C50" s="16" t="n"/>
      <c r="D50" s="16" t="n">
        <v>45</v>
      </c>
      <c r="E50" s="16" t="n">
        <v>45</v>
      </c>
      <c r="F50" s="17" t="inlineStr">
        <is>
          <t>Divine</t>
        </is>
      </c>
      <c r="G50" s="16" t="n"/>
      <c r="H50" s="17" t="inlineStr">
        <is>
          <t>At the end of this turn, +??? ATK and DEF ????</t>
        </is>
      </c>
      <c r="I50" s="17" t="inlineStr">
        <is>
          <t>At the end of this turn, +5 ATK and DEF permanently.</t>
        </is>
      </c>
      <c r="J50" t="inlineStr">
        <is>
          <t>Partial: ATK&amp;DEF→ATK and DEF | Full: ATK&amp;DEF→ATK and DEF</t>
        </is>
      </c>
      <c r="K50" s="17" t="inlineStr">
        <is>
          <t>1 ??? + 1 ??? + 1000 cost</t>
        </is>
      </c>
      <c r="L50" s="17" t="inlineStr">
        <is>
          <t>Bloom Fairy + 1 Nature card + 1000 cost</t>
        </is>
      </c>
      <c r="M50" s="17" t="inlineStr">
        <is>
          <t>11111
11011
00100
00100
00100</t>
        </is>
      </c>
      <c r="N50" s="16" t="n"/>
      <c r="O50" s="16" t="n"/>
      <c r="P50" s="16" t="n"/>
    </row>
    <row r="51" ht="68.05" customHeight="1" s="47">
      <c r="A51" s="8" t="inlineStr">
        <is>
          <t>Twin Axe Saintess</t>
        </is>
      </c>
      <c r="B51" s="9" t="inlineStr">
        <is>
          <t>Union</t>
        </is>
      </c>
      <c r="C51" s="16" t="n"/>
      <c r="D51" s="16" t="n">
        <v>40</v>
      </c>
      <c r="E51" s="16" t="n">
        <v>30</v>
      </c>
      <c r="F51" s="17" t="inlineStr">
        <is>
          <t>Divine</t>
        </is>
      </c>
      <c r="G51" s="16" t="n"/>
      <c r="H51" s="17" t="inlineStr">
        <is>
          <t>This card can ??? per turn</t>
        </is>
      </c>
      <c r="I51" s="17" t="inlineStr">
        <is>
          <t>This card can attack twice per turn</t>
        </is>
      </c>
      <c r="K51" s="17" t="inlineStr">
        <is>
          <t>1??? + 1 ??? + 1000 cost</t>
        </is>
      </c>
      <c r="L51" s="17" t="inlineStr">
        <is>
          <t>Lady of the Sacred Pond + 1 Anima + 600 cost</t>
        </is>
      </c>
      <c r="M51" s="17" t="inlineStr">
        <is>
          <t>11011
01010
01010
01010
00000</t>
        </is>
      </c>
      <c r="N51" s="16" t="n"/>
      <c r="O51" s="16" t="n"/>
      <c r="P51" s="16" t="n"/>
    </row>
    <row r="52" ht="68.05" customHeight="1" s="47">
      <c r="A52" s="8" t="inlineStr">
        <is>
          <t>Blast Beam Seraph</t>
        </is>
      </c>
      <c r="B52" s="9" t="inlineStr">
        <is>
          <t>Union</t>
        </is>
      </c>
      <c r="C52" s="16" t="n"/>
      <c r="D52" s="16" t="n">
        <v>100</v>
      </c>
      <c r="E52" s="16" t="n">
        <v>50</v>
      </c>
      <c r="F52" s="17" t="inlineStr">
        <is>
          <t>Divine</t>
        </is>
      </c>
      <c r="G52" s="16" t="n"/>
      <c r="H52" s="17" t="inlineStr">
        <is>
          <t>None</t>
        </is>
      </c>
      <c r="I52" s="17" t="inlineStr">
        <is>
          <t>None</t>
        </is>
      </c>
      <c r="K52" s="17" t="inlineStr">
        <is>
          <t>1 ??? + 1 ??? + 1000 cost</t>
        </is>
      </c>
      <c r="L52" s="17" t="inlineStr">
        <is>
          <t>Gerald of the Heavenly Light + 1 Divine + 1000 cost</t>
        </is>
      </c>
      <c r="M52" s="17" t="inlineStr">
        <is>
          <t>11111
00100
11111
00100
00000</t>
        </is>
      </c>
      <c r="N52" s="16" t="n"/>
      <c r="O52" s="16" t="n"/>
      <c r="P52" s="16" t="n"/>
    </row>
    <row r="53" ht="80.05" customHeight="1" s="47">
      <c r="A53" s="8" t="inlineStr">
        <is>
          <t>Balthier the Supreme Holiness</t>
        </is>
      </c>
      <c r="B53" s="9" t="inlineStr">
        <is>
          <t>Union</t>
        </is>
      </c>
      <c r="C53" s="16" t="n"/>
      <c r="D53" s="16" t="n">
        <v>100</v>
      </c>
      <c r="E53" s="16" t="n">
        <v>100</v>
      </c>
      <c r="F53" s="17" t="inlineStr">
        <is>
          <t>Divine</t>
        </is>
      </c>
      <c r="G53" s="16" t="n"/>
      <c r="H53" s="17" t="inlineStr">
        <is>
          <t>+??? ATK and DEF for each ???cards on the field. This bonus does not exceed maximum of 1???</t>
        </is>
      </c>
      <c r="I53" s="17" t="inlineStr">
        <is>
          <t>+50 ATK and DEF for each Divine cards on the field. This bonus does not exceed maximum of 100</t>
        </is>
      </c>
      <c r="J53" t="inlineStr">
        <is>
          <t>Partial: ATK&amp;DEF→ATK and DEF | Full: ATK&amp;DEF→ATK and DEF</t>
        </is>
      </c>
      <c r="K53" s="17" t="inlineStr">
        <is>
          <t>2 ??? + 1500 cost</t>
        </is>
      </c>
      <c r="L53" s="17" t="inlineStr">
        <is>
          <t>2 Divine (≥800 cost) + 1500 cost</t>
        </is>
      </c>
      <c r="M53" s="17" t="inlineStr">
        <is>
          <t>00100
11111
00100
00100
00100</t>
        </is>
      </c>
      <c r="N53" s="16" t="n"/>
      <c r="O53" s="16" t="n"/>
      <c r="P53" s="16" t="n"/>
    </row>
    <row r="54" ht="68.05" customHeight="1" s="47">
      <c r="A54" s="8" t="inlineStr">
        <is>
          <t>Oblivion Dragon</t>
        </is>
      </c>
      <c r="B54" s="9" t="inlineStr">
        <is>
          <t>Union</t>
        </is>
      </c>
      <c r="C54" s="16" t="n"/>
      <c r="D54" s="16" t="n">
        <v>200</v>
      </c>
      <c r="E54" s="16" t="n">
        <v>0</v>
      </c>
      <c r="F54" s="17" t="inlineStr">
        <is>
          <t>Chaos</t>
        </is>
      </c>
      <c r="G54" s="16" t="n"/>
      <c r="H54" s="17" t="inlineStr">
        <is>
          <t>When this card defends, halve its ??? an???</t>
        </is>
      </c>
      <c r="I54" s="17" t="inlineStr">
        <is>
          <t>When this card defends, halve its attack and increase DEF by that amount permanently</t>
        </is>
      </c>
      <c r="J54" t="inlineStr">
        <is>
          <t>Full: wording polish</t>
        </is>
      </c>
      <c r="K54" s="17" t="inlineStr">
        <is>
          <t>4 ??? + 2000 cost</t>
        </is>
      </c>
      <c r="L54" s="17" t="inlineStr">
        <is>
          <t>4 Chaos card (≥500 cost) + 2000 cost</t>
        </is>
      </c>
      <c r="M54" s="17" t="inlineStr">
        <is>
          <t>10001
00000
00000
00000
10001</t>
        </is>
      </c>
      <c r="N54" s="16" t="n"/>
      <c r="O54" s="16" t="n"/>
      <c r="P54" s="16" t="n"/>
    </row>
    <row r="55" ht="68.05" customHeight="1" s="47">
      <c r="A55" s="8" t="inlineStr">
        <is>
          <t>Mass Extinction Dragon</t>
        </is>
      </c>
      <c r="B55" s="9" t="inlineStr">
        <is>
          <t>Union</t>
        </is>
      </c>
      <c r="C55" s="16" t="n"/>
      <c r="D55" s="16" t="n">
        <v>250</v>
      </c>
      <c r="E55" s="16" t="n">
        <v>180</v>
      </c>
      <c r="F55" s="17" t="inlineStr">
        <is>
          <t>Nature</t>
        </is>
      </c>
      <c r="G55" s="16" t="n"/>
      <c r="H55" s="17" t="inlineStr">
        <is>
          <t>Summoned:  destroy all ???</t>
        </is>
      </c>
      <c r="I55" s="17" t="inlineStr">
        <is>
          <t>Summoned: destroy all other Exposed ally units. no Crystal cost.</t>
        </is>
      </c>
      <c r="J55" t="inlineStr">
        <is>
          <t>Full: wording polish</t>
        </is>
      </c>
      <c r="K55" s="17" t="inlineStr">
        <is>
          <t>5 ??? + 3000 Crystals</t>
        </is>
      </c>
      <c r="L55" s="17" t="inlineStr">
        <is>
          <t>5 Nature cards + 3000 Crystals</t>
        </is>
      </c>
      <c r="M55" s="17" t="inlineStr">
        <is>
          <t>10001
00000
00100
00010
10001</t>
        </is>
      </c>
      <c r="N55" s="16" t="n"/>
      <c r="O55" s="16" t="n"/>
      <c r="P55" s="16" t="n"/>
    </row>
    <row r="56" ht="68.05" customHeight="1" s="47">
      <c r="A56" s="8" t="inlineStr">
        <is>
          <t>Beowolf</t>
        </is>
      </c>
      <c r="B56" s="9" t="inlineStr">
        <is>
          <t>Union</t>
        </is>
      </c>
      <c r="C56" s="16" t="n"/>
      <c r="D56" s="16" t="n">
        <v>55</v>
      </c>
      <c r="E56" s="16" t="n">
        <v>50</v>
      </c>
      <c r="F56" s="17" t="inlineStr">
        <is>
          <t>Nature</t>
        </is>
      </c>
      <c r="G56" s="16" t="n"/>
      <c r="H56" s="17" t="inlineStr">
        <is>
          <t>+?? ATK when this card can destroy ???</t>
        </is>
      </c>
      <c r="I56" s="17" t="inlineStr">
        <is>
          <t>+25 ATK when this card can destroy a unit card</t>
        </is>
      </c>
      <c r="K56" s="17" t="inlineStr">
        <is>
          <t>1 ??? + 1 ??? + 1000 cost</t>
        </is>
      </c>
      <c r="L56" s="17" t="inlineStr">
        <is>
          <t>1 Kulu the Alpha Leader + 1 Anima + 1000 cost</t>
        </is>
      </c>
      <c r="M56" s="17" t="inlineStr">
        <is>
          <t>10101
00000
01010
00000
10101</t>
        </is>
      </c>
      <c r="N56" s="16" t="n"/>
      <c r="O56" s="16" t="n"/>
      <c r="P56" s="16" t="n"/>
    </row>
    <row r="57" ht="80.05" customHeight="1" s="47">
      <c r="A57" s="8" t="inlineStr">
        <is>
          <t>Dew the Heroic Prince</t>
        </is>
      </c>
      <c r="B57" s="9" t="inlineStr">
        <is>
          <t>Union</t>
        </is>
      </c>
      <c r="C57" s="16" t="n"/>
      <c r="D57" s="16" t="n">
        <v>80</v>
      </c>
      <c r="E57" s="16" t="n">
        <v>70</v>
      </c>
      <c r="F57" s="17" t="inlineStr">
        <is>
          <t>Nature</t>
        </is>
      </c>
      <c r="G57" s="16" t="n"/>
      <c r="H57" s="17" t="inlineStr">
        <is>
          <t>At battle calculation, +?? ATK and +?? DEF vs ???</t>
        </is>
      </c>
      <c r="I57" s="17" t="inlineStr">
        <is>
          <t>At battle calculation, +40 ATK and +40 DEF vs Union cards</t>
        </is>
      </c>
      <c r="K57" s="17" t="inlineStr">
        <is>
          <t>1 ??? + 1 ??? + 1000 cost</t>
        </is>
      </c>
      <c r="L57" s="17" t="inlineStr">
        <is>
          <t>1 Dew the Frog Knight + 1 card including ‘princess’ name or card with princess flag + 1000 cost</t>
        </is>
      </c>
      <c r="M57" s="17" t="inlineStr">
        <is>
          <t>11011
00000
00100
00100
11011</t>
        </is>
      </c>
      <c r="N57" s="16" t="n"/>
      <c r="O57" s="16" t="n"/>
      <c r="P57" s="16" t="n"/>
    </row>
    <row r="58" ht="68.05" customHeight="1" s="47">
      <c r="A58" s="8" t="inlineStr">
        <is>
          <t>Gemina the Supreme Queen</t>
        </is>
      </c>
      <c r="B58" s="9" t="inlineStr">
        <is>
          <t>Union</t>
        </is>
      </c>
      <c r="C58" s="16" t="n"/>
      <c r="D58" s="16" t="n">
        <v>90</v>
      </c>
      <c r="E58" s="16" t="n">
        <v>90</v>
      </c>
      <c r="F58" s="17" t="inlineStr">
        <is>
          <t>Anima</t>
        </is>
      </c>
      <c r="G58" s="16" t="n"/>
      <c r="H58" s="17" t="inlineStr">
        <is>
          <t>Both player cannot use ??? while this card is exposed. This card is unaffected by ???.</t>
        </is>
      </c>
      <c r="I58" s="17" t="inlineStr">
        <is>
          <t>Both player cannot use Tech while this card is exposed. This card is unaffected by traps.</t>
        </is>
      </c>
      <c r="J58" t="inlineStr">
        <is>
          <t>Full: wording polish</t>
        </is>
      </c>
      <c r="K58" s="17" t="inlineStr">
        <is>
          <t>3 ??? + 1000 cost</t>
        </is>
      </c>
      <c r="L58" s="17" t="inlineStr">
        <is>
          <t>3 ‘Princess’ or card with princess flag + 1000 cost</t>
        </is>
      </c>
      <c r="M58" s="17" t="inlineStr">
        <is>
          <t>01110
10001
10001
10001
01110</t>
        </is>
      </c>
      <c r="N58" s="16" t="n"/>
      <c r="O58" s="16" t="n"/>
      <c r="P58" s="16" t="n"/>
    </row>
    <row r="59" ht="68.05" customHeight="1" s="47">
      <c r="A59" s="8" t="inlineStr">
        <is>
          <t>Wild Manticore</t>
        </is>
      </c>
      <c r="B59" s="9" t="inlineStr">
        <is>
          <t>Union</t>
        </is>
      </c>
      <c r="C59" s="16" t="n"/>
      <c r="D59" s="16" t="n">
        <v>50</v>
      </c>
      <c r="E59" s="16" t="n">
        <v>85</v>
      </c>
      <c r="F59" s="17" t="inlineStr">
        <is>
          <t>Nature</t>
        </is>
      </c>
      <c r="G59" s="16" t="n"/>
      <c r="H59" s="17" t="inlineStr">
        <is>
          <t>+?? ATK at the end of their turn. Whenever this card attacks, ??</t>
        </is>
      </c>
      <c r="I59" s="17" t="inlineStr">
        <is>
          <t>+20 ATK at the end of their turn. Reset this bonus after performed attack.</t>
        </is>
      </c>
      <c r="K59" s="17" t="inlineStr">
        <is>
          <t>1 ??? + 1 ??? + 1 ??? + 1000 cost</t>
        </is>
      </c>
      <c r="L59" s="17" t="inlineStr">
        <is>
          <t>Wild Centaur + Wild Minotaur + Wild Pegasus + 1000 cost</t>
        </is>
      </c>
      <c r="M59" s="17" t="inlineStr">
        <is>
          <t>00000
01110
01010
01110
00000</t>
        </is>
      </c>
      <c r="N59" s="16" t="n"/>
      <c r="O59" s="16" t="n"/>
      <c r="P59" s="16" t="n"/>
    </row>
    <row r="60" ht="68.05" customHeight="1" s="47">
      <c r="A60" s="8" t="inlineStr">
        <is>
          <t>Wyriah the Roc</t>
        </is>
      </c>
      <c r="B60" s="9" t="inlineStr">
        <is>
          <t>Union</t>
        </is>
      </c>
      <c r="C60" s="16" t="n"/>
      <c r="D60" s="16" t="n">
        <v>80</v>
      </c>
      <c r="E60" s="16" t="n">
        <v>25</v>
      </c>
      <c r="F60" s="17" t="inlineStr">
        <is>
          <t>Nature</t>
        </is>
      </c>
      <c r="G60" s="16" t="n"/>
      <c r="H60" s="17" t="inlineStr">
        <is>
          <t>This card is unaffected by ???</t>
        </is>
      </c>
      <c r="I60" s="17" t="inlineStr">
        <is>
          <t>This card is unaffected by trap effect</t>
        </is>
      </c>
      <c r="K60" s="17" t="inlineStr">
        <is>
          <t>1 ??? + 1 ??? + 1000 cost</t>
        </is>
      </c>
      <c r="L60" s="17" t="inlineStr">
        <is>
          <t>1 Steel Eagle + 1 Nature (≥ 800 cost) + 1000 cost</t>
        </is>
      </c>
      <c r="M60" s="17" t="inlineStr">
        <is>
          <t>00000
01110
11111
00100
00100</t>
        </is>
      </c>
      <c r="N60" s="16" t="n"/>
      <c r="O60" s="16" t="n"/>
      <c r="P60" s="16" t="n"/>
    </row>
    <row r="61" ht="68.05" customHeight="1" s="47">
      <c r="A61" s="8" t="inlineStr">
        <is>
          <t>Mad Eye the Collector</t>
        </is>
      </c>
      <c r="B61" s="9" t="inlineStr">
        <is>
          <t>Union</t>
        </is>
      </c>
      <c r="C61" s="16" t="n"/>
      <c r="D61" s="16" t="n">
        <v>60</v>
      </c>
      <c r="E61" s="16" t="n">
        <v>60</v>
      </c>
      <c r="F61" s="17" t="inlineStr">
        <is>
          <t>Cosmic</t>
        </is>
      </c>
      <c r="G61" s="16" t="n"/>
      <c r="H61" s="17" t="inlineStr">
        <is>
          <t>In Reckoning, the owner can choose to destroy ??? to +??? ATK and DEF</t>
        </is>
      </c>
      <c r="I61" s="17" t="inlineStr">
        <is>
          <t>In Reckoning: the owner can choose to destroy 1 trap card on its side to +60 ATK and DEF</t>
        </is>
      </c>
      <c r="J61" t="inlineStr">
        <is>
          <t>Partial: ATK&amp;DEF→ATK and DEF | Full: ATK&amp;DEF→ATK and DEF</t>
        </is>
      </c>
      <c r="K61" s="17" t="inlineStr">
        <is>
          <t>1 ??? + 1 ??? + 1000 cost</t>
        </is>
      </c>
      <c r="L61" s="17" t="inlineStr">
        <is>
          <t>1 Space Janitor + 1 Cosmic + 1000 cost</t>
        </is>
      </c>
      <c r="M61" s="17" t="inlineStr">
        <is>
          <t>00000
00100
01110
00100
00000</t>
        </is>
      </c>
      <c r="N61" s="16" t="n"/>
      <c r="O61" s="16" t="n"/>
      <c r="P61" s="16" t="n"/>
    </row>
    <row r="62" ht="68.05" customHeight="1" s="47">
      <c r="A62" s="8" t="inlineStr">
        <is>
          <t>Ice Hawk</t>
        </is>
      </c>
      <c r="B62" s="9" t="inlineStr">
        <is>
          <t>Union</t>
        </is>
      </c>
      <c r="C62" s="16" t="n"/>
      <c r="D62" s="16" t="n">
        <v>35</v>
      </c>
      <c r="E62" s="16" t="n">
        <v>25</v>
      </c>
      <c r="F62" s="17" t="inlineStr">
        <is>
          <t>Nature</t>
        </is>
      </c>
      <c r="G62" s="16" t="n"/>
      <c r="H62" s="17" t="inlineStr">
        <is>
          <t>Defender is ??? on next foe’s turn.</t>
        </is>
      </c>
      <c r="I62" s="17" t="inlineStr">
        <is>
          <t>Defender is unable to attack on next foe’s turn.</t>
        </is>
      </c>
      <c r="K62" s="17" t="inlineStr">
        <is>
          <t>1 ??? + 1 ???+ 1000 cost</t>
        </is>
      </c>
      <c r="L62" s="17" t="inlineStr">
        <is>
          <t>Drill Woodpecker + 1 Nature + 1000 cost</t>
        </is>
      </c>
      <c r="M62" s="17" t="inlineStr">
        <is>
          <t>10100
01111
10100
00000
00000</t>
        </is>
      </c>
      <c r="N62" s="16" t="n"/>
      <c r="O62" s="16" t="n"/>
      <c r="P62" s="16" t="n"/>
    </row>
    <row r="63" ht="68.05" customHeight="1" s="47">
      <c r="A63" s="8" t="inlineStr">
        <is>
          <t>Dwarven Drill</t>
        </is>
      </c>
      <c r="B63" s="9" t="inlineStr">
        <is>
          <t>Union</t>
        </is>
      </c>
      <c r="C63" s="16" t="n"/>
      <c r="D63" s="16" t="n">
        <v>55</v>
      </c>
      <c r="E63" s="16" t="n">
        <v>80</v>
      </c>
      <c r="F63" s="17" t="inlineStr">
        <is>
          <t>Arcane</t>
        </is>
      </c>
      <c r="G63" s="16" t="n"/>
      <c r="H63" s="17" t="inlineStr">
        <is>
          <t>If this card have not attacked and this turn ends, reveal ???</t>
        </is>
      </c>
      <c r="I63" s="17" t="inlineStr">
        <is>
          <t>If this card have not attacked and this turn ends, reveal 2 card on foe’s side.</t>
        </is>
      </c>
      <c r="K63" s="17" t="inlineStr">
        <is>
          <t>2 ??? + 1000 Crystal.</t>
        </is>
      </c>
      <c r="L63" s="17" t="inlineStr">
        <is>
          <t>2 Dwarven cards + 1000 Crystal.</t>
        </is>
      </c>
      <c r="M63" s="17" t="inlineStr">
        <is>
          <t>00001
01111
11100
00000
00000</t>
        </is>
      </c>
      <c r="N63" s="16" t="n"/>
      <c r="O63" s="16" t="n"/>
      <c r="P63" s="16" t="n"/>
    </row>
    <row r="64" ht="68.05" customHeight="1" s="47">
      <c r="A64" s="8" t="inlineStr">
        <is>
          <t>Cullan the Flaming Blade</t>
        </is>
      </c>
      <c r="B64" s="9" t="inlineStr">
        <is>
          <t>Union</t>
        </is>
      </c>
      <c r="C64" s="16" t="n"/>
      <c r="D64" s="16" t="n">
        <v>40</v>
      </c>
      <c r="E64" s="16" t="n">
        <v>30</v>
      </c>
      <c r="F64" s="17" t="inlineStr">
        <is>
          <t>Arcane</t>
        </is>
      </c>
      <c r="G64" s="16" t="n"/>
      <c r="H64" s="17" t="inlineStr">
        <is>
          <t>+??? ATK and DEF vs Nature</t>
        </is>
      </c>
      <c r="I64" s="17" t="inlineStr">
        <is>
          <t>+30 ATK and DEF vs Nature</t>
        </is>
      </c>
      <c r="J64" t="inlineStr">
        <is>
          <t>Partial: ATK&amp;DEF→ATK and DEF | Full: ATK&amp;DEF→ATK and DEF</t>
        </is>
      </c>
      <c r="K64" s="17" t="inlineStr">
        <is>
          <t>1 ??? + 1 ??? + 1000 cost</t>
        </is>
      </c>
      <c r="L64" s="17" t="inlineStr">
        <is>
          <t>Cullan the Magic Swordsman + Red Mage + 1000 cost</t>
        </is>
      </c>
      <c r="M64" s="17" t="inlineStr">
        <is>
          <t>00001
00010
01100
01110
10000</t>
        </is>
      </c>
      <c r="N64" s="16" t="n"/>
      <c r="O64" s="16" t="n"/>
      <c r="P64" s="16" t="n"/>
    </row>
    <row r="65" ht="80.05" customHeight="1" s="47">
      <c r="A65" s="8" t="inlineStr">
        <is>
          <t>The Undertaker</t>
        </is>
      </c>
      <c r="B65" s="9" t="inlineStr">
        <is>
          <t>Union</t>
        </is>
      </c>
      <c r="C65" s="16" t="n"/>
      <c r="D65" s="16" t="n">
        <v>90</v>
      </c>
      <c r="E65" s="16" t="n">
        <v>75</v>
      </c>
      <c r="F65" s="17" t="inlineStr">
        <is>
          <t>Chaos</t>
        </is>
      </c>
      <c r="G65" s="16" t="n"/>
      <c r="H65" s="16" t="n"/>
      <c r="I65" s="17" t="inlineStr">
        <is>
          <t>If foe destroys a card on its side, gain +15 ATK permanently (max +60).</t>
        </is>
      </c>
      <c r="K65" s="16" t="n"/>
      <c r="L65" s="17" t="inlineStr">
        <is>
          <t>Mad Doctor + 1 Chaos card + 1000 cost</t>
        </is>
      </c>
      <c r="M65" s="17" t="inlineStr">
        <is>
          <t xml:space="preserve">00000
00000 
01110
01110
01110
</t>
        </is>
      </c>
      <c r="N65" s="16" t="n"/>
      <c r="O65" s="16" t="n"/>
      <c r="P65" s="16" t="n"/>
    </row>
    <row r="66" ht="80.05" customHeight="1" s="47">
      <c r="A66" s="8" t="inlineStr">
        <is>
          <t>Ethereal Marquees</t>
        </is>
      </c>
      <c r="B66" s="9" t="inlineStr">
        <is>
          <t>Union</t>
        </is>
      </c>
      <c r="C66" s="16" t="n"/>
      <c r="D66" s="16" t="n">
        <v>175</v>
      </c>
      <c r="E66" s="16" t="n">
        <v>140</v>
      </c>
      <c r="F66" s="17" t="inlineStr">
        <is>
          <t>Arcane</t>
        </is>
      </c>
      <c r="G66" s="16" t="n"/>
      <c r="H66" s="17" t="inlineStr">
        <is>
          <t>-80 DEF if ???</t>
        </is>
      </c>
      <c r="I66" s="17" t="inlineStr">
        <is>
          <t>-80 DEF if defends against Arcane card. If this card battles and survived, pay 500 Crystal cost</t>
        </is>
      </c>
      <c r="K66" s="16" t="n"/>
      <c r="L66" s="17" t="inlineStr">
        <is>
          <t>Nobleman of Luminaso + 1 Arcane + 1500 cost</t>
        </is>
      </c>
      <c r="M66" s="17" t="inlineStr">
        <is>
          <t>00100
01010
10101
01010
10101</t>
        </is>
      </c>
      <c r="N66" s="16" t="n"/>
      <c r="O66" s="16" t="n"/>
      <c r="P66" s="16" t="n"/>
    </row>
    <row r="67" ht="80.05" customHeight="1" s="47">
      <c r="A67" s="8" t="inlineStr">
        <is>
          <t>Charm Mistress</t>
        </is>
      </c>
      <c r="B67" s="9" t="inlineStr">
        <is>
          <t>Union</t>
        </is>
      </c>
      <c r="C67" s="16" t="n"/>
      <c r="D67" s="16" t="n">
        <v>30</v>
      </c>
      <c r="E67" s="16" t="n">
        <v>50</v>
      </c>
      <c r="F67" s="17" t="inlineStr">
        <is>
          <t>Arcane</t>
        </is>
      </c>
      <c r="G67" s="16" t="n"/>
      <c r="H67" s="16" t="n"/>
      <c r="I67" s="17" t="inlineStr">
        <is>
          <t>Foe’s turn start: flip a coin. Head, foe can only attack once.</t>
        </is>
      </c>
      <c r="K67" s="16" t="n"/>
      <c r="L67" s="17" t="inlineStr">
        <is>
          <t>Alluring Spellcaster + 1 Arcane + 1000 cost</t>
        </is>
      </c>
      <c r="M67" s="17" t="inlineStr">
        <is>
          <t xml:space="preserve">00000
01010 
01110
00100
00000
</t>
        </is>
      </c>
      <c r="N67" s="16" t="n"/>
      <c r="O67" s="16" t="n"/>
      <c r="P67" s="16" t="n"/>
    </row>
    <row r="68" ht="80.05" customHeight="1" s="47">
      <c r="A68" s="8" t="inlineStr">
        <is>
          <t>Chronoteleporter</t>
        </is>
      </c>
      <c r="B68" s="9" t="inlineStr">
        <is>
          <t>Union</t>
        </is>
      </c>
      <c r="C68" s="16" t="n"/>
      <c r="D68" s="16" t="n">
        <v>60</v>
      </c>
      <c r="E68" s="16" t="n">
        <v>80</v>
      </c>
      <c r="F68" s="17" t="inlineStr">
        <is>
          <t>Arcane</t>
        </is>
      </c>
      <c r="G68" s="16" t="n"/>
      <c r="H68" s="16" t="n"/>
      <c r="I68" s="17" t="inlineStr">
        <is>
          <t>When ally Arcane unit is targeted, owner can swap its location with this card.</t>
        </is>
      </c>
      <c r="K68" s="16" t="n"/>
      <c r="L68" s="17" t="inlineStr">
        <is>
          <t>Freya the Rift Walker + Bingo the Chrono Rabbit + 1000 cost.</t>
        </is>
      </c>
      <c r="M68" s="17" t="inlineStr">
        <is>
          <t xml:space="preserve">00010
01000 
00010
01000
00001
</t>
        </is>
      </c>
      <c r="N68" s="16" t="n"/>
      <c r="O68" s="16" t="n"/>
      <c r="P68" s="16" t="n"/>
    </row>
    <row r="69" ht="80.05" customHeight="1" s="47">
      <c r="A69" s="8" t="inlineStr">
        <is>
          <t>Death Colony</t>
        </is>
      </c>
      <c r="B69" s="9" t="inlineStr">
        <is>
          <t>Union</t>
        </is>
      </c>
      <c r="C69" s="16" t="n"/>
      <c r="D69" s="16" t="n">
        <v>180</v>
      </c>
      <c r="E69" s="16" t="n">
        <v>150</v>
      </c>
      <c r="F69" s="17" t="inlineStr">
        <is>
          <t>Bio</t>
        </is>
      </c>
      <c r="G69" s="16" t="n"/>
      <c r="H69" s="16" t="n"/>
      <c r="I69" s="17" t="inlineStr">
        <is>
          <t>This card can only choose attack target in the same pattern as its union zone</t>
        </is>
      </c>
      <c r="K69" s="16" t="n"/>
      <c r="L69" s="17" t="inlineStr">
        <is>
          <t>Long Tongue + 1 Bio card + 1000 cost.</t>
        </is>
      </c>
      <c r="M69" s="17" t="inlineStr">
        <is>
          <t xml:space="preserve">10001
01010 
00100
01010
10001
</t>
        </is>
      </c>
      <c r="N69" s="16" t="n"/>
      <c r="O69" s="16" t="n"/>
      <c r="P69" s="16" t="n"/>
    </row>
    <row r="70" ht="80.05" customHeight="1" s="47">
      <c r="A70" s="8" t="inlineStr">
        <is>
          <t>Diamond Elemental</t>
        </is>
      </c>
      <c r="B70" s="9" t="inlineStr">
        <is>
          <t>Union</t>
        </is>
      </c>
      <c r="C70" s="16" t="n"/>
      <c r="D70" s="16" t="n">
        <v>60</v>
      </c>
      <c r="E70" s="16" t="n">
        <v>90</v>
      </c>
      <c r="F70" s="17" t="inlineStr">
        <is>
          <t>Arcane</t>
        </is>
      </c>
      <c r="G70" s="16" t="n"/>
      <c r="H70" s="16" t="n"/>
      <c r="I70" s="17" t="inlineStr">
        <is>
          <t>None</t>
        </is>
      </c>
      <c r="K70" s="16" t="n"/>
      <c r="L70" s="17" t="inlineStr">
        <is>
          <t>Fire Elemental + Earth Elemental + 1000 cost</t>
        </is>
      </c>
      <c r="M70" s="17" t="inlineStr">
        <is>
          <t xml:space="preserve">01010
01110 
01110
00100
00000
</t>
        </is>
      </c>
      <c r="N70" s="16" t="n"/>
      <c r="O70" s="16" t="n"/>
      <c r="P70" s="16" t="n"/>
    </row>
    <row r="71" ht="80.05" customHeight="1" s="47">
      <c r="A71" s="8" t="inlineStr">
        <is>
          <t>Ice Elemental</t>
        </is>
      </c>
      <c r="B71" s="9" t="inlineStr">
        <is>
          <t>Union</t>
        </is>
      </c>
      <c r="C71" s="16" t="n"/>
      <c r="D71" s="16" t="n">
        <v>70</v>
      </c>
      <c r="E71" s="16" t="n">
        <v>50</v>
      </c>
      <c r="F71" s="17" t="inlineStr">
        <is>
          <t>Arcane</t>
        </is>
      </c>
      <c r="G71" s="16" t="n"/>
      <c r="H71" s="16" t="n"/>
      <c r="I71" s="17" t="inlineStr">
        <is>
          <t>Card that battles this card cannot perform attack until the end of their next turn.</t>
        </is>
      </c>
      <c r="K71" s="16" t="n"/>
      <c r="L71" s="17" t="inlineStr">
        <is>
          <t>Water Elemental + Wind Elemental + 1000 cost</t>
        </is>
      </c>
      <c r="M71" s="17" t="inlineStr">
        <is>
          <t xml:space="preserve">00000
01110 
00100
01110
00000
</t>
        </is>
      </c>
      <c r="N71" s="16" t="n"/>
      <c r="O71" s="16" t="n"/>
      <c r="P71" s="16" t="n"/>
    </row>
    <row r="72" ht="80.05" customHeight="1" s="47">
      <c r="A72" s="8" t="inlineStr">
        <is>
          <t>Cloud Elemental</t>
        </is>
      </c>
      <c r="B72" s="9" t="inlineStr">
        <is>
          <t>Union</t>
        </is>
      </c>
      <c r="C72" s="16" t="n"/>
      <c r="D72" s="16" t="n">
        <v>60</v>
      </c>
      <c r="E72" s="16" t="n">
        <v>60</v>
      </c>
      <c r="F72" s="17" t="inlineStr">
        <is>
          <t>Arcane</t>
        </is>
      </c>
      <c r="G72" s="16" t="n"/>
      <c r="H72" s="16" t="n"/>
      <c r="I72" s="17" t="inlineStr">
        <is>
          <t>Once: this card is not destroyed</t>
        </is>
      </c>
      <c r="J72" t="inlineStr">
        <is>
          <t>Full: wording polish</t>
        </is>
      </c>
      <c r="K72" s="16" t="n"/>
      <c r="L72" s="17" t="inlineStr">
        <is>
          <t>Fire Elemental + Water Elemental + 1000 cost</t>
        </is>
      </c>
      <c r="M72" s="17" t="inlineStr">
        <is>
          <t xml:space="preserve">00100
00100 
01110
01110
00000
</t>
        </is>
      </c>
      <c r="N72" s="16" t="n"/>
      <c r="O72" s="16" t="n"/>
      <c r="P72" s="16" t="n"/>
    </row>
    <row r="73" ht="80.05" customHeight="1" s="47">
      <c r="A73" s="8" t="inlineStr">
        <is>
          <t>Thunder Elemental</t>
        </is>
      </c>
      <c r="B73" s="9" t="inlineStr">
        <is>
          <t>Union</t>
        </is>
      </c>
      <c r="C73" s="16" t="n"/>
      <c r="D73" s="16" t="n">
        <v>80</v>
      </c>
      <c r="E73" s="16" t="n">
        <v>55</v>
      </c>
      <c r="F73" s="17" t="inlineStr">
        <is>
          <t>Arcane</t>
        </is>
      </c>
      <c r="G73" s="16" t="n"/>
      <c r="H73" s="16" t="n"/>
      <c r="I73" s="17" t="inlineStr">
        <is>
          <t>After successful attack, reveal 1 foe’s card</t>
        </is>
      </c>
      <c r="K73" s="16" t="n"/>
      <c r="L73" s="17" t="inlineStr">
        <is>
          <t>Fire Elemental + Wind Elemental + 1000 cost</t>
        </is>
      </c>
      <c r="M73" s="17" t="inlineStr">
        <is>
          <t xml:space="preserve">00010
00110 
00100
01100
01000
</t>
        </is>
      </c>
      <c r="N73" s="16" t="n"/>
      <c r="O73" s="16" t="n"/>
      <c r="P73" s="16" t="n"/>
    </row>
    <row r="74" ht="80.05" customHeight="1" s="47">
      <c r="A74" s="8" t="inlineStr">
        <is>
          <t>Wood Elemental</t>
        </is>
      </c>
      <c r="B74" s="9" t="inlineStr">
        <is>
          <t>Union</t>
        </is>
      </c>
      <c r="C74" s="16" t="n"/>
      <c r="D74" s="16" t="n">
        <v>65</v>
      </c>
      <c r="E74" s="16" t="n">
        <v>70</v>
      </c>
      <c r="F74" s="17" t="inlineStr">
        <is>
          <t>Arcane</t>
        </is>
      </c>
      <c r="G74" s="16" t="n"/>
      <c r="H74" s="16" t="n"/>
      <c r="I74" s="17" t="inlineStr">
        <is>
          <t>At the end of this turn, +10 DEF permanently</t>
        </is>
      </c>
      <c r="K74" s="16" t="n"/>
      <c r="L74" s="17" t="inlineStr">
        <is>
          <t>Water Elemental + Earth Elemental + 1000 cost</t>
        </is>
      </c>
      <c r="M74" s="17" t="inlineStr">
        <is>
          <t xml:space="preserve">00000
00000 
01110
01110
01110
</t>
        </is>
      </c>
      <c r="N74" s="16" t="n"/>
      <c r="O74" s="16" t="n"/>
      <c r="P74" s="16" t="n"/>
    </row>
    <row r="75" ht="80.05" customHeight="1" s="47">
      <c r="A75" s="8" t="inlineStr">
        <is>
          <t>Sand Elemental</t>
        </is>
      </c>
      <c r="B75" s="9" t="inlineStr">
        <is>
          <t>Union</t>
        </is>
      </c>
      <c r="C75" s="16" t="n"/>
      <c r="D75" s="16" t="n">
        <v>50</v>
      </c>
      <c r="E75" s="16" t="n">
        <v>50</v>
      </c>
      <c r="F75" s="17" t="inlineStr">
        <is>
          <t>Arcane</t>
        </is>
      </c>
      <c r="G75" s="16" t="n"/>
      <c r="H75" s="16" t="n"/>
      <c r="I75" s="17" t="inlineStr">
        <is>
          <t>+40 ATK and DEF vs Non-Arcane cards</t>
        </is>
      </c>
      <c r="J75" t="inlineStr">
        <is>
          <t>Full: ATK&amp;DEF→ATK and DEF</t>
        </is>
      </c>
      <c r="K75" s="16" t="n"/>
      <c r="L75" s="17" t="inlineStr">
        <is>
          <t>Wind Elemental + Earth Elemental + 1000 cost</t>
        </is>
      </c>
      <c r="M75" s="17" t="inlineStr">
        <is>
          <t xml:space="preserve">00000
01110 
01110
01110
00000
</t>
        </is>
      </c>
      <c r="N75" s="16" t="n"/>
      <c r="O75" s="16" t="n"/>
      <c r="P75" s="16" t="n"/>
    </row>
    <row r="76" ht="80.05" customHeight="1" s="47">
      <c r="A76" s="8" t="inlineStr">
        <is>
          <t>Nuclear Elemental</t>
        </is>
      </c>
      <c r="B76" s="9" t="inlineStr">
        <is>
          <t>Union</t>
        </is>
      </c>
      <c r="C76" s="16" t="n"/>
      <c r="D76" s="16" t="n">
        <v>90</v>
      </c>
      <c r="E76" s="16" t="n">
        <v>80</v>
      </c>
      <c r="F76" s="17" t="inlineStr">
        <is>
          <t>Arcane</t>
        </is>
      </c>
      <c r="G76" s="16" t="n"/>
      <c r="H76" s="16" t="n"/>
      <c r="I76" s="17" t="inlineStr">
        <is>
          <t>At the end of this turn, +10 ATK permanently</t>
        </is>
      </c>
      <c r="K76" s="16" t="n"/>
      <c r="L76" s="17" t="inlineStr">
        <is>
          <t>Mind Elemental + Fire Elemental + 1500 cost</t>
        </is>
      </c>
      <c r="M76" s="17" t="inlineStr">
        <is>
          <t xml:space="preserve">00000
01110 
01110
01110
00000
</t>
        </is>
      </c>
      <c r="N76" s="16" t="n"/>
      <c r="O76" s="16" t="n"/>
      <c r="P76" s="16" t="n"/>
    </row>
    <row r="77" ht="80.05" customHeight="1" s="47">
      <c r="A77" s="8" t="inlineStr">
        <is>
          <t>Acid Elemental</t>
        </is>
      </c>
      <c r="B77" s="9" t="inlineStr">
        <is>
          <t>Union</t>
        </is>
      </c>
      <c r="C77" s="16" t="n"/>
      <c r="D77" s="16" t="n">
        <v>50</v>
      </c>
      <c r="E77" s="16" t="n">
        <v>100</v>
      </c>
      <c r="F77" s="17" t="inlineStr">
        <is>
          <t>Arcane</t>
        </is>
      </c>
      <c r="G77" s="16" t="n"/>
      <c r="H77" s="16" t="n"/>
      <c r="I77" s="17" t="inlineStr">
        <is>
          <t>Summoned : put Acid flag on all of foe’s Exposed unit. Card with Acid flag get -10 DEF at the end of foe’s turn</t>
        </is>
      </c>
      <c r="J77" t="inlineStr">
        <is>
          <t>Full: wording polish</t>
        </is>
      </c>
      <c r="K77" s="16" t="n"/>
      <c r="L77" s="17" t="inlineStr">
        <is>
          <t>Mind Elemental + Water Elemental + 1500 cost</t>
        </is>
      </c>
      <c r="M77" s="17" t="inlineStr">
        <is>
          <t xml:space="preserve">00000
01110 
01110
01110
00000
</t>
        </is>
      </c>
      <c r="N77" s="16" t="n"/>
      <c r="O77" s="16" t="n"/>
      <c r="P77" s="16" t="n"/>
    </row>
    <row r="78" ht="80.05" customHeight="1" s="47">
      <c r="A78" s="8" t="inlineStr">
        <is>
          <t>Vacuum Elemental</t>
        </is>
      </c>
      <c r="B78" s="9" t="inlineStr">
        <is>
          <t>Union</t>
        </is>
      </c>
      <c r="C78" s="16" t="n"/>
      <c r="D78" s="16" t="n">
        <v>155</v>
      </c>
      <c r="E78" s="16" t="n">
        <v>0</v>
      </c>
      <c r="F78" s="17" t="inlineStr">
        <is>
          <t>Arcane</t>
        </is>
      </c>
      <c r="G78" s="16" t="n"/>
      <c r="H78" s="16" t="n"/>
      <c r="I78" s="17" t="inlineStr">
        <is>
          <t>None</t>
        </is>
      </c>
      <c r="K78" s="16" t="n"/>
      <c r="L78" s="17" t="inlineStr">
        <is>
          <t>Mind Elemental + Wind Elemental + 1500 cost</t>
        </is>
      </c>
      <c r="M78" s="17" t="inlineStr">
        <is>
          <t xml:space="preserve">00000
01110 
01110
01110
00000
</t>
        </is>
      </c>
      <c r="N78" s="16" t="n"/>
      <c r="O78" s="16" t="n"/>
      <c r="P78" s="16" t="n"/>
    </row>
    <row r="79" ht="80.05" customHeight="1" s="47">
      <c r="A79" s="8" t="inlineStr">
        <is>
          <t>Magnet Elemental</t>
        </is>
      </c>
      <c r="B79" s="9" t="inlineStr">
        <is>
          <t>Union</t>
        </is>
      </c>
      <c r="C79" s="16" t="n"/>
      <c r="D79" s="16" t="n">
        <v>10</v>
      </c>
      <c r="E79" s="16" t="n">
        <v>120</v>
      </c>
      <c r="F79" s="17" t="inlineStr">
        <is>
          <t>Arcane</t>
        </is>
      </c>
      <c r="G79" s="16" t="n"/>
      <c r="H79" s="16" t="n"/>
      <c r="I79" s="17" t="inlineStr">
        <is>
          <t>Foe’s non-Arcane cards cannot target Exposed unit other than this card.</t>
        </is>
      </c>
      <c r="J79" t="inlineStr">
        <is>
          <t>Full: wording polish</t>
        </is>
      </c>
      <c r="K79" s="16" t="n"/>
      <c r="L79" s="17" t="inlineStr">
        <is>
          <t>Mind Elemental + Earth Elemental + 1500 cost</t>
        </is>
      </c>
      <c r="M79" s="17" t="inlineStr">
        <is>
          <t xml:space="preserve">00000
01110 
01110
01110
00000
</t>
        </is>
      </c>
      <c r="N79" s="16" t="n"/>
      <c r="O79" s="16" t="n"/>
      <c r="P79" s="16" t="n"/>
    </row>
    <row r="80" ht="80.05" customHeight="1" s="47">
      <c r="A80" s="8" t="inlineStr">
        <is>
          <t>Dwarven Berserker</t>
        </is>
      </c>
      <c r="B80" s="9" t="inlineStr">
        <is>
          <t>Union</t>
        </is>
      </c>
      <c r="C80" s="16" t="n"/>
      <c r="D80" s="16" t="n">
        <v>120</v>
      </c>
      <c r="E80" s="16" t="n">
        <v>0</v>
      </c>
      <c r="F80" s="17" t="inlineStr">
        <is>
          <t>Arcane</t>
        </is>
      </c>
      <c r="G80" s="16" t="n"/>
      <c r="H80" s="16" t="n"/>
      <c r="I80" s="17" t="inlineStr">
        <is>
          <t>This card can attack twice</t>
        </is>
      </c>
      <c r="K80" s="16" t="n"/>
      <c r="L80" s="17" t="inlineStr">
        <is>
          <t>1 Dwarven card + 1 Arcane or Anima card + 1500 cost</t>
        </is>
      </c>
      <c r="M80" s="17" t="inlineStr">
        <is>
          <t xml:space="preserve">01110
10101 
00100
00100
00000
</t>
        </is>
      </c>
      <c r="N80" s="16" t="n"/>
      <c r="O80" s="16" t="n"/>
      <c r="P80" s="16" t="n"/>
    </row>
    <row r="81" ht="20.05" customHeight="1" s="47">
      <c r="A81" s="8" t="inlineStr">
        <is>
          <t>Tholin Whale</t>
        </is>
      </c>
      <c r="B81" s="12" t="n"/>
      <c r="C81" s="16" t="n"/>
      <c r="D81" s="16" t="n"/>
      <c r="E81" s="16" t="n"/>
      <c r="F81" s="16" t="n"/>
      <c r="G81" s="16" t="n"/>
      <c r="H81" s="16" t="n"/>
      <c r="I81" s="16" t="n"/>
      <c r="K81" s="16" t="n"/>
      <c r="L81" s="16" t="n"/>
      <c r="M81" s="16" t="n"/>
      <c r="N81" s="16" t="n"/>
      <c r="O81" s="16" t="n"/>
      <c r="P81" s="16" t="n"/>
    </row>
    <row r="82" ht="32.05" customHeight="1" s="47">
      <c r="A82" s="8" t="inlineStr">
        <is>
          <t>Fujin Raijin Suigin</t>
        </is>
      </c>
      <c r="B82" s="12" t="n"/>
      <c r="C82" s="16" t="n"/>
      <c r="D82" s="16" t="n">
        <v>160</v>
      </c>
      <c r="E82" s="16" t="n">
        <v>160</v>
      </c>
      <c r="F82" s="17" t="inlineStr">
        <is>
          <t>Divine</t>
        </is>
      </c>
      <c r="G82" s="16" t="n"/>
      <c r="H82" s="16" t="n"/>
      <c r="I82" s="17" t="inlineStr">
        <is>
          <t>None</t>
        </is>
      </c>
      <c r="K82" s="16" t="n"/>
      <c r="L82" s="17" t="inlineStr">
        <is>
          <t>Fujin + Raijin + Suigin + 1000 cost</t>
        </is>
      </c>
      <c r="M82" s="16" t="n"/>
      <c r="N82" s="16" t="n"/>
      <c r="O82" s="16" t="n"/>
      <c r="P82" s="16" t="n"/>
    </row>
    <row r="83" ht="44.05" customHeight="1" s="47">
      <c r="A83" s="8" t="inlineStr">
        <is>
          <t>Dark Invader</t>
        </is>
      </c>
      <c r="B83" s="12" t="n"/>
      <c r="C83" s="16" t="n"/>
      <c r="D83" s="16" t="n"/>
      <c r="E83" s="16" t="n"/>
      <c r="F83" s="17" t="inlineStr">
        <is>
          <t>Cosmic</t>
        </is>
      </c>
      <c r="G83" s="16" t="n"/>
      <c r="H83" s="16" t="n"/>
      <c r="I83" s="16" t="n"/>
      <c r="K83" s="16" t="n"/>
      <c r="L83" s="17" t="inlineStr">
        <is>
          <t>Liam the Vastrunner + 1 Cosmic card + 1500 cost</t>
        </is>
      </c>
      <c r="M83" s="16" t="n"/>
      <c r="N83" s="16" t="n"/>
      <c r="O83" s="16" t="n"/>
      <c r="P83" s="16" t="n"/>
    </row>
    <row r="84" ht="32.05" customHeight="1" s="47">
      <c r="A84" s="8" t="inlineStr">
        <is>
          <t>Europan Tankmaster</t>
        </is>
      </c>
      <c r="B84" s="12" t="n"/>
      <c r="C84" s="16" t="n"/>
      <c r="D84" s="16" t="n"/>
      <c r="E84" s="16" t="n"/>
      <c r="F84" s="17" t="inlineStr">
        <is>
          <t>Cosmic</t>
        </is>
      </c>
      <c r="G84" s="16" t="n"/>
      <c r="H84" s="16" t="n"/>
      <c r="I84" s="16" t="n"/>
      <c r="K84" s="16" t="n"/>
      <c r="L84" s="17" t="inlineStr">
        <is>
          <t>2 Europan cards + 1000 cost</t>
        </is>
      </c>
      <c r="M84" s="16" t="n"/>
      <c r="N84" s="16" t="n"/>
      <c r="O84" s="16" t="n"/>
      <c r="P84" s="16" t="n"/>
    </row>
    <row r="85" ht="20.05" customHeight="1" s="47">
      <c r="A85" s="8" t="inlineStr">
        <is>
          <t>Nanomites Dragon</t>
        </is>
      </c>
      <c r="B85" s="12" t="n"/>
      <c r="C85" s="16" t="n"/>
      <c r="D85" s="16" t="n"/>
      <c r="E85" s="16" t="n"/>
      <c r="F85" s="17" t="inlineStr">
        <is>
          <t>Bio</t>
        </is>
      </c>
      <c r="G85" s="16" t="n"/>
      <c r="H85" s="16" t="n"/>
      <c r="I85" s="16" t="n"/>
      <c r="K85" s="16" t="n"/>
      <c r="L85" s="16" t="n"/>
      <c r="M85" s="16" t="n"/>
      <c r="N85" s="16" t="n"/>
      <c r="O85" s="16" t="n"/>
      <c r="P85" s="16" t="n"/>
    </row>
    <row r="86" ht="80.05" customHeight="1" s="47">
      <c r="A86" s="8" t="inlineStr">
        <is>
          <t>Capnomancer</t>
        </is>
      </c>
      <c r="B86" s="9" t="inlineStr">
        <is>
          <t>Union</t>
        </is>
      </c>
      <c r="C86" s="16" t="n">
        <v>0</v>
      </c>
      <c r="D86" s="16" t="n">
        <v>0</v>
      </c>
      <c r="E86" s="16" t="n">
        <v>120</v>
      </c>
      <c r="F86" s="17" t="inlineStr">
        <is>
          <t>Arcane</t>
        </is>
      </c>
      <c r="G86" s="16" t="n"/>
      <c r="H86" s="17" t="inlineStr">
        <is>
          <t>Their turn start: the owner can destroy this card to ???</t>
        </is>
      </c>
      <c r="I86" s="17" t="inlineStr">
        <is>
          <t>Turn start: owner may destroy this unit to revive Pyromancer.</t>
        </is>
      </c>
      <c r="J86" t="inlineStr">
        <is>
          <t>Full: Single ability only (no coin flip); shortened wording.</t>
        </is>
      </c>
      <c r="K86" s="17" t="inlineStr">
        <is>
          <t>1 ???</t>
        </is>
      </c>
      <c r="L86" s="17" t="inlineStr">
        <is>
          <t>1 Pyromancer + 1000 cost</t>
        </is>
      </c>
      <c r="M86" s="17" t="inlineStr">
        <is>
          <t xml:space="preserve">00000
01110 
01110
01110
00000
</t>
        </is>
      </c>
      <c r="N86" s="16" t="n"/>
      <c r="O86" s="16" t="n"/>
      <c r="P86" s="16" t="n"/>
    </row>
    <row r="87" ht="20.05" customHeight="1" s="47">
      <c r="A87" s="8" t="inlineStr">
        <is>
          <t>Immortal Siegfried</t>
        </is>
      </c>
      <c r="B87" s="12" t="n"/>
      <c r="C87" s="16" t="n"/>
      <c r="D87" s="16" t="n"/>
      <c r="E87" s="16" t="n"/>
      <c r="F87" s="17" t="inlineStr">
        <is>
          <t>Anima</t>
        </is>
      </c>
      <c r="G87" s="16" t="n"/>
      <c r="H87" s="16" t="n"/>
      <c r="I87" s="16" t="n"/>
      <c r="K87" s="16" t="n"/>
      <c r="L87" s="16" t="n"/>
      <c r="M87" s="16" t="n"/>
      <c r="N87" s="16" t="n"/>
      <c r="O87" s="16" t="n"/>
      <c r="P87" s="16" t="n"/>
    </row>
    <row r="88" ht="80.05" customHeight="1" s="47">
      <c r="A88" s="8" t="inlineStr">
        <is>
          <t>Dark Champion</t>
        </is>
      </c>
      <c r="B88" s="12" t="n"/>
      <c r="C88" s="16" t="n"/>
      <c r="D88" s="16" t="n">
        <v>170</v>
      </c>
      <c r="E88" s="16" t="n">
        <v>150</v>
      </c>
      <c r="F88" s="16" t="n"/>
      <c r="G88" s="16" t="n"/>
      <c r="H88" s="17" t="inlineStr">
        <is>
          <t>Cannot select unit with 0 DEF as attack target. Destroy this card in Reckoning with 0 ATK unit</t>
        </is>
      </c>
      <c r="I88" s="17" t="inlineStr">
        <is>
          <t>Cannot select unit with ?? DEF as attack target. Destroy this card in Reckoning with ???</t>
        </is>
      </c>
      <c r="K88" s="16" t="n"/>
      <c r="L88" s="16" t="n"/>
      <c r="M88" s="16" t="n"/>
      <c r="N88" s="16" t="n"/>
      <c r="O88" s="16" t="n"/>
      <c r="P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I89" s="16" t="n"/>
      <c r="K89" s="16" t="n"/>
      <c r="L89" s="16" t="n"/>
      <c r="M89" s="16" t="n"/>
      <c r="N89" s="16" t="n"/>
      <c r="O89" s="16" t="n"/>
      <c r="P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I90" s="16" t="n"/>
      <c r="K90" s="16" t="n"/>
      <c r="L90" s="16" t="n"/>
      <c r="M90" s="16" t="n"/>
      <c r="N90" s="16" t="n"/>
      <c r="O90" s="16" t="n"/>
      <c r="P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I91" s="16" t="n"/>
      <c r="K91" s="16" t="n"/>
      <c r="L91" s="16" t="n"/>
      <c r="M91" s="16" t="n"/>
      <c r="N91" s="16" t="n"/>
      <c r="O91" s="16" t="n"/>
      <c r="P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I92" s="16" t="n"/>
      <c r="K92" s="16" t="n"/>
      <c r="L92" s="16" t="n"/>
      <c r="M92" s="16" t="n"/>
      <c r="N92" s="16" t="n"/>
      <c r="O92" s="16" t="n"/>
      <c r="P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I93" s="16" t="n"/>
      <c r="K93" s="16" t="n"/>
      <c r="L93" s="16" t="n"/>
      <c r="M93" s="16" t="n"/>
      <c r="N93" s="16" t="n"/>
      <c r="O93" s="16" t="n"/>
      <c r="P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I94" s="16" t="n"/>
      <c r="K94" s="16" t="n"/>
      <c r="L94" s="16" t="n"/>
      <c r="M94" s="16" t="n"/>
      <c r="N94" s="16" t="n"/>
      <c r="O94" s="16" t="n"/>
      <c r="P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I95" s="16" t="n"/>
      <c r="K95" s="16" t="n"/>
      <c r="L95" s="16" t="n"/>
      <c r="M95" s="16" t="n"/>
      <c r="N95" s="16" t="n"/>
      <c r="O95" s="16" t="n"/>
      <c r="P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I96" s="16" t="n"/>
      <c r="K96" s="16" t="n"/>
      <c r="L96" s="16" t="n"/>
      <c r="M96" s="16" t="n"/>
      <c r="N96" s="16" t="n"/>
      <c r="O96" s="16" t="n"/>
      <c r="P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I97" s="16" t="n"/>
      <c r="K97" s="16" t="n"/>
      <c r="L97" s="16" t="n"/>
      <c r="M97" s="16" t="n"/>
      <c r="N97" s="16" t="n"/>
      <c r="O97" s="16" t="n"/>
      <c r="P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I98" s="16" t="n"/>
      <c r="K98" s="16" t="n"/>
      <c r="L98" s="16" t="n"/>
      <c r="M98" s="16" t="n"/>
      <c r="N98" s="16" t="n"/>
      <c r="O98" s="16" t="n"/>
      <c r="P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I99" s="16" t="n"/>
      <c r="K99" s="16" t="n"/>
      <c r="L99" s="16" t="n"/>
      <c r="M99" s="16" t="n"/>
      <c r="N99" s="16" t="n"/>
      <c r="O99" s="16" t="n"/>
      <c r="P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I100" s="16" t="n"/>
      <c r="K100" s="16" t="n"/>
      <c r="L100" s="16" t="n"/>
      <c r="M100" s="16" t="n"/>
      <c r="N100" s="16" t="n"/>
      <c r="O100" s="16" t="n"/>
      <c r="P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I101" s="16" t="n"/>
      <c r="K101" s="16" t="n"/>
      <c r="L101" s="16" t="n"/>
      <c r="M101" s="16" t="n"/>
      <c r="N101" s="16" t="n"/>
      <c r="O101" s="16" t="n"/>
      <c r="P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I102" s="16" t="n"/>
      <c r="K102" s="16" t="n"/>
      <c r="L102" s="16" t="n"/>
      <c r="M102" s="16" t="n"/>
      <c r="N102" s="16" t="n"/>
      <c r="O102" s="16" t="n"/>
      <c r="P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I103" s="16" t="n"/>
      <c r="K103" s="16" t="n"/>
      <c r="L103" s="16" t="n"/>
      <c r="M103" s="16" t="n"/>
      <c r="N103" s="16" t="n"/>
      <c r="O103" s="16" t="n"/>
      <c r="P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I104" s="16" t="n"/>
      <c r="K104" s="16" t="n"/>
      <c r="L104" s="16" t="n"/>
      <c r="M104" s="16" t="n"/>
      <c r="N104" s="16" t="n"/>
      <c r="O104" s="16" t="n"/>
      <c r="P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I105" s="16" t="n"/>
      <c r="K105" s="16" t="n"/>
      <c r="L105" s="16" t="n"/>
      <c r="M105" s="16" t="n"/>
      <c r="N105" s="16" t="n"/>
      <c r="O105" s="16" t="n"/>
      <c r="P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I106" s="16" t="n"/>
      <c r="K106" s="16" t="n"/>
      <c r="L106" s="16" t="n"/>
      <c r="M106" s="16" t="n"/>
      <c r="N106" s="16" t="n"/>
      <c r="O106" s="16" t="n"/>
      <c r="P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I107" s="16" t="n"/>
      <c r="K107" s="16" t="n"/>
      <c r="L107" s="16" t="n"/>
      <c r="M107" s="16" t="n"/>
      <c r="N107" s="16" t="n"/>
      <c r="O107" s="16" t="n"/>
      <c r="P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I108" s="16" t="n"/>
      <c r="K108" s="16" t="n"/>
      <c r="L108" s="16" t="n"/>
      <c r="M108" s="16" t="n"/>
      <c r="N108" s="16" t="n"/>
      <c r="O108" s="16" t="n"/>
      <c r="P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I109" s="16" t="n"/>
      <c r="K109" s="16" t="n"/>
      <c r="L109" s="16" t="n"/>
      <c r="M109" s="16" t="n"/>
      <c r="N109" s="16" t="n"/>
      <c r="O109" s="16" t="n"/>
      <c r="P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I110" s="16" t="n"/>
      <c r="K110" s="16" t="n"/>
      <c r="L110" s="16" t="n"/>
      <c r="M110" s="16" t="n"/>
      <c r="N110" s="16" t="n"/>
      <c r="O110" s="16" t="n"/>
      <c r="P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I111" s="16" t="n"/>
      <c r="K111" s="16" t="n"/>
      <c r="L111" s="16" t="n"/>
      <c r="M111" s="16" t="n"/>
      <c r="N111" s="16" t="n"/>
      <c r="O111" s="16" t="n"/>
      <c r="P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I112" s="16" t="n"/>
      <c r="K112" s="16" t="n"/>
      <c r="L112" s="16" t="n"/>
      <c r="M112" s="16" t="n"/>
      <c r="N112" s="16" t="n"/>
      <c r="O112" s="16" t="n"/>
      <c r="P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I113" s="16" t="n"/>
      <c r="K113" s="16" t="n"/>
      <c r="L113" s="16" t="n"/>
      <c r="M113" s="16" t="n"/>
      <c r="N113" s="16" t="n"/>
      <c r="O113" s="16" t="n"/>
      <c r="P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I114" s="16" t="n"/>
      <c r="K114" s="16" t="n"/>
      <c r="L114" s="16" t="n"/>
      <c r="M114" s="16" t="n"/>
      <c r="N114" s="16" t="n"/>
      <c r="O114" s="16" t="n"/>
      <c r="P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I115" s="16" t="n"/>
      <c r="K115" s="16" t="n"/>
      <c r="L115" s="16" t="n"/>
      <c r="M115" s="16" t="n"/>
      <c r="N115" s="16" t="n"/>
      <c r="O115" s="16" t="n"/>
      <c r="P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I116" s="16" t="n"/>
      <c r="K116" s="16" t="n"/>
      <c r="L116" s="16" t="n"/>
      <c r="M116" s="16" t="n"/>
      <c r="N116" s="16" t="n"/>
      <c r="O116" s="16" t="n"/>
      <c r="P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I117" s="16" t="n"/>
      <c r="K117" s="16" t="n"/>
      <c r="L117" s="16" t="n"/>
      <c r="M117" s="16" t="n"/>
      <c r="N117" s="16" t="n"/>
      <c r="O117" s="16" t="n"/>
      <c r="P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I118" s="16" t="n"/>
      <c r="K118" s="16" t="n"/>
      <c r="L118" s="16" t="n"/>
      <c r="M118" s="16" t="n"/>
      <c r="N118" s="16" t="n"/>
      <c r="O118" s="16" t="n"/>
      <c r="P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I119" s="16" t="n"/>
      <c r="K119" s="16" t="n"/>
      <c r="L119" s="16" t="n"/>
      <c r="M119" s="16" t="n"/>
      <c r="N119" s="16" t="n"/>
      <c r="O119" s="16" t="n"/>
      <c r="P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I120" s="16" t="n"/>
      <c r="K120" s="16" t="n"/>
      <c r="L120" s="16" t="n"/>
      <c r="M120" s="16" t="n"/>
      <c r="N120" s="16" t="n"/>
      <c r="O120" s="16" t="n"/>
      <c r="P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I121" s="16" t="n"/>
      <c r="K121" s="16" t="n"/>
      <c r="L121" s="16" t="n"/>
      <c r="M121" s="16" t="n"/>
      <c r="N121" s="16" t="n"/>
      <c r="O121" s="16" t="n"/>
      <c r="P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I122" s="16" t="n"/>
      <c r="K122" s="16" t="n"/>
      <c r="L122" s="16" t="n"/>
      <c r="M122" s="16" t="n"/>
      <c r="N122" s="16" t="n"/>
      <c r="O122" s="16" t="n"/>
      <c r="P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I123" s="16" t="n"/>
      <c r="K123" s="16" t="n"/>
      <c r="L123" s="16" t="n"/>
      <c r="M123" s="16" t="n"/>
      <c r="N123" s="16" t="n"/>
      <c r="O123" s="16" t="n"/>
      <c r="P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I124" s="16" t="n"/>
      <c r="K124" s="16" t="n"/>
      <c r="L124" s="16" t="n"/>
      <c r="M124" s="16" t="n"/>
      <c r="N124" s="16" t="n"/>
      <c r="O124" s="16" t="n"/>
      <c r="P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I125" s="16" t="n"/>
      <c r="K125" s="16" t="n"/>
      <c r="L125" s="16" t="n"/>
      <c r="M125" s="16" t="n"/>
      <c r="N125" s="16" t="n"/>
      <c r="O125" s="16" t="n"/>
      <c r="P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I126" s="16" t="n"/>
      <c r="K126" s="16" t="n"/>
      <c r="L126" s="16" t="n"/>
      <c r="M126" s="16" t="n"/>
      <c r="N126" s="16" t="n"/>
      <c r="O126" s="16" t="n"/>
      <c r="P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I127" s="16" t="n"/>
      <c r="K127" s="16" t="n"/>
      <c r="L127" s="16" t="n"/>
      <c r="M127" s="16" t="n"/>
      <c r="N127" s="16" t="n"/>
      <c r="O127" s="16" t="n"/>
      <c r="P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I128" s="16" t="n"/>
      <c r="K128" s="16" t="n"/>
      <c r="L128" s="16" t="n"/>
      <c r="M128" s="16" t="n"/>
      <c r="N128" s="16" t="n"/>
      <c r="O128" s="16" t="n"/>
      <c r="P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I129" s="16" t="n"/>
      <c r="K129" s="16" t="n"/>
      <c r="L129" s="16" t="n"/>
      <c r="M129" s="16" t="n"/>
      <c r="N129" s="16" t="n"/>
      <c r="O129" s="16" t="n"/>
      <c r="P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I130" s="16" t="n"/>
      <c r="K130" s="16" t="n"/>
      <c r="L130" s="16" t="n"/>
      <c r="M130" s="16" t="n"/>
      <c r="N130" s="16" t="n"/>
      <c r="O130" s="16" t="n"/>
      <c r="P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I131" s="16" t="n"/>
      <c r="K131" s="16" t="n"/>
      <c r="L131" s="16" t="n"/>
      <c r="M131" s="16" t="n"/>
      <c r="N131" s="16" t="n"/>
      <c r="O131" s="16" t="n"/>
      <c r="P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I132" s="16" t="n"/>
      <c r="K132" s="16" t="n"/>
      <c r="L132" s="16" t="n"/>
      <c r="M132" s="16" t="n"/>
      <c r="N132" s="16" t="n"/>
      <c r="O132" s="16" t="n"/>
      <c r="P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I133" s="16" t="n"/>
      <c r="K133" s="16" t="n"/>
      <c r="L133" s="16" t="n"/>
      <c r="M133" s="16" t="n"/>
      <c r="N133" s="16" t="n"/>
      <c r="O133" s="16" t="n"/>
      <c r="P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I134" s="16" t="n"/>
      <c r="K134" s="16" t="n"/>
      <c r="L134" s="16" t="n"/>
      <c r="M134" s="16" t="n"/>
      <c r="N134" s="16" t="n"/>
      <c r="O134" s="16" t="n"/>
      <c r="P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I135" s="16" t="n"/>
      <c r="K135" s="16" t="n"/>
      <c r="L135" s="16" t="n"/>
      <c r="M135" s="16" t="n"/>
      <c r="N135" s="16" t="n"/>
      <c r="O135" s="16" t="n"/>
      <c r="P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I136" s="16" t="n"/>
      <c r="K136" s="16" t="n"/>
      <c r="L136" s="16" t="n"/>
      <c r="M136" s="16" t="n"/>
      <c r="N136" s="16" t="n"/>
      <c r="O136" s="16" t="n"/>
      <c r="P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I137" s="16" t="n"/>
      <c r="K137" s="16" t="n"/>
      <c r="L137" s="16" t="n"/>
      <c r="M137" s="16" t="n"/>
      <c r="N137" s="16" t="n"/>
      <c r="O137" s="16" t="n"/>
      <c r="P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I138" s="16" t="n"/>
      <c r="K138" s="16" t="n"/>
      <c r="L138" s="16" t="n"/>
      <c r="M138" s="16" t="n"/>
      <c r="N138" s="16" t="n"/>
      <c r="O138" s="16" t="n"/>
      <c r="P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I139" s="16" t="n"/>
      <c r="K139" s="16" t="n"/>
      <c r="L139" s="16" t="n"/>
      <c r="M139" s="16" t="n"/>
      <c r="N139" s="16" t="n"/>
      <c r="O139" s="16" t="n"/>
      <c r="P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I140" s="16" t="n"/>
      <c r="K140" s="16" t="n"/>
      <c r="L140" s="16" t="n"/>
      <c r="M140" s="16" t="n"/>
      <c r="N140" s="16" t="n"/>
      <c r="O140" s="16" t="n"/>
      <c r="P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I141" s="16" t="n"/>
      <c r="K141" s="16" t="n"/>
      <c r="L141" s="16" t="n"/>
      <c r="M141" s="16" t="n"/>
      <c r="N141" s="16" t="n"/>
      <c r="O141" s="16" t="n"/>
      <c r="P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I142" s="16" t="n"/>
      <c r="K142" s="16" t="n"/>
      <c r="L142" s="16" t="n"/>
      <c r="M142" s="16" t="n"/>
      <c r="N142" s="16" t="n"/>
      <c r="O142" s="16" t="n"/>
      <c r="P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I143" s="16" t="n"/>
      <c r="K143" s="16" t="n"/>
      <c r="L143" s="16" t="n"/>
      <c r="M143" s="16" t="n"/>
      <c r="N143" s="16" t="n"/>
      <c r="O143" s="16" t="n"/>
      <c r="P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I144" s="16" t="n"/>
      <c r="K144" s="16" t="n"/>
      <c r="L144" s="16" t="n"/>
      <c r="M144" s="16" t="n"/>
      <c r="N144" s="16" t="n"/>
      <c r="O144" s="16" t="n"/>
      <c r="P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I145" s="16" t="n"/>
      <c r="K145" s="16" t="n"/>
      <c r="L145" s="16" t="n"/>
      <c r="M145" s="16" t="n"/>
      <c r="N145" s="16" t="n"/>
      <c r="O145" s="16" t="n"/>
      <c r="P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I146" s="16" t="n"/>
      <c r="K146" s="16" t="n"/>
      <c r="L146" s="16" t="n"/>
      <c r="M146" s="16" t="n"/>
      <c r="N146" s="16" t="n"/>
      <c r="O146" s="16" t="n"/>
      <c r="P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I147" s="16" t="n"/>
      <c r="K147" s="16" t="n"/>
      <c r="L147" s="16" t="n"/>
      <c r="M147" s="16" t="n"/>
      <c r="N147" s="16" t="n"/>
      <c r="O147" s="16" t="n"/>
      <c r="P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I148" s="16" t="n"/>
      <c r="K148" s="16" t="n"/>
      <c r="L148" s="16" t="n"/>
      <c r="M148" s="16" t="n"/>
      <c r="N148" s="16" t="n"/>
      <c r="O148" s="16" t="n"/>
      <c r="P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I149" s="16" t="n"/>
      <c r="K149" s="16" t="n"/>
      <c r="L149" s="16" t="n"/>
      <c r="M149" s="16" t="n"/>
      <c r="N149" s="16" t="n"/>
      <c r="O149" s="16" t="n"/>
      <c r="P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I150" s="16" t="n"/>
      <c r="K150" s="16" t="n"/>
      <c r="L150" s="16" t="n"/>
      <c r="M150" s="16" t="n"/>
      <c r="N150" s="16" t="n"/>
      <c r="O150" s="16" t="n"/>
      <c r="P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I151" s="16" t="n"/>
      <c r="K151" s="16" t="n"/>
      <c r="L151" s="16" t="n"/>
      <c r="M151" s="16" t="n"/>
      <c r="N151" s="16" t="n"/>
      <c r="O151" s="16" t="n"/>
      <c r="P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I152" s="16" t="n"/>
      <c r="K152" s="16" t="n"/>
      <c r="L152" s="16" t="n"/>
      <c r="M152" s="16" t="n"/>
      <c r="N152" s="16" t="n"/>
      <c r="O152" s="16" t="n"/>
      <c r="P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I153" s="16" t="n"/>
      <c r="K153" s="16" t="n"/>
      <c r="L153" s="16" t="n"/>
      <c r="M153" s="16" t="n"/>
      <c r="N153" s="16" t="n"/>
      <c r="O153" s="16" t="n"/>
      <c r="P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I154" s="16" t="n"/>
      <c r="K154" s="16" t="n"/>
      <c r="L154" s="16" t="n"/>
      <c r="M154" s="16" t="n"/>
      <c r="N154" s="16" t="n"/>
      <c r="O154" s="16" t="n"/>
      <c r="P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I155" s="16" t="n"/>
      <c r="K155" s="16" t="n"/>
      <c r="L155" s="16" t="n"/>
      <c r="M155" s="16" t="n"/>
      <c r="N155" s="16" t="n"/>
      <c r="O155" s="16" t="n"/>
      <c r="P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I156" s="16" t="n"/>
      <c r="K156" s="16" t="n"/>
      <c r="L156" s="16" t="n"/>
      <c r="M156" s="16" t="n"/>
      <c r="N156" s="16" t="n"/>
      <c r="O156" s="16" t="n"/>
      <c r="P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I157" s="16" t="n"/>
      <c r="K157" s="16" t="n"/>
      <c r="L157" s="16" t="n"/>
      <c r="M157" s="16" t="n"/>
      <c r="N157" s="16" t="n"/>
      <c r="O157" s="16" t="n"/>
      <c r="P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I158" s="16" t="n"/>
      <c r="K158" s="16" t="n"/>
      <c r="L158" s="16" t="n"/>
      <c r="M158" s="16" t="n"/>
      <c r="N158" s="16" t="n"/>
      <c r="O158" s="16" t="n"/>
      <c r="P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I159" s="16" t="n"/>
      <c r="K159" s="16" t="n"/>
      <c r="L159" s="16" t="n"/>
      <c r="M159" s="16" t="n"/>
      <c r="N159" s="16" t="n"/>
      <c r="O159" s="16" t="n"/>
      <c r="P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I160" s="16" t="n"/>
      <c r="K160" s="16" t="n"/>
      <c r="L160" s="16" t="n"/>
      <c r="M160" s="16" t="n"/>
      <c r="N160" s="16" t="n"/>
      <c r="O160" s="16" t="n"/>
      <c r="P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I161" s="16" t="n"/>
      <c r="K161" s="16" t="n"/>
      <c r="L161" s="16" t="n"/>
      <c r="M161" s="16" t="n"/>
      <c r="N161" s="16" t="n"/>
      <c r="O161" s="16" t="n"/>
      <c r="P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I162" s="16" t="n"/>
      <c r="K162" s="16" t="n"/>
      <c r="L162" s="16" t="n"/>
      <c r="M162" s="16" t="n"/>
      <c r="N162" s="16" t="n"/>
      <c r="O162" s="16" t="n"/>
      <c r="P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I163" s="16" t="n"/>
      <c r="K163" s="16" t="n"/>
      <c r="L163" s="16" t="n"/>
      <c r="M163" s="16" t="n"/>
      <c r="N163" s="16" t="n"/>
      <c r="O163" s="16" t="n"/>
      <c r="P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I164" s="16" t="n"/>
      <c r="K164" s="16" t="n"/>
      <c r="L164" s="16" t="n"/>
      <c r="M164" s="16" t="n"/>
      <c r="N164" s="16" t="n"/>
      <c r="O164" s="16" t="n"/>
      <c r="P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I165" s="16" t="n"/>
      <c r="K165" s="16" t="n"/>
      <c r="L165" s="16" t="n"/>
      <c r="M165" s="16" t="n"/>
      <c r="N165" s="16" t="n"/>
      <c r="O165" s="16" t="n"/>
      <c r="P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I166" s="16" t="n"/>
      <c r="K166" s="16" t="n"/>
      <c r="L166" s="16" t="n"/>
      <c r="M166" s="16" t="n"/>
      <c r="N166" s="16" t="n"/>
      <c r="O166" s="16" t="n"/>
      <c r="P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I167" s="16" t="n"/>
      <c r="K167" s="16" t="n"/>
      <c r="L167" s="16" t="n"/>
      <c r="M167" s="16" t="n"/>
      <c r="N167" s="16" t="n"/>
      <c r="O167" s="16" t="n"/>
      <c r="P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I168" s="16" t="n"/>
      <c r="K168" s="16" t="n"/>
      <c r="L168" s="16" t="n"/>
      <c r="M168" s="16" t="n"/>
      <c r="N168" s="16" t="n"/>
      <c r="O168" s="16" t="n"/>
      <c r="P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I169" s="16" t="n"/>
      <c r="K169" s="16" t="n"/>
      <c r="L169" s="16" t="n"/>
      <c r="M169" s="16" t="n"/>
      <c r="N169" s="16" t="n"/>
      <c r="O169" s="16" t="n"/>
      <c r="P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I170" s="16" t="n"/>
      <c r="K170" s="16" t="n"/>
      <c r="L170" s="16" t="n"/>
      <c r="M170" s="16" t="n"/>
      <c r="N170" s="16" t="n"/>
      <c r="O170" s="16" t="n"/>
      <c r="P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I171" s="16" t="n"/>
      <c r="K171" s="16" t="n"/>
      <c r="L171" s="16" t="n"/>
      <c r="M171" s="16" t="n"/>
      <c r="N171" s="16" t="n"/>
      <c r="O171" s="16" t="n"/>
      <c r="P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I172" s="16" t="n"/>
      <c r="K172" s="16" t="n"/>
      <c r="L172" s="16" t="n"/>
      <c r="M172" s="16" t="n"/>
      <c r="N172" s="16" t="n"/>
      <c r="O172" s="16" t="n"/>
      <c r="P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I173" s="16" t="n"/>
      <c r="K173" s="16" t="n"/>
      <c r="L173" s="16" t="n"/>
      <c r="M173" s="16" t="n"/>
      <c r="N173" s="16" t="n"/>
      <c r="O173" s="16" t="n"/>
      <c r="P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I174" s="16" t="n"/>
      <c r="K174" s="16" t="n"/>
      <c r="L174" s="16" t="n"/>
      <c r="M174" s="16" t="n"/>
      <c r="N174" s="16" t="n"/>
      <c r="O174" s="16" t="n"/>
      <c r="P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I175" s="16" t="n"/>
      <c r="K175" s="16" t="n"/>
      <c r="L175" s="16" t="n"/>
      <c r="M175" s="16" t="n"/>
      <c r="N175" s="16" t="n"/>
      <c r="O175" s="16" t="n"/>
      <c r="P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I176" s="16" t="n"/>
      <c r="K176" s="16" t="n"/>
      <c r="L176" s="16" t="n"/>
      <c r="M176" s="16" t="n"/>
      <c r="N176" s="16" t="n"/>
      <c r="O176" s="16" t="n"/>
      <c r="P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I177" s="16" t="n"/>
      <c r="K177" s="16" t="n"/>
      <c r="L177" s="16" t="n"/>
      <c r="M177" s="16" t="n"/>
      <c r="N177" s="16" t="n"/>
      <c r="O177" s="16" t="n"/>
      <c r="P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I178" s="16" t="n"/>
      <c r="K178" s="16" t="n"/>
      <c r="L178" s="16" t="n"/>
      <c r="M178" s="16" t="n"/>
      <c r="N178" s="16" t="n"/>
      <c r="O178" s="16" t="n"/>
      <c r="P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I179" s="16" t="n"/>
      <c r="K179" s="16" t="n"/>
      <c r="L179" s="16" t="n"/>
      <c r="M179" s="16" t="n"/>
      <c r="N179" s="16" t="n"/>
      <c r="O179" s="16" t="n"/>
      <c r="P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I180" s="16" t="n"/>
      <c r="K180" s="16" t="n"/>
      <c r="L180" s="16" t="n"/>
      <c r="M180" s="16" t="n"/>
      <c r="N180" s="16" t="n"/>
      <c r="O180" s="16" t="n"/>
      <c r="P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I181" s="16" t="n"/>
      <c r="K181" s="16" t="n"/>
      <c r="L181" s="16" t="n"/>
      <c r="M181" s="16" t="n"/>
      <c r="N181" s="16" t="n"/>
      <c r="O181" s="16" t="n"/>
      <c r="P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I182" s="16" t="n"/>
      <c r="K182" s="16" t="n"/>
      <c r="L182" s="16" t="n"/>
      <c r="M182" s="16" t="n"/>
      <c r="N182" s="16" t="n"/>
      <c r="O182" s="16" t="n"/>
      <c r="P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I183" s="16" t="n"/>
      <c r="K183" s="16" t="n"/>
      <c r="L183" s="16" t="n"/>
      <c r="M183" s="16" t="n"/>
      <c r="N183" s="16" t="n"/>
      <c r="O183" s="16" t="n"/>
      <c r="P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I184" s="16" t="n"/>
      <c r="K184" s="16" t="n"/>
      <c r="L184" s="16" t="n"/>
      <c r="M184" s="16" t="n"/>
      <c r="N184" s="16" t="n"/>
      <c r="O184" s="16" t="n"/>
      <c r="P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I185" s="16" t="n"/>
      <c r="K185" s="16" t="n"/>
      <c r="L185" s="16" t="n"/>
      <c r="M185" s="16" t="n"/>
      <c r="N185" s="16" t="n"/>
      <c r="O185" s="16" t="n"/>
      <c r="P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I186" s="16" t="n"/>
      <c r="K186" s="16" t="n"/>
      <c r="L186" s="16" t="n"/>
      <c r="M186" s="16" t="n"/>
      <c r="N186" s="16" t="n"/>
      <c r="O186" s="16" t="n"/>
      <c r="P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I187" s="16" t="n"/>
      <c r="K187" s="16" t="n"/>
      <c r="L187" s="16" t="n"/>
      <c r="M187" s="16" t="n"/>
      <c r="N187" s="16" t="n"/>
      <c r="O187" s="16" t="n"/>
      <c r="P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I188" s="16" t="n"/>
      <c r="K188" s="16" t="n"/>
      <c r="L188" s="16" t="n"/>
      <c r="M188" s="16" t="n"/>
      <c r="N188" s="16" t="n"/>
      <c r="O188" s="16" t="n"/>
      <c r="P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I189" s="16" t="n"/>
      <c r="K189" s="16" t="n"/>
      <c r="L189" s="16" t="n"/>
      <c r="M189" s="16" t="n"/>
      <c r="N189" s="16" t="n"/>
      <c r="O189" s="16" t="n"/>
      <c r="P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I190" s="16" t="n"/>
      <c r="K190" s="16" t="n"/>
      <c r="L190" s="16" t="n"/>
      <c r="M190" s="16" t="n"/>
      <c r="N190" s="16" t="n"/>
      <c r="O190" s="16" t="n"/>
      <c r="P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I191" s="16" t="n"/>
      <c r="K191" s="16" t="n"/>
      <c r="L191" s="16" t="n"/>
      <c r="M191" s="16" t="n"/>
      <c r="N191" s="16" t="n"/>
      <c r="O191" s="16" t="n"/>
      <c r="P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I192" s="16" t="n"/>
      <c r="K192" s="16" t="n"/>
      <c r="L192" s="16" t="n"/>
      <c r="M192" s="16" t="n"/>
      <c r="N192" s="16" t="n"/>
      <c r="O192" s="16" t="n"/>
      <c r="P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I193" s="16" t="n"/>
      <c r="K193" s="16" t="n"/>
      <c r="L193" s="16" t="n"/>
      <c r="M193" s="16" t="n"/>
      <c r="N193" s="16" t="n"/>
      <c r="O193" s="16" t="n"/>
      <c r="P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I194" s="16" t="n"/>
      <c r="K194" s="16" t="n"/>
      <c r="L194" s="16" t="n"/>
      <c r="M194" s="16" t="n"/>
      <c r="N194" s="16" t="n"/>
      <c r="O194" s="16" t="n"/>
      <c r="P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I195" s="16" t="n"/>
      <c r="K195" s="16" t="n"/>
      <c r="L195" s="16" t="n"/>
      <c r="M195" s="16" t="n"/>
      <c r="N195" s="16" t="n"/>
      <c r="O195" s="16" t="n"/>
      <c r="P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I196" s="16" t="n"/>
      <c r="K196" s="16" t="n"/>
      <c r="L196" s="16" t="n"/>
      <c r="M196" s="16" t="n"/>
      <c r="N196" s="16" t="n"/>
      <c r="O196" s="16" t="n"/>
      <c r="P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I197" s="16" t="n"/>
      <c r="K197" s="16" t="n"/>
      <c r="L197" s="16" t="n"/>
      <c r="M197" s="16" t="n"/>
      <c r="N197" s="16" t="n"/>
      <c r="O197" s="16" t="n"/>
      <c r="P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I198" s="16" t="n"/>
      <c r="K198" s="16" t="n"/>
      <c r="L198" s="16" t="n"/>
      <c r="M198" s="16" t="n"/>
      <c r="N198" s="16" t="n"/>
      <c r="O198" s="16" t="n"/>
      <c r="P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I199" s="16" t="n"/>
      <c r="K199" s="16" t="n"/>
      <c r="L199" s="16" t="n"/>
      <c r="M199" s="16" t="n"/>
      <c r="N199" s="16" t="n"/>
      <c r="O199" s="16" t="n"/>
      <c r="P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I200" s="16" t="n"/>
      <c r="K200" s="16" t="n"/>
      <c r="L200" s="16" t="n"/>
      <c r="M200" s="16" t="n"/>
      <c r="N200" s="16" t="n"/>
      <c r="O200" s="16" t="n"/>
      <c r="P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I201" s="16" t="n"/>
      <c r="K201" s="16" t="n"/>
      <c r="L201" s="16" t="n"/>
      <c r="M201" s="16" t="n"/>
      <c r="N201" s="16" t="n"/>
      <c r="O201" s="16" t="n"/>
      <c r="P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I202" s="16" t="n"/>
      <c r="K202" s="16" t="n"/>
      <c r="L202" s="16" t="n"/>
      <c r="M202" s="16" t="n"/>
      <c r="N202" s="16" t="n"/>
      <c r="O202" s="16" t="n"/>
      <c r="P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I203" s="16" t="n"/>
      <c r="K203" s="16" t="n"/>
      <c r="L203" s="16" t="n"/>
      <c r="M203" s="16" t="n"/>
      <c r="N203" s="16" t="n"/>
      <c r="O203" s="16" t="n"/>
      <c r="P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I204" s="16" t="n"/>
      <c r="K204" s="16" t="n"/>
      <c r="L204" s="16" t="n"/>
      <c r="M204" s="16" t="n"/>
      <c r="N204" s="16" t="n"/>
      <c r="O204" s="16" t="n"/>
      <c r="P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I205" s="16" t="n"/>
      <c r="K205" s="16" t="n"/>
      <c r="L205" s="16" t="n"/>
      <c r="M205" s="16" t="n"/>
      <c r="N205" s="16" t="n"/>
      <c r="O205" s="16" t="n"/>
      <c r="P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I206" s="16" t="n"/>
      <c r="K206" s="16" t="n"/>
      <c r="L206" s="16" t="n"/>
      <c r="M206" s="16" t="n"/>
      <c r="N206" s="16" t="n"/>
      <c r="O206" s="16" t="n"/>
      <c r="P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I207" s="16" t="n"/>
      <c r="K207" s="16" t="n"/>
      <c r="L207" s="16" t="n"/>
      <c r="M207" s="16" t="n"/>
      <c r="N207" s="16" t="n"/>
      <c r="O207" s="16" t="n"/>
      <c r="P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I208" s="16" t="n"/>
      <c r="K208" s="16" t="n"/>
      <c r="L208" s="16" t="n"/>
      <c r="M208" s="16" t="n"/>
      <c r="N208" s="16" t="n"/>
      <c r="O208" s="16" t="n"/>
      <c r="P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I209" s="16" t="n"/>
      <c r="K209" s="16" t="n"/>
      <c r="L209" s="16" t="n"/>
      <c r="M209" s="16" t="n"/>
      <c r="N209" s="16" t="n"/>
      <c r="O209" s="16" t="n"/>
      <c r="P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I210" s="16" t="n"/>
      <c r="K210" s="16" t="n"/>
      <c r="L210" s="16" t="n"/>
      <c r="M210" s="16" t="n"/>
      <c r="N210" s="16" t="n"/>
      <c r="O210" s="16" t="n"/>
      <c r="P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I211" s="16" t="n"/>
      <c r="K211" s="16" t="n"/>
      <c r="L211" s="16" t="n"/>
      <c r="M211" s="16" t="n"/>
      <c r="N211" s="16" t="n"/>
      <c r="O211" s="16" t="n"/>
      <c r="P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I212" s="16" t="n"/>
      <c r="K212" s="16" t="n"/>
      <c r="L212" s="16" t="n"/>
      <c r="M212" s="16" t="n"/>
      <c r="N212" s="16" t="n"/>
      <c r="O212" s="16" t="n"/>
      <c r="P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I213" s="16" t="n"/>
      <c r="K213" s="16" t="n"/>
      <c r="L213" s="16" t="n"/>
      <c r="M213" s="16" t="n"/>
      <c r="N213" s="16" t="n"/>
      <c r="O213" s="16" t="n"/>
      <c r="P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I214" s="16" t="n"/>
      <c r="K214" s="16" t="n"/>
      <c r="L214" s="16" t="n"/>
      <c r="M214" s="16" t="n"/>
      <c r="N214" s="16" t="n"/>
      <c r="O214" s="16" t="n"/>
      <c r="P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I215" s="16" t="n"/>
      <c r="K215" s="16" t="n"/>
      <c r="L215" s="16" t="n"/>
      <c r="M215" s="16" t="n"/>
      <c r="N215" s="16" t="n"/>
      <c r="O215" s="16" t="n"/>
      <c r="P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I216" s="16" t="n"/>
      <c r="K216" s="16" t="n"/>
      <c r="L216" s="16" t="n"/>
      <c r="M216" s="16" t="n"/>
      <c r="N216" s="16" t="n"/>
      <c r="O216" s="16" t="n"/>
      <c r="P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I217" s="16" t="n"/>
      <c r="K217" s="16" t="n"/>
      <c r="L217" s="16" t="n"/>
      <c r="M217" s="16" t="n"/>
      <c r="N217" s="16" t="n"/>
      <c r="O217" s="16" t="n"/>
      <c r="P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I218" s="16" t="n"/>
      <c r="K218" s="16" t="n"/>
      <c r="L218" s="16" t="n"/>
      <c r="M218" s="16" t="n"/>
      <c r="N218" s="16" t="n"/>
      <c r="O218" s="16" t="n"/>
      <c r="P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I219" s="16" t="n"/>
      <c r="K219" s="16" t="n"/>
      <c r="L219" s="16" t="n"/>
      <c r="M219" s="16" t="n"/>
      <c r="N219" s="16" t="n"/>
      <c r="O219" s="16" t="n"/>
      <c r="P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I220" s="16" t="n"/>
      <c r="K220" s="16" t="n"/>
      <c r="L220" s="16" t="n"/>
      <c r="M220" s="16" t="n"/>
      <c r="N220" s="16" t="n"/>
      <c r="O220" s="16" t="n"/>
      <c r="P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I221" s="16" t="n"/>
      <c r="K221" s="16" t="n"/>
      <c r="L221" s="16" t="n"/>
      <c r="M221" s="16" t="n"/>
      <c r="N221" s="16" t="n"/>
      <c r="O221" s="16" t="n"/>
      <c r="P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I222" s="16" t="n"/>
      <c r="K222" s="16" t="n"/>
      <c r="L222" s="16" t="n"/>
      <c r="M222" s="16" t="n"/>
      <c r="N222" s="16" t="n"/>
      <c r="O222" s="16" t="n"/>
      <c r="P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I223" s="16" t="n"/>
      <c r="K223" s="16" t="n"/>
      <c r="L223" s="16" t="n"/>
      <c r="M223" s="16" t="n"/>
      <c r="N223" s="16" t="n"/>
      <c r="O223" s="16" t="n"/>
      <c r="P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I224" s="16" t="n"/>
      <c r="K224" s="16" t="n"/>
      <c r="L224" s="16" t="n"/>
      <c r="M224" s="16" t="n"/>
      <c r="N224" s="16" t="n"/>
      <c r="O224" s="16" t="n"/>
      <c r="P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I225" s="16" t="n"/>
      <c r="K225" s="16" t="n"/>
      <c r="L225" s="16" t="n"/>
      <c r="M225" s="16" t="n"/>
      <c r="N225" s="16" t="n"/>
      <c r="O225" s="16" t="n"/>
      <c r="P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I226" s="16" t="n"/>
      <c r="K226" s="16" t="n"/>
      <c r="L226" s="16" t="n"/>
      <c r="M226" s="16" t="n"/>
      <c r="N226" s="16" t="n"/>
      <c r="O226" s="16" t="n"/>
      <c r="P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I227" s="16" t="n"/>
      <c r="K227" s="16" t="n"/>
      <c r="L227" s="16" t="n"/>
      <c r="M227" s="16" t="n"/>
      <c r="N227" s="16" t="n"/>
      <c r="O227" s="16" t="n"/>
      <c r="P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I228" s="16" t="n"/>
      <c r="K228" s="16" t="n"/>
      <c r="L228" s="16" t="n"/>
      <c r="M228" s="16" t="n"/>
      <c r="N228" s="16" t="n"/>
      <c r="O228" s="16" t="n"/>
      <c r="P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I229" s="16" t="n"/>
      <c r="K229" s="16" t="n"/>
      <c r="L229" s="16" t="n"/>
      <c r="M229" s="16" t="n"/>
      <c r="N229" s="16" t="n"/>
      <c r="O229" s="16" t="n"/>
      <c r="P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I230" s="16" t="n"/>
      <c r="K230" s="16" t="n"/>
      <c r="L230" s="16" t="n"/>
      <c r="M230" s="16" t="n"/>
      <c r="N230" s="16" t="n"/>
      <c r="O230" s="16" t="n"/>
      <c r="P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I231" s="16" t="n"/>
      <c r="K231" s="16" t="n"/>
      <c r="L231" s="16" t="n"/>
      <c r="M231" s="16" t="n"/>
      <c r="N231" s="16" t="n"/>
      <c r="O231" s="16" t="n"/>
      <c r="P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I232" s="16" t="n"/>
      <c r="K232" s="16" t="n"/>
      <c r="L232" s="16" t="n"/>
      <c r="M232" s="16" t="n"/>
      <c r="N232" s="16" t="n"/>
      <c r="O232" s="16" t="n"/>
      <c r="P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I233" s="16" t="n"/>
      <c r="K233" s="16" t="n"/>
      <c r="L233" s="16" t="n"/>
      <c r="M233" s="16" t="n"/>
      <c r="N233" s="16" t="n"/>
      <c r="O233" s="16" t="n"/>
      <c r="P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I234" s="16" t="n"/>
      <c r="K234" s="16" t="n"/>
      <c r="L234" s="16" t="n"/>
      <c r="M234" s="16" t="n"/>
      <c r="N234" s="16" t="n"/>
      <c r="O234" s="16" t="n"/>
      <c r="P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I235" s="16" t="n"/>
      <c r="K235" s="16" t="n"/>
      <c r="L235" s="16" t="n"/>
      <c r="M235" s="16" t="n"/>
      <c r="N235" s="16" t="n"/>
      <c r="O235" s="16" t="n"/>
      <c r="P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I236" s="16" t="n"/>
      <c r="K236" s="16" t="n"/>
      <c r="L236" s="16" t="n"/>
      <c r="M236" s="16" t="n"/>
      <c r="N236" s="16" t="n"/>
      <c r="O236" s="16" t="n"/>
      <c r="P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I237" s="16" t="n"/>
      <c r="K237" s="16" t="n"/>
      <c r="L237" s="16" t="n"/>
      <c r="M237" s="16" t="n"/>
      <c r="N237" s="16" t="n"/>
      <c r="O237" s="16" t="n"/>
      <c r="P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I238" s="16" t="n"/>
      <c r="K238" s="16" t="n"/>
      <c r="L238" s="16" t="n"/>
      <c r="M238" s="16" t="n"/>
      <c r="N238" s="16" t="n"/>
      <c r="O238" s="16" t="n"/>
      <c r="P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I239" s="16" t="n"/>
      <c r="K239" s="16" t="n"/>
      <c r="L239" s="16" t="n"/>
      <c r="M239" s="16" t="n"/>
      <c r="N239" s="16" t="n"/>
      <c r="O239" s="16" t="n"/>
      <c r="P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I240" s="16" t="n"/>
      <c r="K240" s="16" t="n"/>
      <c r="L240" s="16" t="n"/>
      <c r="M240" s="16" t="n"/>
      <c r="N240" s="16" t="n"/>
      <c r="O240" s="16" t="n"/>
      <c r="P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I241" s="16" t="n"/>
      <c r="K241" s="16" t="n"/>
      <c r="L241" s="16" t="n"/>
      <c r="M241" s="16" t="n"/>
      <c r="N241" s="16" t="n"/>
      <c r="O241" s="16" t="n"/>
      <c r="P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I242" s="16" t="n"/>
      <c r="K242" s="16" t="n"/>
      <c r="L242" s="16" t="n"/>
      <c r="M242" s="16" t="n"/>
      <c r="N242" s="16" t="n"/>
      <c r="O242" s="16" t="n"/>
      <c r="P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I243" s="16" t="n"/>
      <c r="K243" s="16" t="n"/>
      <c r="L243" s="16" t="n"/>
      <c r="M243" s="16" t="n"/>
      <c r="N243" s="16" t="n"/>
      <c r="O243" s="16" t="n"/>
      <c r="P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I244" s="16" t="n"/>
      <c r="K244" s="16" t="n"/>
      <c r="L244" s="16" t="n"/>
      <c r="M244" s="16" t="n"/>
      <c r="N244" s="16" t="n"/>
      <c r="O244" s="16" t="n"/>
      <c r="P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I245" s="16" t="n"/>
      <c r="K245" s="16" t="n"/>
      <c r="L245" s="16" t="n"/>
      <c r="M245" s="16" t="n"/>
      <c r="N245" s="16" t="n"/>
      <c r="O245" s="16" t="n"/>
      <c r="P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I246" s="16" t="n"/>
      <c r="K246" s="16" t="n"/>
      <c r="L246" s="16" t="n"/>
      <c r="M246" s="16" t="n"/>
      <c r="N246" s="16" t="n"/>
      <c r="O246" s="16" t="n"/>
      <c r="P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I247" s="16" t="n"/>
      <c r="K247" s="16" t="n"/>
      <c r="L247" s="16" t="n"/>
      <c r="M247" s="16" t="n"/>
      <c r="N247" s="16" t="n"/>
      <c r="O247" s="16" t="n"/>
      <c r="P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I248" s="16" t="n"/>
      <c r="K248" s="16" t="n"/>
      <c r="L248" s="16" t="n"/>
      <c r="M248" s="16" t="n"/>
      <c r="N248" s="16" t="n"/>
      <c r="O248" s="16" t="n"/>
      <c r="P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I249" s="16" t="n"/>
      <c r="K249" s="16" t="n"/>
      <c r="L249" s="16" t="n"/>
      <c r="M249" s="16" t="n"/>
      <c r="N249" s="16" t="n"/>
      <c r="O249" s="16" t="n"/>
      <c r="P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I250" s="16" t="n"/>
      <c r="K250" s="16" t="n"/>
      <c r="L250" s="16" t="n"/>
      <c r="M250" s="16" t="n"/>
      <c r="N250" s="16" t="n"/>
      <c r="O250" s="16" t="n"/>
      <c r="P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I251" s="16" t="n"/>
      <c r="K251" s="16" t="n"/>
      <c r="L251" s="16" t="n"/>
      <c r="M251" s="16" t="n"/>
      <c r="N251" s="16" t="n"/>
      <c r="O251" s="16" t="n"/>
      <c r="P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I252" s="16" t="n"/>
      <c r="K252" s="16" t="n"/>
      <c r="L252" s="16" t="n"/>
      <c r="M252" s="16" t="n"/>
      <c r="N252" s="16" t="n"/>
      <c r="O252" s="16" t="n"/>
      <c r="P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I253" s="16" t="n"/>
      <c r="K253" s="16" t="n"/>
      <c r="L253" s="16" t="n"/>
      <c r="M253" s="16" t="n"/>
      <c r="N253" s="16" t="n"/>
      <c r="O253" s="16" t="n"/>
      <c r="P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I254" s="16" t="n"/>
      <c r="K254" s="16" t="n"/>
      <c r="L254" s="16" t="n"/>
      <c r="M254" s="16" t="n"/>
      <c r="N254" s="16" t="n"/>
      <c r="O254" s="16" t="n"/>
      <c r="P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I255" s="16" t="n"/>
      <c r="K255" s="16" t="n"/>
      <c r="L255" s="16" t="n"/>
      <c r="M255" s="16" t="n"/>
      <c r="N255" s="16" t="n"/>
      <c r="O255" s="16" t="n"/>
      <c r="P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I256" s="16" t="n"/>
      <c r="K256" s="16" t="n"/>
      <c r="L256" s="16" t="n"/>
      <c r="M256" s="16" t="n"/>
      <c r="N256" s="16" t="n"/>
      <c r="O256" s="16" t="n"/>
      <c r="P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I257" s="16" t="n"/>
      <c r="K257" s="16" t="n"/>
      <c r="L257" s="16" t="n"/>
      <c r="M257" s="16" t="n"/>
      <c r="N257" s="16" t="n"/>
      <c r="O257" s="16" t="n"/>
      <c r="P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I258" s="16" t="n"/>
      <c r="K258" s="16" t="n"/>
      <c r="L258" s="16" t="n"/>
      <c r="M258" s="16" t="n"/>
      <c r="N258" s="16" t="n"/>
      <c r="O258" s="16" t="n"/>
      <c r="P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I259" s="16" t="n"/>
      <c r="K259" s="16" t="n"/>
      <c r="L259" s="16" t="n"/>
      <c r="M259" s="16" t="n"/>
      <c r="N259" s="16" t="n"/>
      <c r="O259" s="16" t="n"/>
      <c r="P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I260" s="16" t="n"/>
      <c r="K260" s="16" t="n"/>
      <c r="L260" s="16" t="n"/>
      <c r="M260" s="16" t="n"/>
      <c r="N260" s="16" t="n"/>
      <c r="O260" s="16" t="n"/>
      <c r="P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I261" s="16" t="n"/>
      <c r="K261" s="16" t="n"/>
      <c r="L261" s="16" t="n"/>
      <c r="M261" s="16" t="n"/>
      <c r="N261" s="16" t="n"/>
      <c r="O261" s="16" t="n"/>
      <c r="P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I262" s="16" t="n"/>
      <c r="K262" s="16" t="n"/>
      <c r="L262" s="16" t="n"/>
      <c r="M262" s="16" t="n"/>
      <c r="N262" s="16" t="n"/>
      <c r="O262" s="16" t="n"/>
      <c r="P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I263" s="16" t="n"/>
      <c r="K263" s="16" t="n"/>
      <c r="L263" s="16" t="n"/>
      <c r="M263" s="16" t="n"/>
      <c r="N263" s="16" t="n"/>
      <c r="O263" s="16" t="n"/>
      <c r="P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I264" s="16" t="n"/>
      <c r="K264" s="16" t="n"/>
      <c r="L264" s="16" t="n"/>
      <c r="M264" s="16" t="n"/>
      <c r="N264" s="16" t="n"/>
      <c r="O264" s="16" t="n"/>
      <c r="P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I265" s="16" t="n"/>
      <c r="K265" s="16" t="n"/>
      <c r="L265" s="16" t="n"/>
      <c r="M265" s="16" t="n"/>
      <c r="N265" s="16" t="n"/>
      <c r="O265" s="16" t="n"/>
      <c r="P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I266" s="16" t="n"/>
      <c r="K266" s="16" t="n"/>
      <c r="L266" s="16" t="n"/>
      <c r="M266" s="16" t="n"/>
      <c r="N266" s="16" t="n"/>
      <c r="O266" s="16" t="n"/>
      <c r="P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I267" s="16" t="n"/>
      <c r="K267" s="16" t="n"/>
      <c r="L267" s="16" t="n"/>
      <c r="M267" s="16" t="n"/>
      <c r="N267" s="16" t="n"/>
      <c r="O267" s="16" t="n"/>
      <c r="P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I268" s="16" t="n"/>
      <c r="K268" s="16" t="n"/>
      <c r="L268" s="16" t="n"/>
      <c r="M268" s="16" t="n"/>
      <c r="N268" s="16" t="n"/>
      <c r="O268" s="16" t="n"/>
      <c r="P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I269" s="16" t="n"/>
      <c r="K269" s="16" t="n"/>
      <c r="L269" s="16" t="n"/>
      <c r="M269" s="16" t="n"/>
      <c r="N269" s="16" t="n"/>
      <c r="O269" s="16" t="n"/>
      <c r="P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I270" s="16" t="n"/>
      <c r="K270" s="16" t="n"/>
      <c r="L270" s="16" t="n"/>
      <c r="M270" s="16" t="n"/>
      <c r="N270" s="16" t="n"/>
      <c r="O270" s="16" t="n"/>
      <c r="P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I271" s="16" t="n"/>
      <c r="K271" s="16" t="n"/>
      <c r="L271" s="16" t="n"/>
      <c r="M271" s="16" t="n"/>
      <c r="N271" s="16" t="n"/>
      <c r="O271" s="16" t="n"/>
      <c r="P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I272" s="16" t="n"/>
      <c r="K272" s="16" t="n"/>
      <c r="L272" s="16" t="n"/>
      <c r="M272" s="16" t="n"/>
      <c r="N272" s="16" t="n"/>
      <c r="O272" s="16" t="n"/>
      <c r="P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I273" s="16" t="n"/>
      <c r="K273" s="16" t="n"/>
      <c r="L273" s="16" t="n"/>
      <c r="M273" s="16" t="n"/>
      <c r="N273" s="16" t="n"/>
      <c r="O273" s="16" t="n"/>
      <c r="P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I274" s="16" t="n"/>
      <c r="K274" s="16" t="n"/>
      <c r="L274" s="16" t="n"/>
      <c r="M274" s="16" t="n"/>
      <c r="N274" s="16" t="n"/>
      <c r="O274" s="16" t="n"/>
      <c r="P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I275" s="16" t="n"/>
      <c r="K275" s="16" t="n"/>
      <c r="L275" s="16" t="n"/>
      <c r="M275" s="16" t="n"/>
      <c r="N275" s="16" t="n"/>
      <c r="O275" s="16" t="n"/>
      <c r="P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I276" s="16" t="n"/>
      <c r="K276" s="16" t="n"/>
      <c r="L276" s="16" t="n"/>
      <c r="M276" s="16" t="n"/>
      <c r="N276" s="16" t="n"/>
      <c r="O276" s="16" t="n"/>
      <c r="P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I277" s="16" t="n"/>
      <c r="K277" s="16" t="n"/>
      <c r="L277" s="16" t="n"/>
      <c r="M277" s="16" t="n"/>
      <c r="N277" s="16" t="n"/>
      <c r="O277" s="16" t="n"/>
      <c r="P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I278" s="16" t="n"/>
      <c r="K278" s="16" t="n"/>
      <c r="L278" s="16" t="n"/>
      <c r="M278" s="16" t="n"/>
      <c r="N278" s="16" t="n"/>
      <c r="O278" s="16" t="n"/>
      <c r="P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I279" s="16" t="n"/>
      <c r="K279" s="16" t="n"/>
      <c r="L279" s="16" t="n"/>
      <c r="M279" s="16" t="n"/>
      <c r="N279" s="16" t="n"/>
      <c r="O279" s="16" t="n"/>
      <c r="P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I280" s="16" t="n"/>
      <c r="K280" s="16" t="n"/>
      <c r="L280" s="16" t="n"/>
      <c r="M280" s="16" t="n"/>
      <c r="N280" s="16" t="n"/>
      <c r="O280" s="16" t="n"/>
      <c r="P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I281" s="16" t="n"/>
      <c r="K281" s="16" t="n"/>
      <c r="L281" s="16" t="n"/>
      <c r="M281" s="16" t="n"/>
      <c r="N281" s="16" t="n"/>
      <c r="O281" s="16" t="n"/>
      <c r="P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I282" s="16" t="n"/>
      <c r="K282" s="16" t="n"/>
      <c r="L282" s="16" t="n"/>
      <c r="M282" s="16" t="n"/>
      <c r="N282" s="16" t="n"/>
      <c r="O282" s="16" t="n"/>
      <c r="P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I283" s="16" t="n"/>
      <c r="K283" s="16" t="n"/>
      <c r="L283" s="16" t="n"/>
      <c r="M283" s="16" t="n"/>
      <c r="N283" s="16" t="n"/>
      <c r="O283" s="16" t="n"/>
      <c r="P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I284" s="16" t="n"/>
      <c r="K284" s="16" t="n"/>
      <c r="L284" s="16" t="n"/>
      <c r="M284" s="16" t="n"/>
      <c r="N284" s="16" t="n"/>
      <c r="O284" s="16" t="n"/>
      <c r="P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I285" s="16" t="n"/>
      <c r="K285" s="16" t="n"/>
      <c r="L285" s="16" t="n"/>
      <c r="M285" s="16" t="n"/>
      <c r="N285" s="16" t="n"/>
      <c r="O285" s="16" t="n"/>
      <c r="P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I286" s="16" t="n"/>
      <c r="K286" s="16" t="n"/>
      <c r="L286" s="16" t="n"/>
      <c r="M286" s="16" t="n"/>
      <c r="N286" s="16" t="n"/>
      <c r="O286" s="16" t="n"/>
      <c r="P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I287" s="16" t="n"/>
      <c r="K287" s="16" t="n"/>
      <c r="L287" s="16" t="n"/>
      <c r="M287" s="16" t="n"/>
      <c r="N287" s="16" t="n"/>
      <c r="O287" s="16" t="n"/>
      <c r="P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I288" s="16" t="n"/>
      <c r="K288" s="16" t="n"/>
      <c r="L288" s="16" t="n"/>
      <c r="M288" s="16" t="n"/>
      <c r="N288" s="16" t="n"/>
      <c r="O288" s="16" t="n"/>
      <c r="P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I289" s="16" t="n"/>
      <c r="K289" s="16" t="n"/>
      <c r="L289" s="16" t="n"/>
      <c r="M289" s="16" t="n"/>
      <c r="N289" s="16" t="n"/>
      <c r="O289" s="16" t="n"/>
      <c r="P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I290" s="16" t="n"/>
      <c r="K290" s="16" t="n"/>
      <c r="L290" s="16" t="n"/>
      <c r="M290" s="16" t="n"/>
      <c r="N290" s="16" t="n"/>
      <c r="O290" s="16" t="n"/>
      <c r="P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I291" s="16" t="n"/>
      <c r="K291" s="16" t="n"/>
      <c r="L291" s="16" t="n"/>
      <c r="M291" s="16" t="n"/>
      <c r="N291" s="16" t="n"/>
      <c r="O291" s="16" t="n"/>
      <c r="P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I292" s="16" t="n"/>
      <c r="K292" s="16" t="n"/>
      <c r="L292" s="16" t="n"/>
      <c r="M292" s="16" t="n"/>
      <c r="N292" s="16" t="n"/>
      <c r="O292" s="16" t="n"/>
      <c r="P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I293" s="16" t="n"/>
      <c r="K293" s="16" t="n"/>
      <c r="L293" s="16" t="n"/>
      <c r="M293" s="16" t="n"/>
      <c r="N293" s="16" t="n"/>
      <c r="O293" s="16" t="n"/>
      <c r="P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I294" s="16" t="n"/>
      <c r="K294" s="16" t="n"/>
      <c r="L294" s="16" t="n"/>
      <c r="M294" s="16" t="n"/>
      <c r="N294" s="16" t="n"/>
      <c r="O294" s="16" t="n"/>
      <c r="P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I295" s="16" t="n"/>
      <c r="K295" s="16" t="n"/>
      <c r="L295" s="16" t="n"/>
      <c r="M295" s="16" t="n"/>
      <c r="N295" s="16" t="n"/>
      <c r="O295" s="16" t="n"/>
      <c r="P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I296" s="16" t="n"/>
      <c r="K296" s="16" t="n"/>
      <c r="L296" s="16" t="n"/>
      <c r="M296" s="16" t="n"/>
      <c r="N296" s="16" t="n"/>
      <c r="O296" s="16" t="n"/>
      <c r="P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I297" s="16" t="n"/>
      <c r="K297" s="16" t="n"/>
      <c r="L297" s="16" t="n"/>
      <c r="M297" s="16" t="n"/>
      <c r="N297" s="16" t="n"/>
      <c r="O297" s="16" t="n"/>
      <c r="P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I298" s="16" t="n"/>
      <c r="K298" s="16" t="n"/>
      <c r="L298" s="16" t="n"/>
      <c r="M298" s="16" t="n"/>
      <c r="N298" s="16" t="n"/>
      <c r="O298" s="16" t="n"/>
      <c r="P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I299" s="16" t="n"/>
      <c r="K299" s="16" t="n"/>
      <c r="L299" s="16" t="n"/>
      <c r="M299" s="16" t="n"/>
      <c r="N299" s="16" t="n"/>
      <c r="O299" s="16" t="n"/>
      <c r="P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I300" s="16" t="n"/>
      <c r="K300" s="16" t="n"/>
      <c r="L300" s="16" t="n"/>
      <c r="M300" s="16" t="n"/>
      <c r="N300" s="16" t="n"/>
      <c r="O300" s="16" t="n"/>
      <c r="P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I301" s="16" t="n"/>
      <c r="K301" s="16" t="n"/>
      <c r="L301" s="16" t="n"/>
      <c r="M301" s="16" t="n"/>
      <c r="N301" s="16" t="n"/>
      <c r="O301" s="16" t="n"/>
      <c r="P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I302" s="16" t="n"/>
      <c r="K302" s="16" t="n"/>
      <c r="L302" s="16" t="n"/>
      <c r="M302" s="16" t="n"/>
      <c r="N302" s="16" t="n"/>
      <c r="O302" s="16" t="n"/>
      <c r="P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I303" s="16" t="n"/>
      <c r="K303" s="16" t="n"/>
      <c r="L303" s="16" t="n"/>
      <c r="M303" s="16" t="n"/>
      <c r="N303" s="16" t="n"/>
      <c r="O303" s="16" t="n"/>
      <c r="P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I304" s="16" t="n"/>
      <c r="K304" s="16" t="n"/>
      <c r="L304" s="16" t="n"/>
      <c r="M304" s="16" t="n"/>
      <c r="N304" s="16" t="n"/>
      <c r="O304" s="16" t="n"/>
      <c r="P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I305" s="16" t="n"/>
      <c r="K305" s="16" t="n"/>
      <c r="L305" s="16" t="n"/>
      <c r="M305" s="16" t="n"/>
      <c r="N305" s="16" t="n"/>
      <c r="O305" s="16" t="n"/>
      <c r="P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I306" s="16" t="n"/>
      <c r="K306" s="16" t="n"/>
      <c r="L306" s="16" t="n"/>
      <c r="M306" s="16" t="n"/>
      <c r="N306" s="16" t="n"/>
      <c r="O306" s="16" t="n"/>
      <c r="P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I307" s="16" t="n"/>
      <c r="K307" s="16" t="n"/>
      <c r="L307" s="16" t="n"/>
      <c r="M307" s="16" t="n"/>
      <c r="N307" s="16" t="n"/>
      <c r="O307" s="16" t="n"/>
      <c r="P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I308" s="16" t="n"/>
      <c r="K308" s="16" t="n"/>
      <c r="L308" s="16" t="n"/>
      <c r="M308" s="16" t="n"/>
      <c r="N308" s="16" t="n"/>
      <c r="O308" s="16" t="n"/>
      <c r="P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I309" s="16" t="n"/>
      <c r="K309" s="16" t="n"/>
      <c r="L309" s="16" t="n"/>
      <c r="M309" s="16" t="n"/>
      <c r="N309" s="16" t="n"/>
      <c r="O309" s="16" t="n"/>
      <c r="P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I310" s="16" t="n"/>
      <c r="K310" s="16" t="n"/>
      <c r="L310" s="16" t="n"/>
      <c r="M310" s="16" t="n"/>
      <c r="N310" s="16" t="n"/>
      <c r="O310" s="16" t="n"/>
      <c r="P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I311" s="16" t="n"/>
      <c r="K311" s="16" t="n"/>
      <c r="L311" s="16" t="n"/>
      <c r="M311" s="16" t="n"/>
      <c r="N311" s="16" t="n"/>
      <c r="O311" s="16" t="n"/>
      <c r="P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I312" s="16" t="n"/>
      <c r="K312" s="16" t="n"/>
      <c r="L312" s="16" t="n"/>
      <c r="M312" s="16" t="n"/>
      <c r="N312" s="16" t="n"/>
      <c r="O312" s="16" t="n"/>
      <c r="P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I313" s="16" t="n"/>
      <c r="K313" s="16" t="n"/>
      <c r="L313" s="16" t="n"/>
      <c r="M313" s="16" t="n"/>
      <c r="N313" s="16" t="n"/>
      <c r="O313" s="16" t="n"/>
      <c r="P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I314" s="16" t="n"/>
      <c r="K314" s="16" t="n"/>
      <c r="L314" s="16" t="n"/>
      <c r="M314" s="16" t="n"/>
      <c r="N314" s="16" t="n"/>
      <c r="O314" s="16" t="n"/>
      <c r="P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I315" s="16" t="n"/>
      <c r="K315" s="16" t="n"/>
      <c r="L315" s="16" t="n"/>
      <c r="M315" s="16" t="n"/>
      <c r="N315" s="16" t="n"/>
      <c r="O315" s="16" t="n"/>
      <c r="P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I316" s="16" t="n"/>
      <c r="K316" s="16" t="n"/>
      <c r="L316" s="16" t="n"/>
      <c r="M316" s="16" t="n"/>
      <c r="N316" s="16" t="n"/>
      <c r="O316" s="16" t="n"/>
      <c r="P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I317" s="16" t="n"/>
      <c r="K317" s="16" t="n"/>
      <c r="L317" s="16" t="n"/>
      <c r="M317" s="16" t="n"/>
      <c r="N317" s="16" t="n"/>
      <c r="O317" s="16" t="n"/>
      <c r="P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I318" s="16" t="n"/>
      <c r="K318" s="16" t="n"/>
      <c r="L318" s="16" t="n"/>
      <c r="M318" s="16" t="n"/>
      <c r="N318" s="16" t="n"/>
      <c r="O318" s="16" t="n"/>
      <c r="P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I319" s="16" t="n"/>
      <c r="K319" s="16" t="n"/>
      <c r="L319" s="16" t="n"/>
      <c r="M319" s="16" t="n"/>
      <c r="N319" s="16" t="n"/>
      <c r="O319" s="16" t="n"/>
      <c r="P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I320" s="16" t="n"/>
      <c r="K320" s="16" t="n"/>
      <c r="L320" s="16" t="n"/>
      <c r="M320" s="16" t="n"/>
      <c r="N320" s="16" t="n"/>
      <c r="O320" s="16" t="n"/>
      <c r="P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I321" s="16" t="n"/>
      <c r="K321" s="16" t="n"/>
      <c r="L321" s="16" t="n"/>
      <c r="M321" s="16" t="n"/>
      <c r="N321" s="16" t="n"/>
      <c r="O321" s="16" t="n"/>
      <c r="P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I322" s="16" t="n"/>
      <c r="K322" s="16" t="n"/>
      <c r="L322" s="16" t="n"/>
      <c r="M322" s="16" t="n"/>
      <c r="N322" s="16" t="n"/>
      <c r="O322" s="16" t="n"/>
      <c r="P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I323" s="16" t="n"/>
      <c r="K323" s="16" t="n"/>
      <c r="L323" s="16" t="n"/>
      <c r="M323" s="16" t="n"/>
      <c r="N323" s="16" t="n"/>
      <c r="O323" s="16" t="n"/>
      <c r="P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I324" s="16" t="n"/>
      <c r="K324" s="16" t="n"/>
      <c r="L324" s="16" t="n"/>
      <c r="M324" s="16" t="n"/>
      <c r="N324" s="16" t="n"/>
      <c r="O324" s="16" t="n"/>
      <c r="P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I325" s="16" t="n"/>
      <c r="K325" s="16" t="n"/>
      <c r="L325" s="16" t="n"/>
      <c r="M325" s="16" t="n"/>
      <c r="N325" s="16" t="n"/>
      <c r="O325" s="16" t="n"/>
      <c r="P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I326" s="16" t="n"/>
      <c r="K326" s="16" t="n"/>
      <c r="L326" s="16" t="n"/>
      <c r="M326" s="16" t="n"/>
      <c r="N326" s="16" t="n"/>
      <c r="O326" s="16" t="n"/>
      <c r="P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I327" s="16" t="n"/>
      <c r="K327" s="16" t="n"/>
      <c r="L327" s="16" t="n"/>
      <c r="M327" s="16" t="n"/>
      <c r="N327" s="16" t="n"/>
      <c r="O327" s="16" t="n"/>
      <c r="P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I328" s="16" t="n"/>
      <c r="K328" s="16" t="n"/>
      <c r="L328" s="16" t="n"/>
      <c r="M328" s="16" t="n"/>
      <c r="N328" s="16" t="n"/>
      <c r="O328" s="16" t="n"/>
      <c r="P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I329" s="16" t="n"/>
      <c r="K329" s="16" t="n"/>
      <c r="L329" s="16" t="n"/>
      <c r="M329" s="16" t="n"/>
      <c r="N329" s="16" t="n"/>
      <c r="O329" s="16" t="n"/>
      <c r="P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I330" s="16" t="n"/>
      <c r="K330" s="16" t="n"/>
      <c r="L330" s="16" t="n"/>
      <c r="M330" s="16" t="n"/>
      <c r="N330" s="16" t="n"/>
      <c r="O330" s="16" t="n"/>
      <c r="P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I331" s="16" t="n"/>
      <c r="K331" s="16" t="n"/>
      <c r="L331" s="16" t="n"/>
      <c r="M331" s="16" t="n"/>
      <c r="N331" s="16" t="n"/>
      <c r="O331" s="16" t="n"/>
      <c r="P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I332" s="16" t="n"/>
      <c r="K332" s="16" t="n"/>
      <c r="L332" s="16" t="n"/>
      <c r="M332" s="16" t="n"/>
      <c r="N332" s="16" t="n"/>
      <c r="O332" s="16" t="n"/>
      <c r="P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I333" s="16" t="n"/>
      <c r="K333" s="16" t="n"/>
      <c r="L333" s="16" t="n"/>
      <c r="M333" s="16" t="n"/>
      <c r="N333" s="16" t="n"/>
      <c r="O333" s="16" t="n"/>
      <c r="P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I334" s="16" t="n"/>
      <c r="K334" s="16" t="n"/>
      <c r="L334" s="16" t="n"/>
      <c r="M334" s="16" t="n"/>
      <c r="N334" s="16" t="n"/>
      <c r="O334" s="16" t="n"/>
      <c r="P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I335" s="16" t="n"/>
      <c r="K335" s="16" t="n"/>
      <c r="L335" s="16" t="n"/>
      <c r="M335" s="16" t="n"/>
      <c r="N335" s="16" t="n"/>
      <c r="O335" s="16" t="n"/>
      <c r="P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I336" s="16" t="n"/>
      <c r="K336" s="16" t="n"/>
      <c r="L336" s="16" t="n"/>
      <c r="M336" s="16" t="n"/>
      <c r="N336" s="16" t="n"/>
      <c r="O336" s="16" t="n"/>
      <c r="P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I337" s="16" t="n"/>
      <c r="K337" s="16" t="n"/>
      <c r="L337" s="16" t="n"/>
      <c r="M337" s="16" t="n"/>
      <c r="N337" s="16" t="n"/>
      <c r="O337" s="16" t="n"/>
      <c r="P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I338" s="16" t="n"/>
      <c r="K338" s="16" t="n"/>
      <c r="L338" s="16" t="n"/>
      <c r="M338" s="16" t="n"/>
      <c r="N338" s="16" t="n"/>
      <c r="O338" s="16" t="n"/>
      <c r="P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I339" s="16" t="n"/>
      <c r="K339" s="16" t="n"/>
      <c r="L339" s="16" t="n"/>
      <c r="M339" s="16" t="n"/>
      <c r="N339" s="16" t="n"/>
      <c r="O339" s="16" t="n"/>
      <c r="P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I340" s="16" t="n"/>
      <c r="K340" s="16" t="n"/>
      <c r="L340" s="16" t="n"/>
      <c r="M340" s="16" t="n"/>
      <c r="N340" s="16" t="n"/>
      <c r="O340" s="16" t="n"/>
      <c r="P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I341" s="16" t="n"/>
      <c r="K341" s="16" t="n"/>
      <c r="L341" s="16" t="n"/>
      <c r="M341" s="16" t="n"/>
      <c r="N341" s="16" t="n"/>
      <c r="O341" s="16" t="n"/>
      <c r="P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I342" s="16" t="n"/>
      <c r="K342" s="16" t="n"/>
      <c r="L342" s="16" t="n"/>
      <c r="M342" s="16" t="n"/>
      <c r="N342" s="16" t="n"/>
      <c r="O342" s="16" t="n"/>
      <c r="P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I343" s="16" t="n"/>
      <c r="K343" s="16" t="n"/>
      <c r="L343" s="16" t="n"/>
      <c r="M343" s="16" t="n"/>
      <c r="N343" s="16" t="n"/>
      <c r="O343" s="16" t="n"/>
      <c r="P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I344" s="16" t="n"/>
      <c r="K344" s="16" t="n"/>
      <c r="L344" s="16" t="n"/>
      <c r="M344" s="16" t="n"/>
      <c r="N344" s="16" t="n"/>
      <c r="O344" s="16" t="n"/>
      <c r="P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I345" s="16" t="n"/>
      <c r="K345" s="16" t="n"/>
      <c r="L345" s="16" t="n"/>
      <c r="M345" s="16" t="n"/>
      <c r="N345" s="16" t="n"/>
      <c r="O345" s="16" t="n"/>
      <c r="P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I346" s="16" t="n"/>
      <c r="K346" s="16" t="n"/>
      <c r="L346" s="16" t="n"/>
      <c r="M346" s="16" t="n"/>
      <c r="N346" s="16" t="n"/>
      <c r="O346" s="16" t="n"/>
      <c r="P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I347" s="16" t="n"/>
      <c r="K347" s="16" t="n"/>
      <c r="L347" s="16" t="n"/>
      <c r="M347" s="16" t="n"/>
      <c r="N347" s="16" t="n"/>
      <c r="O347" s="16" t="n"/>
      <c r="P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I348" s="16" t="n"/>
      <c r="K348" s="16" t="n"/>
      <c r="L348" s="16" t="n"/>
      <c r="M348" s="16" t="n"/>
      <c r="N348" s="16" t="n"/>
      <c r="O348" s="16" t="n"/>
      <c r="P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I349" s="16" t="n"/>
      <c r="K349" s="16" t="n"/>
      <c r="L349" s="16" t="n"/>
      <c r="M349" s="16" t="n"/>
      <c r="N349" s="16" t="n"/>
      <c r="O349" s="16" t="n"/>
      <c r="P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I350" s="16" t="n"/>
      <c r="K350" s="16" t="n"/>
      <c r="L350" s="16" t="n"/>
      <c r="M350" s="16" t="n"/>
      <c r="N350" s="16" t="n"/>
      <c r="O350" s="16" t="n"/>
      <c r="P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I351" s="16" t="n"/>
      <c r="K351" s="16" t="n"/>
      <c r="L351" s="16" t="n"/>
      <c r="M351" s="16" t="n"/>
      <c r="N351" s="16" t="n"/>
      <c r="O351" s="16" t="n"/>
      <c r="P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I352" s="16" t="n"/>
      <c r="K352" s="16" t="n"/>
      <c r="L352" s="16" t="n"/>
      <c r="M352" s="16" t="n"/>
      <c r="N352" s="16" t="n"/>
      <c r="O352" s="16" t="n"/>
      <c r="P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I353" s="16" t="n"/>
      <c r="K353" s="16" t="n"/>
      <c r="L353" s="16" t="n"/>
      <c r="M353" s="16" t="n"/>
      <c r="N353" s="16" t="n"/>
      <c r="O353" s="16" t="n"/>
      <c r="P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I354" s="16" t="n"/>
      <c r="K354" s="16" t="n"/>
      <c r="L354" s="16" t="n"/>
      <c r="M354" s="16" t="n"/>
      <c r="N354" s="16" t="n"/>
      <c r="O354" s="16" t="n"/>
      <c r="P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I355" s="16" t="n"/>
      <c r="K355" s="16" t="n"/>
      <c r="L355" s="16" t="n"/>
      <c r="M355" s="16" t="n"/>
      <c r="N355" s="16" t="n"/>
      <c r="O355" s="16" t="n"/>
      <c r="P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I356" s="16" t="n"/>
      <c r="K356" s="16" t="n"/>
      <c r="L356" s="16" t="n"/>
      <c r="M356" s="16" t="n"/>
      <c r="N356" s="16" t="n"/>
      <c r="O356" s="16" t="n"/>
      <c r="P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I357" s="16" t="n"/>
      <c r="K357" s="16" t="n"/>
      <c r="L357" s="16" t="n"/>
      <c r="M357" s="16" t="n"/>
      <c r="N357" s="16" t="n"/>
      <c r="O357" s="16" t="n"/>
      <c r="P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I358" s="16" t="n"/>
      <c r="K358" s="16" t="n"/>
      <c r="L358" s="16" t="n"/>
      <c r="M358" s="16" t="n"/>
      <c r="N358" s="16" t="n"/>
      <c r="O358" s="16" t="n"/>
      <c r="P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I359" s="16" t="n"/>
      <c r="K359" s="16" t="n"/>
      <c r="L359" s="16" t="n"/>
      <c r="M359" s="16" t="n"/>
      <c r="N359" s="16" t="n"/>
      <c r="O359" s="16" t="n"/>
      <c r="P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I360" s="16" t="n"/>
      <c r="K360" s="16" t="n"/>
      <c r="L360" s="16" t="n"/>
      <c r="M360" s="16" t="n"/>
      <c r="N360" s="16" t="n"/>
      <c r="O360" s="16" t="n"/>
      <c r="P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I361" s="16" t="n"/>
      <c r="K361" s="16" t="n"/>
      <c r="L361" s="16" t="n"/>
      <c r="M361" s="16" t="n"/>
      <c r="N361" s="16" t="n"/>
      <c r="O361" s="16" t="n"/>
      <c r="P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I362" s="16" t="n"/>
      <c r="K362" s="16" t="n"/>
      <c r="L362" s="16" t="n"/>
      <c r="M362" s="16" t="n"/>
      <c r="N362" s="16" t="n"/>
      <c r="O362" s="16" t="n"/>
      <c r="P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I363" s="16" t="n"/>
      <c r="K363" s="16" t="n"/>
      <c r="L363" s="16" t="n"/>
      <c r="M363" s="16" t="n"/>
      <c r="N363" s="16" t="n"/>
      <c r="O363" s="16" t="n"/>
      <c r="P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I364" s="16" t="n"/>
      <c r="K364" s="16" t="n"/>
      <c r="L364" s="16" t="n"/>
      <c r="M364" s="16" t="n"/>
      <c r="N364" s="16" t="n"/>
      <c r="O364" s="16" t="n"/>
      <c r="P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I365" s="16" t="n"/>
      <c r="K365" s="16" t="n"/>
      <c r="L365" s="16" t="n"/>
      <c r="M365" s="16" t="n"/>
      <c r="N365" s="16" t="n"/>
      <c r="O365" s="16" t="n"/>
      <c r="P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I366" s="16" t="n"/>
      <c r="K366" s="16" t="n"/>
      <c r="L366" s="16" t="n"/>
      <c r="M366" s="16" t="n"/>
      <c r="N366" s="16" t="n"/>
      <c r="O366" s="16" t="n"/>
      <c r="P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I367" s="16" t="n"/>
      <c r="K367" s="16" t="n"/>
      <c r="L367" s="16" t="n"/>
      <c r="M367" s="16" t="n"/>
      <c r="N367" s="16" t="n"/>
      <c r="O367" s="16" t="n"/>
      <c r="P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I368" s="16" t="n"/>
      <c r="K368" s="16" t="n"/>
      <c r="L368" s="16" t="n"/>
      <c r="M368" s="16" t="n"/>
      <c r="N368" s="16" t="n"/>
      <c r="O368" s="16" t="n"/>
      <c r="P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I369" s="16" t="n"/>
      <c r="K369" s="16" t="n"/>
      <c r="L369" s="16" t="n"/>
      <c r="M369" s="16" t="n"/>
      <c r="N369" s="16" t="n"/>
      <c r="O369" s="16" t="n"/>
      <c r="P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I370" s="16" t="n"/>
      <c r="K370" s="16" t="n"/>
      <c r="L370" s="16" t="n"/>
      <c r="M370" s="16" t="n"/>
      <c r="N370" s="16" t="n"/>
      <c r="O370" s="16" t="n"/>
      <c r="P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I371" s="16" t="n"/>
      <c r="K371" s="16" t="n"/>
      <c r="L371" s="16" t="n"/>
      <c r="M371" s="16" t="n"/>
      <c r="N371" s="16" t="n"/>
      <c r="O371" s="16" t="n"/>
      <c r="P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I372" s="16" t="n"/>
      <c r="K372" s="16" t="n"/>
      <c r="L372" s="16" t="n"/>
      <c r="M372" s="16" t="n"/>
      <c r="N372" s="16" t="n"/>
      <c r="O372" s="16" t="n"/>
      <c r="P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I373" s="16" t="n"/>
      <c r="K373" s="16" t="n"/>
      <c r="L373" s="16" t="n"/>
      <c r="M373" s="16" t="n"/>
      <c r="N373" s="16" t="n"/>
      <c r="O373" s="16" t="n"/>
      <c r="P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I374" s="16" t="n"/>
      <c r="K374" s="16" t="n"/>
      <c r="L374" s="16" t="n"/>
      <c r="M374" s="16" t="n"/>
      <c r="N374" s="16" t="n"/>
      <c r="O374" s="16" t="n"/>
      <c r="P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I375" s="16" t="n"/>
      <c r="K375" s="16" t="n"/>
      <c r="L375" s="16" t="n"/>
      <c r="M375" s="16" t="n"/>
      <c r="N375" s="16" t="n"/>
      <c r="O375" s="16" t="n"/>
      <c r="P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I376" s="16" t="n"/>
      <c r="K376" s="16" t="n"/>
      <c r="L376" s="16" t="n"/>
      <c r="M376" s="16" t="n"/>
      <c r="N376" s="16" t="n"/>
      <c r="O376" s="16" t="n"/>
      <c r="P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I377" s="16" t="n"/>
      <c r="K377" s="16" t="n"/>
      <c r="L377" s="16" t="n"/>
      <c r="M377" s="16" t="n"/>
      <c r="N377" s="16" t="n"/>
      <c r="O377" s="16" t="n"/>
      <c r="P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I378" s="16" t="n"/>
      <c r="K378" s="16" t="n"/>
      <c r="L378" s="16" t="n"/>
      <c r="M378" s="16" t="n"/>
      <c r="N378" s="16" t="n"/>
      <c r="O378" s="16" t="n"/>
      <c r="P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I379" s="16" t="n"/>
      <c r="K379" s="16" t="n"/>
      <c r="L379" s="16" t="n"/>
      <c r="M379" s="16" t="n"/>
      <c r="N379" s="16" t="n"/>
      <c r="O379" s="16" t="n"/>
      <c r="P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I380" s="16" t="n"/>
      <c r="K380" s="16" t="n"/>
      <c r="L380" s="16" t="n"/>
      <c r="M380" s="16" t="n"/>
      <c r="N380" s="16" t="n"/>
      <c r="O380" s="16" t="n"/>
      <c r="P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I381" s="16" t="n"/>
      <c r="K381" s="16" t="n"/>
      <c r="L381" s="16" t="n"/>
      <c r="M381" s="16" t="n"/>
      <c r="N381" s="16" t="n"/>
      <c r="O381" s="16" t="n"/>
      <c r="P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I382" s="16" t="n"/>
      <c r="K382" s="16" t="n"/>
      <c r="L382" s="16" t="n"/>
      <c r="M382" s="16" t="n"/>
      <c r="N382" s="16" t="n"/>
      <c r="O382" s="16" t="n"/>
      <c r="P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I383" s="16" t="n"/>
      <c r="K383" s="16" t="n"/>
      <c r="L383" s="16" t="n"/>
      <c r="M383" s="16" t="n"/>
      <c r="N383" s="16" t="n"/>
      <c r="O383" s="16" t="n"/>
      <c r="P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I384" s="16" t="n"/>
      <c r="K384" s="16" t="n"/>
      <c r="L384" s="16" t="n"/>
      <c r="M384" s="16" t="n"/>
      <c r="N384" s="16" t="n"/>
      <c r="O384" s="16" t="n"/>
      <c r="P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I385" s="16" t="n"/>
      <c r="K385" s="16" t="n"/>
      <c r="L385" s="16" t="n"/>
      <c r="M385" s="16" t="n"/>
      <c r="N385" s="16" t="n"/>
      <c r="O385" s="16" t="n"/>
      <c r="P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I386" s="16" t="n"/>
      <c r="K386" s="16" t="n"/>
      <c r="L386" s="16" t="n"/>
      <c r="M386" s="16" t="n"/>
      <c r="N386" s="16" t="n"/>
      <c r="O386" s="16" t="n"/>
      <c r="P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I387" s="16" t="n"/>
      <c r="K387" s="16" t="n"/>
      <c r="L387" s="16" t="n"/>
      <c r="M387" s="16" t="n"/>
      <c r="N387" s="16" t="n"/>
      <c r="O387" s="16" t="n"/>
      <c r="P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I388" s="16" t="n"/>
      <c r="K388" s="16" t="n"/>
      <c r="L388" s="16" t="n"/>
      <c r="M388" s="16" t="n"/>
      <c r="N388" s="16" t="n"/>
      <c r="O388" s="16" t="n"/>
      <c r="P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I389" s="16" t="n"/>
      <c r="K389" s="16" t="n"/>
      <c r="L389" s="16" t="n"/>
      <c r="M389" s="16" t="n"/>
      <c r="N389" s="16" t="n"/>
      <c r="O389" s="16" t="n"/>
      <c r="P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I390" s="16" t="n"/>
      <c r="K390" s="16" t="n"/>
      <c r="L390" s="16" t="n"/>
      <c r="M390" s="16" t="n"/>
      <c r="N390" s="16" t="n"/>
      <c r="O390" s="16" t="n"/>
      <c r="P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I391" s="16" t="n"/>
      <c r="K391" s="16" t="n"/>
      <c r="L391" s="16" t="n"/>
      <c r="M391" s="16" t="n"/>
      <c r="N391" s="16" t="n"/>
      <c r="O391" s="16" t="n"/>
      <c r="P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I392" s="16" t="n"/>
      <c r="K392" s="16" t="n"/>
      <c r="L392" s="16" t="n"/>
      <c r="M392" s="16" t="n"/>
      <c r="N392" s="16" t="n"/>
      <c r="O392" s="16" t="n"/>
      <c r="P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I393" s="16" t="n"/>
      <c r="K393" s="16" t="n"/>
      <c r="L393" s="16" t="n"/>
      <c r="M393" s="16" t="n"/>
      <c r="N393" s="16" t="n"/>
      <c r="O393" s="16" t="n"/>
      <c r="P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I394" s="16" t="n"/>
      <c r="K394" s="16" t="n"/>
      <c r="L394" s="16" t="n"/>
      <c r="M394" s="16" t="n"/>
      <c r="N394" s="16" t="n"/>
      <c r="O394" s="16" t="n"/>
      <c r="P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I395" s="16" t="n"/>
      <c r="K395" s="16" t="n"/>
      <c r="L395" s="16" t="n"/>
      <c r="M395" s="16" t="n"/>
      <c r="N395" s="16" t="n"/>
      <c r="O395" s="16" t="n"/>
      <c r="P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I396" s="16" t="n"/>
      <c r="K396" s="16" t="n"/>
      <c r="L396" s="16" t="n"/>
      <c r="M396" s="16" t="n"/>
      <c r="N396" s="16" t="n"/>
      <c r="O396" s="16" t="n"/>
      <c r="P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I397" s="16" t="n"/>
      <c r="K397" s="16" t="n"/>
      <c r="L397" s="16" t="n"/>
      <c r="M397" s="16" t="n"/>
      <c r="N397" s="16" t="n"/>
      <c r="O397" s="16" t="n"/>
      <c r="P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I398" s="16" t="n"/>
      <c r="K398" s="16" t="n"/>
      <c r="L398" s="16" t="n"/>
      <c r="M398" s="16" t="n"/>
      <c r="N398" s="16" t="n"/>
      <c r="O398" s="16" t="n"/>
      <c r="P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I399" s="16" t="n"/>
      <c r="K399" s="16" t="n"/>
      <c r="L399" s="16" t="n"/>
      <c r="M399" s="16" t="n"/>
      <c r="N399" s="16" t="n"/>
      <c r="O399" s="16" t="n"/>
      <c r="P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I400" s="16" t="n"/>
      <c r="K400" s="16" t="n"/>
      <c r="L400" s="16" t="n"/>
      <c r="M400" s="16" t="n"/>
      <c r="N400" s="16" t="n"/>
      <c r="O400" s="16" t="n"/>
      <c r="P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I401" s="16" t="n"/>
      <c r="K401" s="16" t="n"/>
      <c r="L401" s="16" t="n"/>
      <c r="M401" s="16" t="n"/>
      <c r="N401" s="16" t="n"/>
      <c r="O401" s="16" t="n"/>
      <c r="P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I402" s="16" t="n"/>
      <c r="K402" s="16" t="n"/>
      <c r="L402" s="16" t="n"/>
      <c r="M402" s="16" t="n"/>
      <c r="N402" s="16" t="n"/>
      <c r="O402" s="16" t="n"/>
      <c r="P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I403" s="16" t="n"/>
      <c r="K403" s="16" t="n"/>
      <c r="L403" s="16" t="n"/>
      <c r="M403" s="16" t="n"/>
      <c r="N403" s="16" t="n"/>
      <c r="O403" s="16" t="n"/>
      <c r="P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I404" s="16" t="n"/>
      <c r="K404" s="16" t="n"/>
      <c r="L404" s="16" t="n"/>
      <c r="M404" s="16" t="n"/>
      <c r="N404" s="16" t="n"/>
      <c r="O404" s="16" t="n"/>
      <c r="P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I405" s="16" t="n"/>
      <c r="K405" s="16" t="n"/>
      <c r="L405" s="16" t="n"/>
      <c r="M405" s="16" t="n"/>
      <c r="N405" s="16" t="n"/>
      <c r="O405" s="16" t="n"/>
      <c r="P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I406" s="16" t="n"/>
      <c r="K406" s="16" t="n"/>
      <c r="L406" s="16" t="n"/>
      <c r="M406" s="16" t="n"/>
      <c r="N406" s="16" t="n"/>
      <c r="O406" s="16" t="n"/>
      <c r="P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I407" s="16" t="n"/>
      <c r="K407" s="16" t="n"/>
      <c r="L407" s="16" t="n"/>
      <c r="M407" s="16" t="n"/>
      <c r="N407" s="16" t="n"/>
      <c r="O407" s="16" t="n"/>
      <c r="P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I408" s="16" t="n"/>
      <c r="K408" s="16" t="n"/>
      <c r="L408" s="16" t="n"/>
      <c r="M408" s="16" t="n"/>
      <c r="N408" s="16" t="n"/>
      <c r="O408" s="16" t="n"/>
      <c r="P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I409" s="16" t="n"/>
      <c r="K409" s="16" t="n"/>
      <c r="L409" s="16" t="n"/>
      <c r="M409" s="16" t="n"/>
      <c r="N409" s="16" t="n"/>
      <c r="O409" s="16" t="n"/>
      <c r="P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I410" s="16" t="n"/>
      <c r="K410" s="16" t="n"/>
      <c r="L410" s="16" t="n"/>
      <c r="M410" s="16" t="n"/>
      <c r="N410" s="16" t="n"/>
      <c r="O410" s="16" t="n"/>
      <c r="P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I411" s="16" t="n"/>
      <c r="K411" s="16" t="n"/>
      <c r="L411" s="16" t="n"/>
      <c r="M411" s="16" t="n"/>
      <c r="N411" s="16" t="n"/>
      <c r="O411" s="16" t="n"/>
      <c r="P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I412" s="16" t="n"/>
      <c r="K412" s="16" t="n"/>
      <c r="L412" s="16" t="n"/>
      <c r="M412" s="16" t="n"/>
      <c r="N412" s="16" t="n"/>
      <c r="O412" s="16" t="n"/>
      <c r="P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I413" s="16" t="n"/>
      <c r="K413" s="16" t="n"/>
      <c r="L413" s="16" t="n"/>
      <c r="M413" s="16" t="n"/>
      <c r="N413" s="16" t="n"/>
      <c r="O413" s="16" t="n"/>
      <c r="P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I414" s="16" t="n"/>
      <c r="K414" s="16" t="n"/>
      <c r="L414" s="16" t="n"/>
      <c r="M414" s="16" t="n"/>
      <c r="N414" s="16" t="n"/>
      <c r="O414" s="16" t="n"/>
      <c r="P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I415" s="16" t="n"/>
      <c r="K415" s="16" t="n"/>
      <c r="L415" s="16" t="n"/>
      <c r="M415" s="16" t="n"/>
      <c r="N415" s="16" t="n"/>
      <c r="O415" s="16" t="n"/>
      <c r="P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I416" s="16" t="n"/>
      <c r="K416" s="16" t="n"/>
      <c r="L416" s="16" t="n"/>
      <c r="M416" s="16" t="n"/>
      <c r="N416" s="16" t="n"/>
      <c r="O416" s="16" t="n"/>
      <c r="P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I417" s="16" t="n"/>
      <c r="K417" s="16" t="n"/>
      <c r="L417" s="16" t="n"/>
      <c r="M417" s="16" t="n"/>
      <c r="N417" s="16" t="n"/>
      <c r="O417" s="16" t="n"/>
      <c r="P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I418" s="16" t="n"/>
      <c r="K418" s="16" t="n"/>
      <c r="L418" s="16" t="n"/>
      <c r="M418" s="16" t="n"/>
      <c r="N418" s="16" t="n"/>
      <c r="O418" s="16" t="n"/>
      <c r="P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I419" s="16" t="n"/>
      <c r="K419" s="16" t="n"/>
      <c r="L419" s="16" t="n"/>
      <c r="M419" s="16" t="n"/>
      <c r="N419" s="16" t="n"/>
      <c r="O419" s="16" t="n"/>
      <c r="P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I420" s="16" t="n"/>
      <c r="K420" s="16" t="n"/>
      <c r="L420" s="16" t="n"/>
      <c r="M420" s="16" t="n"/>
      <c r="N420" s="16" t="n"/>
      <c r="O420" s="16" t="n"/>
      <c r="P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I421" s="16" t="n"/>
      <c r="K421" s="16" t="n"/>
      <c r="L421" s="16" t="n"/>
      <c r="M421" s="16" t="n"/>
      <c r="N421" s="16" t="n"/>
      <c r="O421" s="16" t="n"/>
      <c r="P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I422" s="16" t="n"/>
      <c r="K422" s="16" t="n"/>
      <c r="L422" s="16" t="n"/>
      <c r="M422" s="16" t="n"/>
      <c r="N422" s="16" t="n"/>
      <c r="O422" s="16" t="n"/>
      <c r="P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I423" s="16" t="n"/>
      <c r="K423" s="16" t="n"/>
      <c r="L423" s="16" t="n"/>
      <c r="M423" s="16" t="n"/>
      <c r="N423" s="16" t="n"/>
      <c r="O423" s="16" t="n"/>
      <c r="P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I424" s="16" t="n"/>
      <c r="K424" s="16" t="n"/>
      <c r="L424" s="16" t="n"/>
      <c r="M424" s="16" t="n"/>
      <c r="N424" s="16" t="n"/>
      <c r="O424" s="16" t="n"/>
      <c r="P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I425" s="16" t="n"/>
      <c r="K425" s="16" t="n"/>
      <c r="L425" s="16" t="n"/>
      <c r="M425" s="16" t="n"/>
      <c r="N425" s="16" t="n"/>
      <c r="O425" s="16" t="n"/>
      <c r="P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I426" s="16" t="n"/>
      <c r="K426" s="16" t="n"/>
      <c r="L426" s="16" t="n"/>
      <c r="M426" s="16" t="n"/>
      <c r="N426" s="16" t="n"/>
      <c r="O426" s="16" t="n"/>
      <c r="P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I427" s="16" t="n"/>
      <c r="K427" s="16" t="n"/>
      <c r="L427" s="16" t="n"/>
      <c r="M427" s="16" t="n"/>
      <c r="N427" s="16" t="n"/>
      <c r="O427" s="16" t="n"/>
      <c r="P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I428" s="16" t="n"/>
      <c r="K428" s="16" t="n"/>
      <c r="L428" s="16" t="n"/>
      <c r="M428" s="16" t="n"/>
      <c r="N428" s="16" t="n"/>
      <c r="O428" s="16" t="n"/>
      <c r="P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I429" s="16" t="n"/>
      <c r="K429" s="16" t="n"/>
      <c r="L429" s="16" t="n"/>
      <c r="M429" s="16" t="n"/>
      <c r="N429" s="16" t="n"/>
      <c r="O429" s="16" t="n"/>
      <c r="P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I430" s="16" t="n"/>
      <c r="K430" s="16" t="n"/>
      <c r="L430" s="16" t="n"/>
      <c r="M430" s="16" t="n"/>
      <c r="N430" s="16" t="n"/>
      <c r="O430" s="16" t="n"/>
      <c r="P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I431" s="16" t="n"/>
      <c r="K431" s="16" t="n"/>
      <c r="L431" s="16" t="n"/>
      <c r="M431" s="16" t="n"/>
      <c r="N431" s="16" t="n"/>
      <c r="O431" s="16" t="n"/>
      <c r="P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I432" s="16" t="n"/>
      <c r="K432" s="16" t="n"/>
      <c r="L432" s="16" t="n"/>
      <c r="M432" s="16" t="n"/>
      <c r="N432" s="16" t="n"/>
      <c r="O432" s="16" t="n"/>
      <c r="P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I433" s="16" t="n"/>
      <c r="K433" s="16" t="n"/>
      <c r="L433" s="16" t="n"/>
      <c r="M433" s="16" t="n"/>
      <c r="N433" s="16" t="n"/>
      <c r="O433" s="16" t="n"/>
      <c r="P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I434" s="16" t="n"/>
      <c r="K434" s="16" t="n"/>
      <c r="L434" s="16" t="n"/>
      <c r="M434" s="16" t="n"/>
      <c r="N434" s="16" t="n"/>
      <c r="O434" s="16" t="n"/>
      <c r="P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I435" s="16" t="n"/>
      <c r="K435" s="16" t="n"/>
      <c r="L435" s="16" t="n"/>
      <c r="M435" s="16" t="n"/>
      <c r="N435" s="16" t="n"/>
      <c r="O435" s="16" t="n"/>
      <c r="P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I436" s="16" t="n"/>
      <c r="K436" s="16" t="n"/>
      <c r="L436" s="16" t="n"/>
      <c r="M436" s="16" t="n"/>
      <c r="N436" s="16" t="n"/>
      <c r="O436" s="16" t="n"/>
      <c r="P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I437" s="16" t="n"/>
      <c r="K437" s="16" t="n"/>
      <c r="L437" s="16" t="n"/>
      <c r="M437" s="16" t="n"/>
      <c r="N437" s="16" t="n"/>
      <c r="O437" s="16" t="n"/>
      <c r="P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I438" s="16" t="n"/>
      <c r="K438" s="16" t="n"/>
      <c r="L438" s="16" t="n"/>
      <c r="M438" s="16" t="n"/>
      <c r="N438" s="16" t="n"/>
      <c r="O438" s="16" t="n"/>
      <c r="P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I439" s="16" t="n"/>
      <c r="K439" s="16" t="n"/>
      <c r="L439" s="16" t="n"/>
      <c r="M439" s="16" t="n"/>
      <c r="N439" s="16" t="n"/>
      <c r="O439" s="16" t="n"/>
      <c r="P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I440" s="16" t="n"/>
      <c r="K440" s="16" t="n"/>
      <c r="L440" s="16" t="n"/>
      <c r="M440" s="16" t="n"/>
      <c r="N440" s="16" t="n"/>
      <c r="O440" s="16" t="n"/>
      <c r="P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I441" s="16" t="n"/>
      <c r="K441" s="16" t="n"/>
      <c r="L441" s="16" t="n"/>
      <c r="M441" s="16" t="n"/>
      <c r="N441" s="16" t="n"/>
      <c r="O441" s="16" t="n"/>
      <c r="P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I442" s="16" t="n"/>
      <c r="K442" s="16" t="n"/>
      <c r="L442" s="16" t="n"/>
      <c r="M442" s="16" t="n"/>
      <c r="N442" s="16" t="n"/>
      <c r="O442" s="16" t="n"/>
      <c r="P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I443" s="16" t="n"/>
      <c r="K443" s="16" t="n"/>
      <c r="L443" s="16" t="n"/>
      <c r="M443" s="16" t="n"/>
      <c r="N443" s="16" t="n"/>
      <c r="O443" s="16" t="n"/>
      <c r="P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I444" s="16" t="n"/>
      <c r="K444" s="16" t="n"/>
      <c r="L444" s="16" t="n"/>
      <c r="M444" s="16" t="n"/>
      <c r="N444" s="16" t="n"/>
      <c r="O444" s="16" t="n"/>
      <c r="P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I445" s="16" t="n"/>
      <c r="K445" s="16" t="n"/>
      <c r="L445" s="16" t="n"/>
      <c r="M445" s="16" t="n"/>
      <c r="N445" s="16" t="n"/>
      <c r="O445" s="16" t="n"/>
      <c r="P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I446" s="16" t="n"/>
      <c r="K446" s="16" t="n"/>
      <c r="L446" s="16" t="n"/>
      <c r="M446" s="16" t="n"/>
      <c r="N446" s="16" t="n"/>
      <c r="O446" s="16" t="n"/>
      <c r="P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I447" s="16" t="n"/>
      <c r="K447" s="16" t="n"/>
      <c r="L447" s="16" t="n"/>
      <c r="M447" s="16" t="n"/>
      <c r="N447" s="16" t="n"/>
      <c r="O447" s="16" t="n"/>
      <c r="P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I448" s="16" t="n"/>
      <c r="K448" s="16" t="n"/>
      <c r="L448" s="16" t="n"/>
      <c r="M448" s="16" t="n"/>
      <c r="N448" s="16" t="n"/>
      <c r="O448" s="16" t="n"/>
      <c r="P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I449" s="16" t="n"/>
      <c r="K449" s="16" t="n"/>
      <c r="L449" s="16" t="n"/>
      <c r="M449" s="16" t="n"/>
      <c r="N449" s="16" t="n"/>
      <c r="O449" s="16" t="n"/>
      <c r="P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I450" s="16" t="n"/>
      <c r="K450" s="16" t="n"/>
      <c r="L450" s="16" t="n"/>
      <c r="M450" s="16" t="n"/>
      <c r="N450" s="16" t="n"/>
      <c r="O450" s="16" t="n"/>
      <c r="P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I451" s="16" t="n"/>
      <c r="K451" s="16" t="n"/>
      <c r="L451" s="16" t="n"/>
      <c r="M451" s="16" t="n"/>
      <c r="N451" s="16" t="n"/>
      <c r="O451" s="16" t="n"/>
      <c r="P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I452" s="16" t="n"/>
      <c r="K452" s="16" t="n"/>
      <c r="L452" s="16" t="n"/>
      <c r="M452" s="16" t="n"/>
      <c r="N452" s="16" t="n"/>
      <c r="O452" s="16" t="n"/>
      <c r="P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I453" s="16" t="n"/>
      <c r="K453" s="16" t="n"/>
      <c r="L453" s="16" t="n"/>
      <c r="M453" s="16" t="n"/>
      <c r="N453" s="16" t="n"/>
      <c r="O453" s="16" t="n"/>
      <c r="P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I454" s="16" t="n"/>
      <c r="K454" s="16" t="n"/>
      <c r="L454" s="16" t="n"/>
      <c r="M454" s="16" t="n"/>
      <c r="N454" s="16" t="n"/>
      <c r="O454" s="16" t="n"/>
      <c r="P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I455" s="16" t="n"/>
      <c r="K455" s="16" t="n"/>
      <c r="L455" s="16" t="n"/>
      <c r="M455" s="16" t="n"/>
      <c r="N455" s="16" t="n"/>
      <c r="O455" s="16" t="n"/>
      <c r="P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I456" s="16" t="n"/>
      <c r="K456" s="16" t="n"/>
      <c r="L456" s="16" t="n"/>
      <c r="M456" s="16" t="n"/>
      <c r="N456" s="16" t="n"/>
      <c r="O456" s="16" t="n"/>
      <c r="P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I457" s="16" t="n"/>
      <c r="K457" s="16" t="n"/>
      <c r="L457" s="16" t="n"/>
      <c r="M457" s="16" t="n"/>
      <c r="N457" s="16" t="n"/>
      <c r="O457" s="16" t="n"/>
      <c r="P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I458" s="16" t="n"/>
      <c r="K458" s="16" t="n"/>
      <c r="L458" s="16" t="n"/>
      <c r="M458" s="16" t="n"/>
      <c r="N458" s="16" t="n"/>
      <c r="O458" s="16" t="n"/>
      <c r="P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I459" s="16" t="n"/>
      <c r="K459" s="16" t="n"/>
      <c r="L459" s="16" t="n"/>
      <c r="M459" s="16" t="n"/>
      <c r="N459" s="16" t="n"/>
      <c r="O459" s="16" t="n"/>
      <c r="P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I460" s="16" t="n"/>
      <c r="K460" s="16" t="n"/>
      <c r="L460" s="16" t="n"/>
      <c r="M460" s="16" t="n"/>
      <c r="N460" s="16" t="n"/>
      <c r="O460" s="16" t="n"/>
      <c r="P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I461" s="16" t="n"/>
      <c r="K461" s="16" t="n"/>
      <c r="L461" s="16" t="n"/>
      <c r="M461" s="16" t="n"/>
      <c r="N461" s="16" t="n"/>
      <c r="O461" s="16" t="n"/>
      <c r="P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I462" s="16" t="n"/>
      <c r="K462" s="16" t="n"/>
      <c r="L462" s="16" t="n"/>
      <c r="M462" s="16" t="n"/>
      <c r="N462" s="16" t="n"/>
      <c r="O462" s="16" t="n"/>
      <c r="P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I463" s="16" t="n"/>
      <c r="K463" s="16" t="n"/>
      <c r="L463" s="16" t="n"/>
      <c r="M463" s="16" t="n"/>
      <c r="N463" s="16" t="n"/>
      <c r="O463" s="16" t="n"/>
      <c r="P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I464" s="16" t="n"/>
      <c r="K464" s="16" t="n"/>
      <c r="L464" s="16" t="n"/>
      <c r="M464" s="16" t="n"/>
      <c r="N464" s="16" t="n"/>
      <c r="O464" s="16" t="n"/>
      <c r="P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I465" s="16" t="n"/>
      <c r="K465" s="16" t="n"/>
      <c r="L465" s="16" t="n"/>
      <c r="M465" s="16" t="n"/>
      <c r="N465" s="16" t="n"/>
      <c r="O465" s="16" t="n"/>
      <c r="P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I466" s="16" t="n"/>
      <c r="K466" s="16" t="n"/>
      <c r="L466" s="16" t="n"/>
      <c r="M466" s="16" t="n"/>
      <c r="N466" s="16" t="n"/>
      <c r="O466" s="16" t="n"/>
      <c r="P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I467" s="16" t="n"/>
      <c r="K467" s="16" t="n"/>
      <c r="L467" s="16" t="n"/>
      <c r="M467" s="16" t="n"/>
      <c r="N467" s="16" t="n"/>
      <c r="O467" s="16" t="n"/>
      <c r="P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I468" s="16" t="n"/>
      <c r="K468" s="16" t="n"/>
      <c r="L468" s="16" t="n"/>
      <c r="M468" s="16" t="n"/>
      <c r="N468" s="16" t="n"/>
      <c r="O468" s="16" t="n"/>
      <c r="P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I469" s="16" t="n"/>
      <c r="K469" s="16" t="n"/>
      <c r="L469" s="16" t="n"/>
      <c r="M469" s="16" t="n"/>
      <c r="N469" s="16" t="n"/>
      <c r="O469" s="16" t="n"/>
      <c r="P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I470" s="16" t="n"/>
      <c r="K470" s="16" t="n"/>
      <c r="L470" s="16" t="n"/>
      <c r="M470" s="16" t="n"/>
      <c r="N470" s="16" t="n"/>
      <c r="O470" s="16" t="n"/>
      <c r="P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I471" s="16" t="n"/>
      <c r="K471" s="16" t="n"/>
      <c r="L471" s="16" t="n"/>
      <c r="M471" s="16" t="n"/>
      <c r="N471" s="16" t="n"/>
      <c r="O471" s="16" t="n"/>
      <c r="P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I472" s="16" t="n"/>
      <c r="K472" s="16" t="n"/>
      <c r="L472" s="16" t="n"/>
      <c r="M472" s="16" t="n"/>
      <c r="N472" s="16" t="n"/>
      <c r="O472" s="16" t="n"/>
      <c r="P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I473" s="16" t="n"/>
      <c r="K473" s="16" t="n"/>
      <c r="L473" s="16" t="n"/>
      <c r="M473" s="16" t="n"/>
      <c r="N473" s="16" t="n"/>
      <c r="O473" s="16" t="n"/>
      <c r="P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I474" s="16" t="n"/>
      <c r="K474" s="16" t="n"/>
      <c r="L474" s="16" t="n"/>
      <c r="M474" s="16" t="n"/>
      <c r="N474" s="16" t="n"/>
      <c r="O474" s="16" t="n"/>
      <c r="P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I475" s="16" t="n"/>
      <c r="K475" s="16" t="n"/>
      <c r="L475" s="16" t="n"/>
      <c r="M475" s="16" t="n"/>
      <c r="N475" s="16" t="n"/>
      <c r="O475" s="16" t="n"/>
      <c r="P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I476" s="16" t="n"/>
      <c r="K476" s="16" t="n"/>
      <c r="L476" s="16" t="n"/>
      <c r="M476" s="16" t="n"/>
      <c r="N476" s="16" t="n"/>
      <c r="O476" s="16" t="n"/>
      <c r="P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I477" s="16" t="n"/>
      <c r="K477" s="16" t="n"/>
      <c r="L477" s="16" t="n"/>
      <c r="M477" s="16" t="n"/>
      <c r="N477" s="16" t="n"/>
      <c r="O477" s="16" t="n"/>
      <c r="P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I478" s="16" t="n"/>
      <c r="K478" s="16" t="n"/>
      <c r="L478" s="16" t="n"/>
      <c r="M478" s="16" t="n"/>
      <c r="N478" s="16" t="n"/>
      <c r="O478" s="16" t="n"/>
      <c r="P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I479" s="16" t="n"/>
      <c r="K479" s="16" t="n"/>
      <c r="L479" s="16" t="n"/>
      <c r="M479" s="16" t="n"/>
      <c r="N479" s="16" t="n"/>
      <c r="O479" s="16" t="n"/>
      <c r="P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I480" s="16" t="n"/>
      <c r="K480" s="16" t="n"/>
      <c r="L480" s="16" t="n"/>
      <c r="M480" s="16" t="n"/>
      <c r="N480" s="16" t="n"/>
      <c r="O480" s="16" t="n"/>
      <c r="P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I481" s="16" t="n"/>
      <c r="K481" s="16" t="n"/>
      <c r="L481" s="16" t="n"/>
      <c r="M481" s="16" t="n"/>
      <c r="N481" s="16" t="n"/>
      <c r="O481" s="16" t="n"/>
      <c r="P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I482" s="16" t="n"/>
      <c r="K482" s="16" t="n"/>
      <c r="L482" s="16" t="n"/>
      <c r="M482" s="16" t="n"/>
      <c r="N482" s="16" t="n"/>
      <c r="O482" s="16" t="n"/>
      <c r="P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I483" s="16" t="n"/>
      <c r="K483" s="16" t="n"/>
      <c r="L483" s="16" t="n"/>
      <c r="M483" s="16" t="n"/>
      <c r="N483" s="16" t="n"/>
      <c r="O483" s="16" t="n"/>
      <c r="P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I484" s="16" t="n"/>
      <c r="K484" s="16" t="n"/>
      <c r="L484" s="16" t="n"/>
      <c r="M484" s="16" t="n"/>
      <c r="N484" s="16" t="n"/>
      <c r="O484" s="16" t="n"/>
      <c r="P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I485" s="16" t="n"/>
      <c r="K485" s="16" t="n"/>
      <c r="L485" s="16" t="n"/>
      <c r="M485" s="16" t="n"/>
      <c r="N485" s="16" t="n"/>
      <c r="O485" s="16" t="n"/>
      <c r="P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I486" s="16" t="n"/>
      <c r="K486" s="16" t="n"/>
      <c r="L486" s="16" t="n"/>
      <c r="M486" s="16" t="n"/>
      <c r="N486" s="16" t="n"/>
      <c r="O486" s="16" t="n"/>
      <c r="P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I487" s="16" t="n"/>
      <c r="K487" s="16" t="n"/>
      <c r="L487" s="16" t="n"/>
      <c r="M487" s="16" t="n"/>
      <c r="N487" s="16" t="n"/>
      <c r="O487" s="16" t="n"/>
      <c r="P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I488" s="16" t="n"/>
      <c r="K488" s="16" t="n"/>
      <c r="L488" s="16" t="n"/>
      <c r="M488" s="16" t="n"/>
      <c r="N488" s="16" t="n"/>
      <c r="O488" s="16" t="n"/>
      <c r="P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I489" s="16" t="n"/>
      <c r="K489" s="16" t="n"/>
      <c r="L489" s="16" t="n"/>
      <c r="M489" s="16" t="n"/>
      <c r="N489" s="16" t="n"/>
      <c r="O489" s="16" t="n"/>
      <c r="P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I490" s="16" t="n"/>
      <c r="K490" s="16" t="n"/>
      <c r="L490" s="16" t="n"/>
      <c r="M490" s="16" t="n"/>
      <c r="N490" s="16" t="n"/>
      <c r="O490" s="16" t="n"/>
      <c r="P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I491" s="16" t="n"/>
      <c r="K491" s="16" t="n"/>
      <c r="L491" s="16" t="n"/>
      <c r="M491" s="16" t="n"/>
      <c r="N491" s="16" t="n"/>
      <c r="O491" s="16" t="n"/>
      <c r="P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I492" s="16" t="n"/>
      <c r="K492" s="16" t="n"/>
      <c r="L492" s="16" t="n"/>
      <c r="M492" s="16" t="n"/>
      <c r="N492" s="16" t="n"/>
      <c r="O492" s="16" t="n"/>
      <c r="P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I493" s="16" t="n"/>
      <c r="K493" s="16" t="n"/>
      <c r="L493" s="16" t="n"/>
      <c r="M493" s="16" t="n"/>
      <c r="N493" s="16" t="n"/>
      <c r="O493" s="16" t="n"/>
      <c r="P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I494" s="16" t="n"/>
      <c r="K494" s="16" t="n"/>
      <c r="L494" s="16" t="n"/>
      <c r="M494" s="16" t="n"/>
      <c r="N494" s="16" t="n"/>
      <c r="O494" s="16" t="n"/>
      <c r="P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I495" s="16" t="n"/>
      <c r="K495" s="16" t="n"/>
      <c r="L495" s="16" t="n"/>
      <c r="M495" s="16" t="n"/>
      <c r="N495" s="16" t="n"/>
      <c r="O495" s="16" t="n"/>
      <c r="P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I496" s="16" t="n"/>
      <c r="K496" s="16" t="n"/>
      <c r="L496" s="16" t="n"/>
      <c r="M496" s="16" t="n"/>
      <c r="N496" s="16" t="n"/>
      <c r="O496" s="16" t="n"/>
      <c r="P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I497" s="16" t="n"/>
      <c r="K497" s="16" t="n"/>
      <c r="L497" s="16" t="n"/>
      <c r="M497" s="16" t="n"/>
      <c r="N497" s="16" t="n"/>
      <c r="O497" s="16" t="n"/>
      <c r="P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I498" s="16" t="n"/>
      <c r="K498" s="16" t="n"/>
      <c r="L498" s="16" t="n"/>
      <c r="M498" s="16" t="n"/>
      <c r="N498" s="16" t="n"/>
      <c r="O498" s="16" t="n"/>
      <c r="P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I499" s="16" t="n"/>
      <c r="K499" s="16" t="n"/>
      <c r="L499" s="16" t="n"/>
      <c r="M499" s="16" t="n"/>
      <c r="N499" s="16" t="n"/>
      <c r="O499" s="16" t="n"/>
      <c r="P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I500" s="16" t="n"/>
      <c r="K500" s="16" t="n"/>
      <c r="L500" s="16" t="n"/>
      <c r="M500" s="16" t="n"/>
      <c r="N500" s="16" t="n"/>
      <c r="O500" s="16" t="n"/>
      <c r="P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I501" s="16" t="n"/>
      <c r="K501" s="16" t="n"/>
      <c r="L501" s="16" t="n"/>
      <c r="M501" s="16" t="n"/>
      <c r="N501" s="16" t="n"/>
      <c r="O501" s="16" t="n"/>
      <c r="P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I502" s="16" t="n"/>
      <c r="K502" s="16" t="n"/>
      <c r="L502" s="16" t="n"/>
      <c r="M502" s="16" t="n"/>
      <c r="N502" s="16" t="n"/>
      <c r="O502" s="16" t="n"/>
      <c r="P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I503" s="16" t="n"/>
      <c r="K503" s="16" t="n"/>
      <c r="L503" s="16" t="n"/>
      <c r="M503" s="16" t="n"/>
      <c r="N503" s="16" t="n"/>
      <c r="O503" s="16" t="n"/>
      <c r="P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I504" s="16" t="n"/>
      <c r="K504" s="16" t="n"/>
      <c r="L504" s="16" t="n"/>
      <c r="M504" s="16" t="n"/>
      <c r="N504" s="16" t="n"/>
      <c r="O504" s="16" t="n"/>
      <c r="P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I505" s="16" t="n"/>
      <c r="K505" s="16" t="n"/>
      <c r="L505" s="16" t="n"/>
      <c r="M505" s="16" t="n"/>
      <c r="N505" s="16" t="n"/>
      <c r="O505" s="16" t="n"/>
      <c r="P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I506" s="16" t="n"/>
      <c r="K506" s="16" t="n"/>
      <c r="L506" s="16" t="n"/>
      <c r="M506" s="16" t="n"/>
      <c r="N506" s="16" t="n"/>
      <c r="O506" s="16" t="n"/>
      <c r="P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I507" s="16" t="n"/>
      <c r="K507" s="16" t="n"/>
      <c r="L507" s="16" t="n"/>
      <c r="M507" s="16" t="n"/>
      <c r="N507" s="16" t="n"/>
      <c r="O507" s="16" t="n"/>
      <c r="P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I508" s="16" t="n"/>
      <c r="K508" s="16" t="n"/>
      <c r="L508" s="16" t="n"/>
      <c r="M508" s="16" t="n"/>
      <c r="N508" s="16" t="n"/>
      <c r="O508" s="16" t="n"/>
      <c r="P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I509" s="16" t="n"/>
      <c r="K509" s="16" t="n"/>
      <c r="L509" s="16" t="n"/>
      <c r="M509" s="16" t="n"/>
      <c r="N509" s="16" t="n"/>
      <c r="O509" s="16" t="n"/>
      <c r="P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I510" s="16" t="n"/>
      <c r="K510" s="16" t="n"/>
      <c r="L510" s="16" t="n"/>
      <c r="M510" s="16" t="n"/>
      <c r="N510" s="16" t="n"/>
      <c r="O510" s="16" t="n"/>
      <c r="P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I511" s="16" t="n"/>
      <c r="K511" s="16" t="n"/>
      <c r="L511" s="16" t="n"/>
      <c r="M511" s="16" t="n"/>
      <c r="N511" s="16" t="n"/>
      <c r="O511" s="16" t="n"/>
      <c r="P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I512" s="16" t="n"/>
      <c r="K512" s="16" t="n"/>
      <c r="L512" s="16" t="n"/>
      <c r="M512" s="16" t="n"/>
      <c r="N512" s="16" t="n"/>
      <c r="O512" s="16" t="n"/>
      <c r="P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I513" s="16" t="n"/>
      <c r="K513" s="16" t="n"/>
      <c r="L513" s="16" t="n"/>
      <c r="M513" s="16" t="n"/>
      <c r="N513" s="16" t="n"/>
      <c r="O513" s="16" t="n"/>
      <c r="P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I514" s="16" t="n"/>
      <c r="K514" s="16" t="n"/>
      <c r="L514" s="16" t="n"/>
      <c r="M514" s="16" t="n"/>
      <c r="N514" s="16" t="n"/>
      <c r="O514" s="16" t="n"/>
      <c r="P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I515" s="16" t="n"/>
      <c r="K515" s="16" t="n"/>
      <c r="L515" s="16" t="n"/>
      <c r="M515" s="16" t="n"/>
      <c r="N515" s="16" t="n"/>
      <c r="O515" s="16" t="n"/>
      <c r="P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I516" s="16" t="n"/>
      <c r="K516" s="16" t="n"/>
      <c r="L516" s="16" t="n"/>
      <c r="M516" s="16" t="n"/>
      <c r="N516" s="16" t="n"/>
      <c r="O516" s="16" t="n"/>
      <c r="P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I517" s="16" t="n"/>
      <c r="K517" s="16" t="n"/>
      <c r="L517" s="16" t="n"/>
      <c r="M517" s="16" t="n"/>
      <c r="N517" s="16" t="n"/>
      <c r="O517" s="16" t="n"/>
      <c r="P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I518" s="16" t="n"/>
      <c r="K518" s="16" t="n"/>
      <c r="L518" s="16" t="n"/>
      <c r="M518" s="16" t="n"/>
      <c r="N518" s="16" t="n"/>
      <c r="O518" s="16" t="n"/>
      <c r="P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I519" s="16" t="n"/>
      <c r="K519" s="16" t="n"/>
      <c r="L519" s="16" t="n"/>
      <c r="M519" s="16" t="n"/>
      <c r="N519" s="16" t="n"/>
      <c r="O519" s="16" t="n"/>
      <c r="P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I520" s="16" t="n"/>
      <c r="K520" s="16" t="n"/>
      <c r="L520" s="16" t="n"/>
      <c r="M520" s="16" t="n"/>
      <c r="N520" s="16" t="n"/>
      <c r="O520" s="16" t="n"/>
      <c r="P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I521" s="16" t="n"/>
      <c r="K521" s="16" t="n"/>
      <c r="L521" s="16" t="n"/>
      <c r="M521" s="16" t="n"/>
      <c r="N521" s="16" t="n"/>
      <c r="O521" s="16" t="n"/>
      <c r="P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I522" s="16" t="n"/>
      <c r="K522" s="16" t="n"/>
      <c r="L522" s="16" t="n"/>
      <c r="M522" s="16" t="n"/>
      <c r="N522" s="16" t="n"/>
      <c r="O522" s="16" t="n"/>
      <c r="P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I523" s="16" t="n"/>
      <c r="K523" s="16" t="n"/>
      <c r="L523" s="16" t="n"/>
      <c r="M523" s="16" t="n"/>
      <c r="N523" s="16" t="n"/>
      <c r="O523" s="16" t="n"/>
      <c r="P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I524" s="16" t="n"/>
      <c r="K524" s="16" t="n"/>
      <c r="L524" s="16" t="n"/>
      <c r="M524" s="16" t="n"/>
      <c r="N524" s="16" t="n"/>
      <c r="O524" s="16" t="n"/>
      <c r="P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I525" s="16" t="n"/>
      <c r="K525" s="16" t="n"/>
      <c r="L525" s="16" t="n"/>
      <c r="M525" s="16" t="n"/>
      <c r="N525" s="16" t="n"/>
      <c r="O525" s="16" t="n"/>
      <c r="P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I526" s="16" t="n"/>
      <c r="K526" s="16" t="n"/>
      <c r="L526" s="16" t="n"/>
      <c r="M526" s="16" t="n"/>
      <c r="N526" s="16" t="n"/>
      <c r="O526" s="16" t="n"/>
      <c r="P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I527" s="16" t="n"/>
      <c r="K527" s="16" t="n"/>
      <c r="L527" s="16" t="n"/>
      <c r="M527" s="16" t="n"/>
      <c r="N527" s="16" t="n"/>
      <c r="O527" s="16" t="n"/>
      <c r="P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I528" s="16" t="n"/>
      <c r="K528" s="16" t="n"/>
      <c r="L528" s="16" t="n"/>
      <c r="M528" s="16" t="n"/>
      <c r="N528" s="16" t="n"/>
      <c r="O528" s="16" t="n"/>
      <c r="P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I529" s="16" t="n"/>
      <c r="K529" s="16" t="n"/>
      <c r="L529" s="16" t="n"/>
      <c r="M529" s="16" t="n"/>
      <c r="N529" s="16" t="n"/>
      <c r="O529" s="16" t="n"/>
      <c r="P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I530" s="16" t="n"/>
      <c r="K530" s="16" t="n"/>
      <c r="L530" s="16" t="n"/>
      <c r="M530" s="16" t="n"/>
      <c r="N530" s="16" t="n"/>
      <c r="O530" s="16" t="n"/>
      <c r="P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I531" s="16" t="n"/>
      <c r="K531" s="16" t="n"/>
      <c r="L531" s="16" t="n"/>
      <c r="M531" s="16" t="n"/>
      <c r="N531" s="16" t="n"/>
      <c r="O531" s="16" t="n"/>
      <c r="P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I532" s="16" t="n"/>
      <c r="K532" s="16" t="n"/>
      <c r="L532" s="16" t="n"/>
      <c r="M532" s="16" t="n"/>
      <c r="N532" s="16" t="n"/>
      <c r="O532" s="16" t="n"/>
      <c r="P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I533" s="16" t="n"/>
      <c r="K533" s="16" t="n"/>
      <c r="L533" s="16" t="n"/>
      <c r="M533" s="16" t="n"/>
      <c r="N533" s="16" t="n"/>
      <c r="O533" s="16" t="n"/>
      <c r="P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I534" s="16" t="n"/>
      <c r="K534" s="16" t="n"/>
      <c r="L534" s="16" t="n"/>
      <c r="M534" s="16" t="n"/>
      <c r="N534" s="16" t="n"/>
      <c r="O534" s="16" t="n"/>
      <c r="P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I535" s="16" t="n"/>
      <c r="K535" s="16" t="n"/>
      <c r="L535" s="16" t="n"/>
      <c r="M535" s="16" t="n"/>
      <c r="N535" s="16" t="n"/>
      <c r="O535" s="16" t="n"/>
      <c r="P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I536" s="16" t="n"/>
      <c r="K536" s="16" t="n"/>
      <c r="L536" s="16" t="n"/>
      <c r="M536" s="16" t="n"/>
      <c r="N536" s="16" t="n"/>
      <c r="O536" s="16" t="n"/>
      <c r="P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I537" s="16" t="n"/>
      <c r="K537" s="16" t="n"/>
      <c r="L537" s="16" t="n"/>
      <c r="M537" s="16" t="n"/>
      <c r="N537" s="16" t="n"/>
      <c r="O537" s="16" t="n"/>
      <c r="P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I538" s="16" t="n"/>
      <c r="K538" s="16" t="n"/>
      <c r="L538" s="16" t="n"/>
      <c r="M538" s="16" t="n"/>
      <c r="N538" s="16" t="n"/>
      <c r="O538" s="16" t="n"/>
      <c r="P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I539" s="16" t="n"/>
      <c r="K539" s="16" t="n"/>
      <c r="L539" s="16" t="n"/>
      <c r="M539" s="16" t="n"/>
      <c r="N539" s="16" t="n"/>
      <c r="O539" s="16" t="n"/>
      <c r="P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I540" s="16" t="n"/>
      <c r="K540" s="16" t="n"/>
      <c r="L540" s="16" t="n"/>
      <c r="M540" s="16" t="n"/>
      <c r="N540" s="16" t="n"/>
      <c r="O540" s="16" t="n"/>
      <c r="P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I541" s="16" t="n"/>
      <c r="K541" s="16" t="n"/>
      <c r="L541" s="16" t="n"/>
      <c r="M541" s="16" t="n"/>
      <c r="N541" s="16" t="n"/>
      <c r="O541" s="16" t="n"/>
      <c r="P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I542" s="16" t="n"/>
      <c r="K542" s="16" t="n"/>
      <c r="L542" s="16" t="n"/>
      <c r="M542" s="16" t="n"/>
      <c r="N542" s="16" t="n"/>
      <c r="O542" s="16" t="n"/>
      <c r="P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I543" s="16" t="n"/>
      <c r="K543" s="16" t="n"/>
      <c r="L543" s="16" t="n"/>
      <c r="M543" s="16" t="n"/>
      <c r="N543" s="16" t="n"/>
      <c r="O543" s="16" t="n"/>
      <c r="P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I544" s="16" t="n"/>
      <c r="K544" s="16" t="n"/>
      <c r="L544" s="16" t="n"/>
      <c r="M544" s="16" t="n"/>
      <c r="N544" s="16" t="n"/>
      <c r="O544" s="16" t="n"/>
      <c r="P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I545" s="16" t="n"/>
      <c r="K545" s="16" t="n"/>
      <c r="L545" s="16" t="n"/>
      <c r="M545" s="16" t="n"/>
      <c r="N545" s="16" t="n"/>
      <c r="O545" s="16" t="n"/>
      <c r="P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I546" s="16" t="n"/>
      <c r="K546" s="16" t="n"/>
      <c r="L546" s="16" t="n"/>
      <c r="M546" s="16" t="n"/>
      <c r="N546" s="16" t="n"/>
      <c r="O546" s="16" t="n"/>
      <c r="P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I547" s="16" t="n"/>
      <c r="K547" s="16" t="n"/>
      <c r="L547" s="16" t="n"/>
      <c r="M547" s="16" t="n"/>
      <c r="N547" s="16" t="n"/>
      <c r="O547" s="16" t="n"/>
      <c r="P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I548" s="16" t="n"/>
      <c r="K548" s="16" t="n"/>
      <c r="L548" s="16" t="n"/>
      <c r="M548" s="16" t="n"/>
      <c r="N548" s="16" t="n"/>
      <c r="O548" s="16" t="n"/>
      <c r="P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I549" s="16" t="n"/>
      <c r="K549" s="16" t="n"/>
      <c r="L549" s="16" t="n"/>
      <c r="M549" s="16" t="n"/>
      <c r="N549" s="16" t="n"/>
      <c r="O549" s="16" t="n"/>
      <c r="P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I550" s="16" t="n"/>
      <c r="K550" s="16" t="n"/>
      <c r="L550" s="16" t="n"/>
      <c r="M550" s="16" t="n"/>
      <c r="N550" s="16" t="n"/>
      <c r="O550" s="16" t="n"/>
      <c r="P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I551" s="16" t="n"/>
      <c r="K551" s="16" t="n"/>
      <c r="L551" s="16" t="n"/>
      <c r="M551" s="16" t="n"/>
      <c r="N551" s="16" t="n"/>
      <c r="O551" s="16" t="n"/>
      <c r="P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I552" s="16" t="n"/>
      <c r="K552" s="16" t="n"/>
      <c r="L552" s="16" t="n"/>
      <c r="M552" s="16" t="n"/>
      <c r="N552" s="16" t="n"/>
      <c r="O552" s="16" t="n"/>
      <c r="P552" s="16" t="n"/>
    </row>
  </sheetData>
  <mergeCells count="1">
    <mergeCell ref="A1:O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5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Have 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"&amp;COUNTIF(N3:N545,"Yes")</f>
        <v/>
      </c>
      <c r="P2" s="3">
        <f>"Booster Pack - Unseen Presence / "&amp;COUNTIF(O3:O545,"Yes")</f>
        <v/>
      </c>
      <c r="Q2" s="3">
        <f>"Booster Pack - Wind of Dominance / "&amp;COUNTIF(P3:P545,"Yes")</f>
        <v/>
      </c>
    </row>
    <row r="3" ht="44.25" customHeight="1" s="47">
      <c r="A3" s="5" t="inlineStr">
        <is>
          <t>Trap Hole</t>
        </is>
      </c>
      <c r="B3" s="6" t="inlineStr">
        <is>
          <t>Trap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Flip 3 coins. Attacker loses 20 Crystals per Head.</t>
        </is>
      </c>
      <c r="I3" t="inlineStr">
        <is>
          <t>Grammar: coins plural; per Head wording.</t>
        </is>
      </c>
      <c r="J3" s="14" t="n"/>
      <c r="K3" s="15" t="inlineStr">
        <is>
          <t>Yes</t>
        </is>
      </c>
      <c r="L3" s="14" t="n"/>
      <c r="M3" s="15" t="inlineStr">
        <is>
          <t>Yes</t>
        </is>
      </c>
      <c r="N3" s="14" t="n"/>
      <c r="O3" s="15" t="inlineStr">
        <is>
          <t>Yes</t>
        </is>
      </c>
      <c r="P3" s="14" t="n"/>
      <c r="Q3" s="14" t="n"/>
    </row>
    <row r="4" ht="44.05" customHeight="1" s="47">
      <c r="A4" s="8" t="inlineStr">
        <is>
          <t>Hostage</t>
        </is>
      </c>
      <c r="B4" s="9" t="inlineStr">
        <is>
          <t>Trap</t>
        </is>
      </c>
      <c r="C4" s="16" t="n">
        <v>200</v>
      </c>
      <c r="D4" s="16" t="n"/>
      <c r="E4" s="16" t="n"/>
      <c r="F4" s="16" t="n"/>
      <c r="G4" s="16" t="n">
        <v>2</v>
      </c>
      <c r="H4" s="17" t="inlineStr">
        <is>
          <t>The trapper reveals 1 own cell. This turn: attacker cannot target that cell.</t>
        </is>
      </c>
      <c r="I4" t="inlineStr">
        <is>
          <t>wording polish</t>
        </is>
      </c>
      <c r="J4" s="16" t="n"/>
      <c r="K4" s="17" t="inlineStr">
        <is>
          <t>Yes</t>
        </is>
      </c>
      <c r="L4" s="16" t="n"/>
      <c r="M4" s="17" t="inlineStr">
        <is>
          <t>Yes</t>
        </is>
      </c>
      <c r="N4" s="16" t="n"/>
      <c r="O4" s="17" t="inlineStr">
        <is>
          <t>Yes</t>
        </is>
      </c>
      <c r="P4" s="16" t="n"/>
      <c r="Q4" s="16" t="n"/>
    </row>
    <row r="5" ht="32.05" customHeight="1" s="47">
      <c r="A5" s="8" t="inlineStr">
        <is>
          <t>Bait</t>
        </is>
      </c>
      <c r="B5" s="9" t="inlineStr">
        <is>
          <t>Trap</t>
        </is>
      </c>
      <c r="C5" s="16" t="n">
        <v>0</v>
      </c>
      <c r="D5" s="16" t="n"/>
      <c r="E5" s="16" t="n"/>
      <c r="F5" s="16" t="n"/>
      <c r="G5" s="16" t="n">
        <v>1</v>
      </c>
      <c r="H5" s="17" t="inlineStr">
        <is>
          <t>The trapper chooses one other cell on their field and reveal it</t>
        </is>
      </c>
      <c r="I5" t="inlineStr">
        <is>
          <t>wording polish</t>
        </is>
      </c>
      <c r="J5" s="16" t="n"/>
      <c r="K5" s="17" t="inlineStr">
        <is>
          <t>Yes</t>
        </is>
      </c>
      <c r="L5" s="16" t="n"/>
      <c r="M5" s="17" t="inlineStr">
        <is>
          <t>Yes</t>
        </is>
      </c>
      <c r="N5" s="16" t="n"/>
      <c r="O5" s="17" t="inlineStr">
        <is>
          <t>Yes</t>
        </is>
      </c>
      <c r="P5" s="16" t="n"/>
      <c r="Q5" s="16" t="n"/>
    </row>
    <row r="6" ht="44.05" customHeight="1" s="47">
      <c r="A6" s="8" t="inlineStr">
        <is>
          <t>Blackmail</t>
        </is>
      </c>
      <c r="B6" s="9" t="inlineStr">
        <is>
          <t>Trap</t>
        </is>
      </c>
      <c r="C6" s="16" t="n">
        <v>0</v>
      </c>
      <c r="D6" s="16" t="n"/>
      <c r="E6" s="16" t="n"/>
      <c r="F6" s="16" t="n"/>
      <c r="G6" s="16" t="n">
        <v>2</v>
      </c>
      <c r="H6" s="17" t="inlineStr">
        <is>
          <t>The attacker choose either discarding 1 Tech Card or end the turn immediately</t>
        </is>
      </c>
      <c r="J6" s="16" t="n"/>
      <c r="K6" s="17" t="inlineStr">
        <is>
          <t>Yes</t>
        </is>
      </c>
      <c r="L6" s="16" t="n"/>
      <c r="M6" s="17" t="inlineStr">
        <is>
          <t>Yes</t>
        </is>
      </c>
      <c r="N6" s="16" t="n"/>
      <c r="O6" s="17" t="inlineStr">
        <is>
          <t>Yes</t>
        </is>
      </c>
      <c r="P6" s="16" t="n"/>
      <c r="Q6" s="16" t="n"/>
    </row>
    <row r="7" ht="32.05" customHeight="1" s="47">
      <c r="A7" s="8" t="inlineStr">
        <is>
          <t>Cursed Reflection</t>
        </is>
      </c>
      <c r="B7" s="9" t="inlineStr">
        <is>
          <t>Trap</t>
        </is>
      </c>
      <c r="C7" s="16" t="n">
        <v>500</v>
      </c>
      <c r="D7" s="16" t="n"/>
      <c r="E7" s="16" t="n"/>
      <c r="F7" s="16" t="n"/>
      <c r="G7" s="16" t="n">
        <v>3</v>
      </c>
      <c r="H7" s="17" t="inlineStr">
        <is>
          <t>Swap the attacker's ATK and DEF until the trapper’s turn ends</t>
        </is>
      </c>
      <c r="I7" t="inlineStr">
        <is>
          <t>ATK&amp;DEF→ATK and DEF</t>
        </is>
      </c>
      <c r="J7" s="16" t="n"/>
      <c r="K7" s="17" t="inlineStr">
        <is>
          <t>Yes</t>
        </is>
      </c>
      <c r="L7" s="16" t="n"/>
      <c r="M7" s="17" t="inlineStr">
        <is>
          <t>Yes</t>
        </is>
      </c>
      <c r="N7" s="16" t="n"/>
      <c r="O7" s="16" t="n"/>
      <c r="P7" s="17" t="inlineStr">
        <is>
          <t>Yes</t>
        </is>
      </c>
      <c r="Q7" s="16" t="n"/>
    </row>
    <row r="8" ht="56.05" customHeight="1" s="47">
      <c r="A8" s="8" t="inlineStr">
        <is>
          <t>Explosive Barrels</t>
        </is>
      </c>
      <c r="B8" s="9" t="inlineStr">
        <is>
          <t>Trap</t>
        </is>
      </c>
      <c r="C8" s="16" t="n">
        <v>0</v>
      </c>
      <c r="D8" s="16" t="n"/>
      <c r="E8" s="16" t="n"/>
      <c r="F8" s="16" t="n"/>
      <c r="G8" s="16" t="n">
        <v>5</v>
      </c>
      <c r="H8" s="17" t="inlineStr">
        <is>
          <t xml:space="preserve">Destroy the attacking unit. Trapper also pay the same cost as attacker.
</t>
        </is>
      </c>
      <c r="J8" s="16" t="n"/>
      <c r="K8" s="17" t="inlineStr">
        <is>
          <t>Yes</t>
        </is>
      </c>
      <c r="L8" s="16" t="n"/>
      <c r="M8" s="17" t="inlineStr">
        <is>
          <t>Yes</t>
        </is>
      </c>
      <c r="N8" s="16" t="n"/>
      <c r="O8" s="16" t="n"/>
      <c r="P8" s="16" t="n"/>
      <c r="Q8" s="17" t="inlineStr">
        <is>
          <t>Yes</t>
        </is>
      </c>
    </row>
    <row r="9" ht="32.05" customHeight="1" s="47">
      <c r="A9" s="8" t="inlineStr">
        <is>
          <t xml:space="preserve">Hypnosis </t>
        </is>
      </c>
      <c r="B9" s="9" t="inlineStr">
        <is>
          <t>Trap</t>
        </is>
      </c>
      <c r="C9" s="16" t="n">
        <v>800</v>
      </c>
      <c r="D9" s="16" t="n"/>
      <c r="E9" s="16" t="n"/>
      <c r="F9" s="16" t="n"/>
      <c r="G9" s="16" t="n">
        <v>4</v>
      </c>
      <c r="H9" s="17" t="inlineStr">
        <is>
          <t>The attacking unit cannot attack during their next turn</t>
        </is>
      </c>
      <c r="J9" s="16" t="n"/>
      <c r="K9" s="17" t="inlineStr">
        <is>
          <t>Yes</t>
        </is>
      </c>
      <c r="L9" s="16" t="n"/>
      <c r="M9" s="17" t="inlineStr">
        <is>
          <t>Yes</t>
        </is>
      </c>
      <c r="N9" s="16" t="n"/>
      <c r="O9" s="17" t="inlineStr">
        <is>
          <t>Yes</t>
        </is>
      </c>
      <c r="P9" s="16" t="n"/>
      <c r="Q9" s="16" t="n"/>
    </row>
    <row r="10" ht="32.05" customHeight="1" s="47">
      <c r="A10" s="8" t="inlineStr">
        <is>
          <t>Flame Trap</t>
        </is>
      </c>
      <c r="B10" s="9" t="inlineStr">
        <is>
          <t>Trap</t>
        </is>
      </c>
      <c r="C10" s="16" t="n">
        <v>250</v>
      </c>
      <c r="D10" s="16" t="n"/>
      <c r="E10" s="16" t="n"/>
      <c r="F10" s="16" t="n"/>
      <c r="G10" s="16" t="n">
        <v>2</v>
      </c>
      <c r="H10" s="17" t="inlineStr">
        <is>
          <t>Attacking unit get -10 ATK permanently</t>
        </is>
      </c>
      <c r="J10" s="16" t="n"/>
      <c r="K10" s="17" t="inlineStr">
        <is>
          <t>Yes</t>
        </is>
      </c>
      <c r="L10" s="16" t="n"/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32.05" customHeight="1" s="47">
      <c r="A11" s="8" t="inlineStr">
        <is>
          <t>Echo Barrier</t>
        </is>
      </c>
      <c r="B11" s="9" t="inlineStr">
        <is>
          <t>Trap</t>
        </is>
      </c>
      <c r="C11" s="16" t="n">
        <v>1000</v>
      </c>
      <c r="D11" s="16" t="n"/>
      <c r="E11" s="16" t="n"/>
      <c r="F11" s="16" t="n"/>
      <c r="G11" s="16" t="n">
        <v>3</v>
      </c>
      <c r="H11" s="17" t="inlineStr">
        <is>
          <t>This turn, attacker cannot perform any more attack.</t>
        </is>
      </c>
      <c r="J11" s="16" t="n"/>
      <c r="K11" s="17" t="inlineStr">
        <is>
          <t>Yes</t>
        </is>
      </c>
      <c r="L11" s="16" t="n"/>
      <c r="M11" s="17" t="inlineStr">
        <is>
          <t>Yes</t>
        </is>
      </c>
      <c r="N11" s="16" t="n"/>
      <c r="O11" s="16" t="n"/>
      <c r="P11" s="17" t="inlineStr">
        <is>
          <t>Yes</t>
        </is>
      </c>
      <c r="Q11" s="16" t="n"/>
    </row>
    <row r="12" ht="44.05" customHeight="1" s="47">
      <c r="A12" s="8" t="inlineStr">
        <is>
          <t>Mana Drain</t>
        </is>
      </c>
      <c r="B12" s="9" t="inlineStr">
        <is>
          <t>Trap</t>
        </is>
      </c>
      <c r="C12" s="16" t="n">
        <v>200</v>
      </c>
      <c r="D12" s="16" t="n"/>
      <c r="E12" s="16" t="n"/>
      <c r="F12" s="16" t="n"/>
      <c r="G12" s="16" t="n">
        <v>2</v>
      </c>
      <c r="H12" s="17" t="inlineStr">
        <is>
          <t>Attacking player loses 300 Crystals. Increase trapper’s Crystal by that amount</t>
        </is>
      </c>
      <c r="J12" s="16" t="n"/>
      <c r="K12" s="17" t="inlineStr">
        <is>
          <t>Yes</t>
        </is>
      </c>
      <c r="L12" s="16" t="n"/>
      <c r="M12" s="16" t="n"/>
      <c r="N12" s="16" t="n"/>
      <c r="O12" s="16" t="n"/>
      <c r="P12" s="16" t="n"/>
      <c r="Q12" s="16" t="n"/>
    </row>
    <row r="13" ht="44.05" customHeight="1" s="47">
      <c r="A13" s="8" t="inlineStr">
        <is>
          <t>Defensive Pheromone</t>
        </is>
      </c>
      <c r="B13" s="9" t="inlineStr">
        <is>
          <t>Trap</t>
        </is>
      </c>
      <c r="C13" s="16" t="n">
        <v>500</v>
      </c>
      <c r="D13" s="16" t="n"/>
      <c r="E13" s="16" t="n"/>
      <c r="F13" s="16" t="n"/>
      <c r="G13" s="16" t="n">
        <v>3</v>
      </c>
      <c r="H13" s="17" t="inlineStr">
        <is>
          <t>The trapper swaps 1 'Armored' Nature card on their side with this cell, then repeat Reckoning.</t>
        </is>
      </c>
      <c r="I13" t="inlineStr">
        <is>
          <t>wording polish</t>
        </is>
      </c>
      <c r="J13" s="16" t="n"/>
      <c r="K13" s="17" t="inlineStr">
        <is>
          <t>Yes</t>
        </is>
      </c>
      <c r="L13" s="16" t="n"/>
      <c r="M13" s="17" t="inlineStr">
        <is>
          <t>Yes</t>
        </is>
      </c>
      <c r="N13" s="16" t="n"/>
      <c r="O13" s="16" t="n"/>
      <c r="P13" s="17" t="inlineStr">
        <is>
          <t>Yes</t>
        </is>
      </c>
      <c r="Q13" s="16" t="n"/>
    </row>
    <row r="14" ht="20.05" customHeight="1" s="47">
      <c r="A14" s="8" t="inlineStr">
        <is>
          <t>Spike Trap</t>
        </is>
      </c>
      <c r="B14" s="9" t="inlineStr">
        <is>
          <t>Trap</t>
        </is>
      </c>
      <c r="C14" s="16" t="n">
        <v>1500</v>
      </c>
      <c r="D14" s="16" t="n"/>
      <c r="E14" s="16" t="n"/>
      <c r="F14" s="16" t="n"/>
      <c r="G14" s="16" t="n">
        <v>5</v>
      </c>
      <c r="H14" s="17" t="inlineStr">
        <is>
          <t>Destroy the attacking unit</t>
        </is>
      </c>
      <c r="J14" s="16" t="n"/>
      <c r="K14" s="17" t="inlineStr">
        <is>
          <t>Yes</t>
        </is>
      </c>
      <c r="L14" s="16" t="n"/>
      <c r="M14" s="17" t="inlineStr">
        <is>
          <t>Yes</t>
        </is>
      </c>
      <c r="N14" s="16" t="n"/>
      <c r="O14" s="16" t="n"/>
      <c r="P14" s="16" t="n"/>
      <c r="Q14" s="17" t="inlineStr">
        <is>
          <t>Yes</t>
        </is>
      </c>
    </row>
    <row r="15" ht="44.05" customHeight="1" s="47">
      <c r="A15" s="8" t="inlineStr">
        <is>
          <t>Snare Trap</t>
        </is>
      </c>
      <c r="B15" s="9" t="inlineStr">
        <is>
          <t>Trap</t>
        </is>
      </c>
      <c r="C15" s="16" t="n">
        <v>500</v>
      </c>
      <c r="D15" s="16" t="n"/>
      <c r="E15" s="16" t="n"/>
      <c r="F15" s="16" t="n"/>
      <c r="G15" s="16" t="n">
        <v>4</v>
      </c>
      <c r="H15" s="17" t="inlineStr">
        <is>
          <t>The attacking unit's ability becomes None until attacker’s next turn ends</t>
        </is>
      </c>
      <c r="J15" s="16" t="n"/>
      <c r="K15" s="17" t="inlineStr">
        <is>
          <t>Yes</t>
        </is>
      </c>
      <c r="L15" s="16" t="n"/>
      <c r="M15" s="17" t="inlineStr">
        <is>
          <t>Yes</t>
        </is>
      </c>
      <c r="N15" s="16" t="n"/>
      <c r="O15" s="16" t="n"/>
      <c r="P15" s="16" t="n"/>
      <c r="Q15" s="17" t="inlineStr">
        <is>
          <t>Yes</t>
        </is>
      </c>
    </row>
    <row r="16" ht="32.05" customHeight="1" s="47">
      <c r="A16" s="8" t="inlineStr">
        <is>
          <t>Brainwash</t>
        </is>
      </c>
      <c r="B16" s="9" t="inlineStr">
        <is>
          <t>Trap</t>
        </is>
      </c>
      <c r="C16" s="16" t="n">
        <v>1500</v>
      </c>
      <c r="D16" s="16" t="n"/>
      <c r="E16" s="16" t="n"/>
      <c r="F16" s="16" t="n"/>
      <c r="G16" s="16" t="n">
        <v>5</v>
      </c>
      <c r="H16" s="17" t="inlineStr">
        <is>
          <t>The attacker chooses their own ally as an attack target</t>
        </is>
      </c>
      <c r="I16" t="inlineStr">
        <is>
          <t>wording polish</t>
        </is>
      </c>
      <c r="J16" s="16" t="n"/>
      <c r="K16" s="17" t="inlineStr">
        <is>
          <t>Yes</t>
        </is>
      </c>
      <c r="L16" s="16" t="n"/>
      <c r="M16" s="17" t="inlineStr">
        <is>
          <t>Yes</t>
        </is>
      </c>
      <c r="N16" s="16" t="n"/>
      <c r="O16" s="16" t="n"/>
      <c r="P16" s="17" t="inlineStr">
        <is>
          <t>Yes</t>
        </is>
      </c>
      <c r="Q16" s="16" t="n"/>
    </row>
    <row r="17" ht="44.05" customHeight="1" s="47">
      <c r="A17" s="8" t="inlineStr">
        <is>
          <t>Bunker</t>
        </is>
      </c>
      <c r="B17" s="9" t="inlineStr">
        <is>
          <t>Trap</t>
        </is>
      </c>
      <c r="C17" s="16" t="n">
        <v>600</v>
      </c>
      <c r="D17" s="16" t="n"/>
      <c r="E17" s="16" t="n"/>
      <c r="F17" s="16" t="n"/>
      <c r="G17" s="16" t="n">
        <v>4</v>
      </c>
      <c r="H17" s="17" t="inlineStr">
        <is>
          <t>Attacker cannot target surrounding cells until the end of this turn.</t>
        </is>
      </c>
      <c r="J17" s="16" t="n"/>
      <c r="K17" s="17" t="inlineStr">
        <is>
          <t>Yes</t>
        </is>
      </c>
      <c r="L17" s="16" t="n"/>
      <c r="M17" s="17" t="inlineStr">
        <is>
          <t>Yes</t>
        </is>
      </c>
      <c r="N17" s="16" t="n"/>
      <c r="O17" s="16" t="n"/>
      <c r="P17" s="16" t="n"/>
      <c r="Q17" s="17" t="inlineStr">
        <is>
          <t>Yes</t>
        </is>
      </c>
    </row>
    <row r="18" ht="44.05" customHeight="1" s="47">
      <c r="A18" s="8" t="inlineStr">
        <is>
          <t>Foul Gas</t>
        </is>
      </c>
      <c r="B18" s="9" t="inlineStr">
        <is>
          <t>Trap</t>
        </is>
      </c>
      <c r="C18" s="16" t="n">
        <v>0</v>
      </c>
      <c r="D18" s="16" t="n"/>
      <c r="E18" s="16" t="n"/>
      <c r="F18" s="16" t="n"/>
      <c r="G18" s="16" t="n">
        <v>3</v>
      </c>
      <c r="H18" s="17" t="inlineStr">
        <is>
          <t>-5 ATK to all the attacking player’s units until the end of this turn</t>
        </is>
      </c>
      <c r="J18" s="16" t="n"/>
      <c r="K18" s="17" t="inlineStr">
        <is>
          <t>Yes</t>
        </is>
      </c>
      <c r="L18" s="16" t="n"/>
      <c r="M18" s="17" t="inlineStr">
        <is>
          <t>Yes</t>
        </is>
      </c>
      <c r="N18" s="16" t="n"/>
      <c r="O18" s="17" t="inlineStr">
        <is>
          <t>Yes</t>
        </is>
      </c>
      <c r="P18" s="16" t="n"/>
      <c r="Q18" s="16" t="n"/>
    </row>
    <row r="19" ht="44.05" customHeight="1" s="47">
      <c r="A19" s="8" t="inlineStr">
        <is>
          <t>Choking Gas</t>
        </is>
      </c>
      <c r="B19" s="9" t="inlineStr">
        <is>
          <t>Trap</t>
        </is>
      </c>
      <c r="C19" s="16" t="n">
        <v>800</v>
      </c>
      <c r="D19" s="16" t="n"/>
      <c r="E19" s="16" t="n"/>
      <c r="F19" s="16" t="n"/>
      <c r="G19" s="16" t="n">
        <v>4</v>
      </c>
      <c r="H19" s="17" t="inlineStr">
        <is>
          <t>-20 ATK to all the attacking player’s units until the end of this turn</t>
        </is>
      </c>
      <c r="J19" s="16" t="n"/>
      <c r="K19" s="17" t="inlineStr">
        <is>
          <t>Yes</t>
        </is>
      </c>
      <c r="L19" s="16" t="n"/>
      <c r="M19" s="16" t="n"/>
      <c r="N19" s="16" t="n"/>
      <c r="O19" s="16" t="n"/>
      <c r="P19" s="16" t="n"/>
      <c r="Q19" s="16" t="n"/>
    </row>
    <row r="20" ht="56.05" customHeight="1" s="47">
      <c r="A20" s="8" t="inlineStr">
        <is>
          <t>Potent Poison</t>
        </is>
      </c>
      <c r="B20" s="9" t="inlineStr">
        <is>
          <t>Trap</t>
        </is>
      </c>
      <c r="C20" s="16" t="n">
        <v>600</v>
      </c>
      <c r="D20" s="16" t="n"/>
      <c r="E20" s="16" t="n"/>
      <c r="F20" s="16" t="n"/>
      <c r="G20" s="16" t="n">
        <v>4</v>
      </c>
      <c r="H20" s="17" t="inlineStr">
        <is>
          <t>Attacking unit permanently lose 5 ATK and DEF. It lose more 5 ATK and DEF for each trap cards in trapper’s void</t>
        </is>
      </c>
      <c r="I20" t="inlineStr">
        <is>
          <t>ATK&amp;DEF→ATK and DEF</t>
        </is>
      </c>
      <c r="J20" s="16" t="n"/>
      <c r="K20" s="17" t="inlineStr">
        <is>
          <t>Yes</t>
        </is>
      </c>
      <c r="L20" s="16" t="n"/>
      <c r="M20" s="16" t="n"/>
      <c r="N20" s="16" t="n"/>
      <c r="O20" s="16" t="n"/>
      <c r="P20" s="16" t="n"/>
      <c r="Q20" s="16" t="n"/>
    </row>
    <row r="21" ht="44.05" customHeight="1" s="47">
      <c r="A21" s="8" t="inlineStr">
        <is>
          <t>Acid Trap Hole</t>
        </is>
      </c>
      <c r="B21" s="9" t="inlineStr">
        <is>
          <t>Trap</t>
        </is>
      </c>
      <c r="C21" s="16" t="n">
        <v>0</v>
      </c>
      <c r="D21" s="16" t="n"/>
      <c r="E21" s="16" t="n"/>
      <c r="F21" s="16" t="n"/>
      <c r="G21" s="16" t="n">
        <v>1</v>
      </c>
      <c r="H21" s="17" t="inlineStr">
        <is>
          <t>Flip 2 coins. Attacker loses 50 Crystals per Head.</t>
        </is>
      </c>
      <c r="I21" t="inlineStr">
        <is>
          <t>Grammar: coins plural; per Head wording.</t>
        </is>
      </c>
      <c r="J21" s="16" t="n"/>
      <c r="K21" s="17" t="inlineStr">
        <is>
          <t>Yes</t>
        </is>
      </c>
      <c r="L21" s="16" t="n"/>
      <c r="M21" s="17" t="inlineStr">
        <is>
          <t>Yes</t>
        </is>
      </c>
      <c r="N21" s="16" t="n"/>
      <c r="O21" s="17" t="inlineStr">
        <is>
          <t>Yes</t>
        </is>
      </c>
      <c r="P21" s="16" t="n"/>
      <c r="Q21" s="16" t="n"/>
    </row>
    <row r="22" ht="44.05" customHeight="1" s="47">
      <c r="A22" s="8" t="inlineStr">
        <is>
          <t>Lava Trap Hole</t>
        </is>
      </c>
      <c r="B22" s="9" t="inlineStr">
        <is>
          <t>Trap</t>
        </is>
      </c>
      <c r="C22" s="16" t="n">
        <v>50</v>
      </c>
      <c r="D22" s="16" t="n"/>
      <c r="E22" s="16" t="n"/>
      <c r="F22" s="16" t="n"/>
      <c r="G22" s="16" t="n">
        <v>2</v>
      </c>
      <c r="H22" s="17" t="inlineStr">
        <is>
          <t>Flip 3 coins. Attacker loses 100 Crystals per Head.</t>
        </is>
      </c>
      <c r="I22" t="inlineStr">
        <is>
          <t>Grammar: coins plural; per Head wording.</t>
        </is>
      </c>
      <c r="J22" s="16" t="n"/>
      <c r="K22" s="17" t="inlineStr">
        <is>
          <t>Yes</t>
        </is>
      </c>
      <c r="L22" s="16" t="n"/>
      <c r="M22" s="16" t="n"/>
      <c r="N22" s="16" t="n"/>
      <c r="O22" s="16" t="n"/>
      <c r="P22" s="16" t="n"/>
      <c r="Q22" s="16" t="n"/>
    </row>
    <row r="23" ht="32.05" customHeight="1" s="47">
      <c r="A23" s="8" t="inlineStr">
        <is>
          <t>Fissure</t>
        </is>
      </c>
      <c r="B23" s="9" t="inlineStr">
        <is>
          <t>Trap</t>
        </is>
      </c>
      <c r="C23" s="16" t="n">
        <v>100</v>
      </c>
      <c r="D23" s="16" t="n"/>
      <c r="E23" s="16" t="n"/>
      <c r="F23" s="16" t="n"/>
      <c r="G23" s="16" t="n">
        <v>3</v>
      </c>
      <c r="H23" s="17" t="inlineStr">
        <is>
          <t>Attacking player loses 200 Crystals</t>
        </is>
      </c>
      <c r="J23" s="16" t="n"/>
      <c r="K23" s="17" t="inlineStr">
        <is>
          <t>Yes</t>
        </is>
      </c>
      <c r="L23" s="16" t="n"/>
      <c r="M23" s="16" t="n"/>
      <c r="N23" s="16" t="n"/>
      <c r="O23" s="16" t="n"/>
      <c r="P23" s="16" t="n"/>
      <c r="Q23" s="16" t="n"/>
    </row>
    <row r="24" ht="44.05" customHeight="1" s="47">
      <c r="A24" s="8" t="inlineStr">
        <is>
          <t>Soul Blast</t>
        </is>
      </c>
      <c r="B24" s="9" t="inlineStr">
        <is>
          <t>Trap</t>
        </is>
      </c>
      <c r="C24" s="16" t="n">
        <v>1000</v>
      </c>
      <c r="D24" s="16" t="n"/>
      <c r="E24" s="16" t="n"/>
      <c r="F24" s="16" t="n"/>
      <c r="G24" s="16" t="n">
        <v>5</v>
      </c>
      <c r="H24" s="17" t="inlineStr">
        <is>
          <t>Attacking player lose 150 Crystals for each unit cards in trapper’s void</t>
        </is>
      </c>
      <c r="J24" s="16" t="n"/>
      <c r="K24" s="17" t="inlineStr">
        <is>
          <t>Yes</t>
        </is>
      </c>
      <c r="L24" s="16" t="n"/>
      <c r="M24" s="16" t="n"/>
      <c r="N24" s="16" t="n"/>
      <c r="O24" s="16" t="n"/>
      <c r="P24" s="16" t="n"/>
      <c r="Q24" s="16" t="n"/>
    </row>
    <row r="25" ht="44.05" customHeight="1" s="47">
      <c r="A25" s="8" t="inlineStr">
        <is>
          <t>Grudge</t>
        </is>
      </c>
      <c r="B25" s="9" t="inlineStr">
        <is>
          <t>Trap</t>
        </is>
      </c>
      <c r="C25" s="16" t="n">
        <v>850</v>
      </c>
      <c r="D25" s="16" t="n"/>
      <c r="E25" s="16" t="n"/>
      <c r="F25" s="16" t="n"/>
      <c r="G25" s="16" t="n">
        <v>2</v>
      </c>
      <c r="H25" s="17" t="inlineStr">
        <is>
          <t>-10 ATK to the attacking monster permanently for each unit cards in trapper’s void</t>
        </is>
      </c>
      <c r="J25" s="16" t="n"/>
      <c r="K25" s="17" t="inlineStr">
        <is>
          <t>Yes</t>
        </is>
      </c>
      <c r="L25" s="16" t="n"/>
      <c r="M25" s="16" t="n"/>
      <c r="N25" s="16" t="n"/>
      <c r="O25" s="16" t="n"/>
      <c r="P25" s="16" t="n"/>
      <c r="Q25" s="16" t="n"/>
    </row>
    <row r="26" ht="56.05" customHeight="1" s="47">
      <c r="A26" s="8" t="inlineStr">
        <is>
          <t>Anti-virus</t>
        </is>
      </c>
      <c r="B26" s="9" t="inlineStr">
        <is>
          <t>Trap</t>
        </is>
      </c>
      <c r="C26" s="16" t="n">
        <v>600</v>
      </c>
      <c r="D26" s="16" t="n"/>
      <c r="E26" s="16" t="n"/>
      <c r="F26" s="16" t="n"/>
      <c r="G26" s="16" t="n">
        <v>1</v>
      </c>
      <c r="H26" s="17" t="inlineStr">
        <is>
          <t>If attacker is Bio, flip a coin. Heads: destroy it. Always Heads, if trapper’s Crystal is 1000 or less.</t>
        </is>
      </c>
      <c r="I26" t="inlineStr">
        <is>
          <t>Head→Heads</t>
        </is>
      </c>
      <c r="J26" s="16" t="n"/>
      <c r="K26" s="17" t="inlineStr">
        <is>
          <t>Yes</t>
        </is>
      </c>
      <c r="L26" s="16" t="n"/>
      <c r="M26" s="16" t="n"/>
      <c r="N26" s="16" t="n"/>
      <c r="O26" s="16" t="n"/>
      <c r="P26" s="16" t="n"/>
      <c r="Q26" s="16" t="n"/>
    </row>
    <row r="27" ht="56.05" customHeight="1" s="47">
      <c r="A27" s="8" t="inlineStr">
        <is>
          <t>Witch Hunt</t>
        </is>
      </c>
      <c r="B27" s="9" t="inlineStr">
        <is>
          <t>Trap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If attacker is Arcane, flip a coin. Heads: destroy it. Always Heads, if trapper’s Crystal is 1000 or less.</t>
        </is>
      </c>
      <c r="I27" t="inlineStr">
        <is>
          <t>Head→Heads</t>
        </is>
      </c>
      <c r="J27" s="16" t="n"/>
      <c r="K27" s="17" t="inlineStr">
        <is>
          <t>Yes</t>
        </is>
      </c>
      <c r="L27" s="16" t="n"/>
      <c r="M27" s="16" t="n"/>
      <c r="N27" s="16" t="n"/>
      <c r="O27" s="16" t="n"/>
      <c r="P27" s="16" t="n"/>
      <c r="Q27" s="16" t="n"/>
    </row>
    <row r="28" ht="56.05" customHeight="1" s="47">
      <c r="A28" s="8" t="inlineStr">
        <is>
          <t>Standoff</t>
        </is>
      </c>
      <c r="B28" s="9" t="inlineStr">
        <is>
          <t>Trap</t>
        </is>
      </c>
      <c r="C28" s="16" t="n">
        <v>600</v>
      </c>
      <c r="D28" s="16" t="n"/>
      <c r="E28" s="16" t="n"/>
      <c r="F28" s="16" t="n"/>
      <c r="G28" s="16" t="n">
        <v>1</v>
      </c>
      <c r="H28" s="17" t="inlineStr">
        <is>
          <t>If attacker is Anima, flip a coin. Heads: destroy it. Always Heads, if trapper’s Crystal is 1000 or less.</t>
        </is>
      </c>
      <c r="I28" t="inlineStr">
        <is>
          <t>Head→Heads</t>
        </is>
      </c>
      <c r="J28" s="16" t="n"/>
      <c r="K28" s="17" t="inlineStr">
        <is>
          <t>Yes</t>
        </is>
      </c>
      <c r="L28" s="16" t="n"/>
      <c r="M28" s="16" t="n"/>
      <c r="N28" s="16" t="n"/>
      <c r="O28" s="16" t="n"/>
      <c r="P28" s="16" t="n"/>
      <c r="Q28" s="16" t="n"/>
    </row>
    <row r="29" ht="56.05" customHeight="1" s="47">
      <c r="A29" s="8" t="inlineStr">
        <is>
          <t>Apple of Adam</t>
        </is>
      </c>
      <c r="B29" s="9" t="inlineStr">
        <is>
          <t>Trap</t>
        </is>
      </c>
      <c r="C29" s="16" t="n">
        <v>600</v>
      </c>
      <c r="D29" s="16" t="n"/>
      <c r="E29" s="16" t="n"/>
      <c r="F29" s="16" t="n"/>
      <c r="G29" s="16" t="n">
        <v>1</v>
      </c>
      <c r="H29" s="17" t="inlineStr">
        <is>
          <t>If attacker is Divine, flip a coin. Heads: destroy it. Always Heads, if trapper’s Crystal is 1000 or less.</t>
        </is>
      </c>
      <c r="I29" t="inlineStr">
        <is>
          <t>Head→Heads</t>
        </is>
      </c>
      <c r="J29" s="16" t="n"/>
      <c r="K29" s="17" t="inlineStr">
        <is>
          <t>Yes</t>
        </is>
      </c>
      <c r="L29" s="16" t="n"/>
      <c r="M29" s="16" t="n"/>
      <c r="N29" s="16" t="n"/>
      <c r="O29" s="16" t="n"/>
      <c r="P29" s="16" t="n"/>
      <c r="Q29" s="16" t="n"/>
    </row>
    <row r="30" ht="56.05" customHeight="1" s="47">
      <c r="A30" s="8" t="inlineStr">
        <is>
          <t>Purify</t>
        </is>
      </c>
      <c r="B30" s="9" t="inlineStr">
        <is>
          <t>Trap</t>
        </is>
      </c>
      <c r="C30" s="16" t="n">
        <v>600</v>
      </c>
      <c r="D30" s="16" t="n"/>
      <c r="E30" s="16" t="n"/>
      <c r="F30" s="16" t="n"/>
      <c r="G30" s="16" t="n">
        <v>1</v>
      </c>
      <c r="H30" s="17" t="inlineStr">
        <is>
          <t>If attacker is Chaos, flip a coin. Heads: destroy it. Always Heads, if trapper’s Crystal is 1000 or less.</t>
        </is>
      </c>
      <c r="I30" t="inlineStr">
        <is>
          <t>Head→Heads</t>
        </is>
      </c>
      <c r="J30" s="16" t="n"/>
      <c r="K30" s="17" t="inlineStr">
        <is>
          <t>Yes</t>
        </is>
      </c>
      <c r="L30" s="16" t="n"/>
      <c r="M30" s="16" t="n"/>
      <c r="N30" s="16" t="n"/>
      <c r="O30" s="16" t="n"/>
      <c r="P30" s="16" t="n"/>
      <c r="Q30" s="16" t="n"/>
    </row>
    <row r="31" ht="56.05" customHeight="1" s="47">
      <c r="A31" s="8" t="inlineStr">
        <is>
          <t>Solar Flare</t>
        </is>
      </c>
      <c r="B31" s="9" t="inlineStr">
        <is>
          <t>Trap</t>
        </is>
      </c>
      <c r="C31" s="16" t="n">
        <v>600</v>
      </c>
      <c r="D31" s="16" t="n"/>
      <c r="E31" s="16" t="n"/>
      <c r="F31" s="16" t="n"/>
      <c r="G31" s="16" t="n">
        <v>1</v>
      </c>
      <c r="H31" s="17" t="inlineStr">
        <is>
          <t>If attacker is Cosmic, flip a coin. Heads: destroy it. Always Heads, if trapper’s Crystal is 1000 or less.</t>
        </is>
      </c>
      <c r="I31" t="inlineStr">
        <is>
          <t>Head→Heads</t>
        </is>
      </c>
      <c r="J31" s="16" t="n"/>
      <c r="K31" s="17" t="inlineStr">
        <is>
          <t>Yes</t>
        </is>
      </c>
      <c r="L31" s="16" t="n"/>
      <c r="M31" s="16" t="n"/>
      <c r="N31" s="16" t="n"/>
      <c r="O31" s="16" t="n"/>
      <c r="P31" s="16" t="n"/>
      <c r="Q31" s="16" t="n"/>
    </row>
    <row r="32" ht="56.05" customHeight="1" s="47">
      <c r="A32" s="8" t="inlineStr">
        <is>
          <t>Hunting Season</t>
        </is>
      </c>
      <c r="B32" s="9" t="inlineStr">
        <is>
          <t>Trap</t>
        </is>
      </c>
      <c r="C32" s="16" t="n">
        <v>600</v>
      </c>
      <c r="D32" s="16" t="n"/>
      <c r="E32" s="16" t="n"/>
      <c r="F32" s="16" t="n"/>
      <c r="G32" s="16" t="n">
        <v>1</v>
      </c>
      <c r="H32" s="17" t="inlineStr">
        <is>
          <t>If attacker is Nature, flip a coin. Heads: destroy it. Always Heads, if trapper’s Crystal is 1000 or less.</t>
        </is>
      </c>
      <c r="I32" t="inlineStr">
        <is>
          <t>Head→Heads</t>
        </is>
      </c>
      <c r="J32" s="16" t="n"/>
      <c r="K32" s="17" t="inlineStr">
        <is>
          <t>Yes</t>
        </is>
      </c>
      <c r="L32" s="16" t="n"/>
      <c r="M32" s="16" t="n"/>
      <c r="N32" s="16" t="n"/>
      <c r="O32" s="16" t="n"/>
      <c r="P32" s="16" t="n"/>
      <c r="Q32" s="16" t="n"/>
    </row>
    <row r="33" ht="32.05" customHeight="1" s="47">
      <c r="A33" s="8" t="inlineStr">
        <is>
          <t>Dart Trap</t>
        </is>
      </c>
      <c r="B33" s="9" t="inlineStr">
        <is>
          <t>Trap</t>
        </is>
      </c>
      <c r="C33" s="16" t="n">
        <v>300</v>
      </c>
      <c r="D33" s="16" t="n"/>
      <c r="E33" s="16" t="n"/>
      <c r="F33" s="16" t="n"/>
      <c r="G33" s="16" t="n">
        <v>2</v>
      </c>
      <c r="H33" s="17" t="inlineStr">
        <is>
          <t>If the attacking monster is the first one in that turn, destroy it.</t>
        </is>
      </c>
      <c r="J33" s="16" t="n"/>
      <c r="K33" s="17" t="inlineStr">
        <is>
          <t>Yes</t>
        </is>
      </c>
      <c r="L33" s="16" t="n"/>
      <c r="M33" s="16" t="n"/>
      <c r="N33" s="16" t="n"/>
      <c r="O33" s="16" t="n"/>
      <c r="P33" s="16" t="n"/>
      <c r="Q33" s="16" t="n"/>
    </row>
    <row r="34" ht="44.05" customHeight="1" s="47">
      <c r="A34" s="8" t="inlineStr">
        <is>
          <t>Science Cage</t>
        </is>
      </c>
      <c r="B34" s="9" t="inlineStr">
        <is>
          <t>Trap</t>
        </is>
      </c>
      <c r="C34" s="16" t="n">
        <v>800</v>
      </c>
      <c r="D34" s="16" t="n"/>
      <c r="E34" s="16" t="n"/>
      <c r="F34" s="16" t="n"/>
      <c r="G34" s="16" t="n">
        <v>3</v>
      </c>
      <c r="H34" s="17" t="inlineStr">
        <is>
          <t>If attacking unit Is Bio affinity, end their turn immediately. Remove all flags from it.</t>
        </is>
      </c>
      <c r="J34" s="16" t="n"/>
      <c r="K34" s="17" t="inlineStr">
        <is>
          <t>Yes</t>
        </is>
      </c>
      <c r="L34" s="16" t="n"/>
      <c r="M34" s="16" t="n"/>
      <c r="N34" s="16" t="n"/>
      <c r="O34" s="16" t="n"/>
      <c r="P34" s="16" t="n"/>
      <c r="Q34" s="16" t="n"/>
    </row>
    <row r="35" ht="32.05" customHeight="1" s="47">
      <c r="A35" s="8" t="inlineStr">
        <is>
          <t>Loop Hole</t>
        </is>
      </c>
      <c r="B35" s="9" t="inlineStr">
        <is>
          <t>Trap</t>
        </is>
      </c>
      <c r="C35" s="16" t="n">
        <v>800</v>
      </c>
      <c r="D35" s="16" t="n"/>
      <c r="E35" s="16" t="n"/>
      <c r="F35" s="16" t="n"/>
      <c r="G35" s="16" t="n">
        <v>3</v>
      </c>
      <c r="H35" s="17" t="inlineStr">
        <is>
          <t xml:space="preserve">If attacker is Arcane, end the their turn immediately. </t>
        </is>
      </c>
      <c r="J35" s="16" t="n"/>
      <c r="K35" s="17" t="inlineStr">
        <is>
          <t>Yes</t>
        </is>
      </c>
      <c r="L35" s="16" t="n"/>
      <c r="M35" s="16" t="n"/>
      <c r="N35" s="16" t="n"/>
      <c r="O35" s="16" t="n"/>
      <c r="P35" s="16" t="n"/>
      <c r="Q35" s="16" t="n"/>
    </row>
    <row r="36" ht="32.05" customHeight="1" s="47">
      <c r="A36" s="8" t="inlineStr">
        <is>
          <t>Talisman of Light</t>
        </is>
      </c>
      <c r="B36" s="9" t="inlineStr">
        <is>
          <t>Trap</t>
        </is>
      </c>
      <c r="C36" s="16" t="n">
        <v>800</v>
      </c>
      <c r="D36" s="16" t="n"/>
      <c r="E36" s="16" t="n"/>
      <c r="F36" s="16" t="n"/>
      <c r="G36" s="16" t="n">
        <v>3</v>
      </c>
      <c r="H36" s="17" t="inlineStr">
        <is>
          <t>If attacker is Chaos, -50 ATK to that monster permanently</t>
        </is>
      </c>
      <c r="J36" s="16" t="n"/>
      <c r="K36" s="17" t="inlineStr">
        <is>
          <t>Yes</t>
        </is>
      </c>
      <c r="L36" s="16" t="n"/>
      <c r="M36" s="16" t="n"/>
      <c r="N36" s="16" t="n"/>
      <c r="O36" s="16" t="n"/>
      <c r="P36" s="16" t="n"/>
      <c r="Q36" s="16" t="n"/>
    </row>
    <row r="37" ht="32.05" customHeight="1" s="47">
      <c r="A37" s="8" t="inlineStr">
        <is>
          <t>Forbidden Grail</t>
        </is>
      </c>
      <c r="B37" s="9" t="inlineStr">
        <is>
          <t>Trap</t>
        </is>
      </c>
      <c r="C37" s="16" t="n">
        <v>800</v>
      </c>
      <c r="D37" s="16" t="n"/>
      <c r="E37" s="16" t="n"/>
      <c r="F37" s="16" t="n"/>
      <c r="G37" s="16" t="n">
        <v>3</v>
      </c>
      <c r="H37" s="17" t="inlineStr">
        <is>
          <t>If attacker is Divine, -50 DEF to that monster permanently</t>
        </is>
      </c>
      <c r="J37" s="16" t="n"/>
      <c r="K37" s="17" t="inlineStr">
        <is>
          <t>Yes</t>
        </is>
      </c>
      <c r="L37" s="16" t="n"/>
      <c r="M37" s="16" t="n"/>
      <c r="N37" s="16" t="n"/>
      <c r="O37" s="16" t="n"/>
      <c r="P37" s="16" t="n"/>
      <c r="Q37" s="16" t="n"/>
    </row>
    <row r="38" ht="44.05" customHeight="1" s="47">
      <c r="A38" s="8" t="inlineStr">
        <is>
          <t>Electric Fence</t>
        </is>
      </c>
      <c r="B38" s="9" t="inlineStr">
        <is>
          <t>Trap</t>
        </is>
      </c>
      <c r="C38" s="16" t="n">
        <v>800</v>
      </c>
      <c r="D38" s="16" t="n"/>
      <c r="E38" s="16" t="n"/>
      <c r="F38" s="16" t="n"/>
      <c r="G38" s="16" t="n">
        <v>3</v>
      </c>
      <c r="H38" s="17" t="inlineStr">
        <is>
          <t>If attacker is Nature, it cannot attack until attacker’s next turn ends</t>
        </is>
      </c>
      <c r="J38" s="16" t="n"/>
      <c r="K38" s="17" t="inlineStr">
        <is>
          <t>Yes</t>
        </is>
      </c>
      <c r="L38" s="16" t="n"/>
      <c r="M38" s="16" t="n"/>
      <c r="N38" s="16" t="n"/>
      <c r="O38" s="16" t="n"/>
      <c r="P38" s="16" t="n"/>
      <c r="Q38" s="16" t="n"/>
    </row>
    <row r="39" ht="44.05" customHeight="1" s="47">
      <c r="A39" s="8" t="inlineStr">
        <is>
          <t>Discourage</t>
        </is>
      </c>
      <c r="B39" s="9" t="inlineStr">
        <is>
          <t>Trap</t>
        </is>
      </c>
      <c r="C39" s="16" t="n">
        <v>800</v>
      </c>
      <c r="D39" s="16" t="n"/>
      <c r="E39" s="16" t="n"/>
      <c r="F39" s="16" t="n"/>
      <c r="G39" s="16" t="n">
        <v>3</v>
      </c>
      <c r="H39" s="17" t="inlineStr">
        <is>
          <t>If attacker Is Anima -15 ATK to all Exposed units on their field until attacker’s next turn ends</t>
        </is>
      </c>
      <c r="I39" t="inlineStr">
        <is>
          <t>wording polish</t>
        </is>
      </c>
      <c r="J39" s="16" t="n"/>
      <c r="K39" s="17" t="inlineStr">
        <is>
          <t>Yes</t>
        </is>
      </c>
      <c r="L39" s="16" t="n"/>
      <c r="M39" s="16" t="n"/>
      <c r="N39" s="16" t="n"/>
      <c r="O39" s="16" t="n"/>
      <c r="P39" s="16" t="n"/>
      <c r="Q39" s="16" t="n"/>
    </row>
    <row r="40" ht="32.05" customHeight="1" s="47">
      <c r="A40" s="8" t="inlineStr">
        <is>
          <t>Galaxy Toll</t>
        </is>
      </c>
      <c r="B40" s="9" t="inlineStr">
        <is>
          <t>Trap</t>
        </is>
      </c>
      <c r="C40" s="16" t="n">
        <v>800</v>
      </c>
      <c r="D40" s="16" t="n"/>
      <c r="E40" s="16" t="n"/>
      <c r="F40" s="16" t="n"/>
      <c r="G40" s="16" t="n">
        <v>3</v>
      </c>
      <c r="H40" s="17" t="inlineStr">
        <is>
          <t>If attacker is Cosmic, foe loses 1000 Crystals</t>
        </is>
      </c>
      <c r="I40" t="inlineStr">
        <is>
          <t>wording polish</t>
        </is>
      </c>
      <c r="J40" s="16" t="n"/>
      <c r="K40" s="17" t="inlineStr">
        <is>
          <t>Yes</t>
        </is>
      </c>
      <c r="L40" s="16" t="n"/>
      <c r="M40" s="16" t="n"/>
      <c r="N40" s="16" t="n"/>
      <c r="O40" s="16" t="n"/>
      <c r="P40" s="16" t="n"/>
      <c r="Q40" s="16" t="n"/>
    </row>
    <row r="41" ht="44.05" customHeight="1" s="47">
      <c r="A41" s="8" t="inlineStr">
        <is>
          <t>Union Cage</t>
        </is>
      </c>
      <c r="B41" s="9" t="inlineStr">
        <is>
          <t>Trap</t>
        </is>
      </c>
      <c r="C41" s="16" t="n">
        <v>1200</v>
      </c>
      <c r="D41" s="16" t="n"/>
      <c r="E41" s="16" t="n"/>
      <c r="F41" s="16" t="n"/>
      <c r="G41" s="16" t="n">
        <v>3</v>
      </c>
      <c r="H41" s="17" t="inlineStr">
        <is>
          <t>If attacking unit Is Union card, that unit cannot attack until the attacker’s next turn ends.</t>
        </is>
      </c>
      <c r="J41" s="16" t="n"/>
      <c r="K41" s="17" t="inlineStr">
        <is>
          <t>Yes</t>
        </is>
      </c>
      <c r="L41" s="16" t="n"/>
      <c r="M41" s="16" t="n"/>
      <c r="N41" s="16" t="n"/>
      <c r="O41" s="16" t="n"/>
      <c r="P41" s="16" t="n"/>
      <c r="Q41" s="16" t="n"/>
    </row>
    <row r="42" ht="56.05" customHeight="1" s="47">
      <c r="A42" s="8" t="inlineStr">
        <is>
          <t>Plunder</t>
        </is>
      </c>
      <c r="B42" s="9" t="inlineStr">
        <is>
          <t>Trap</t>
        </is>
      </c>
      <c r="C42" s="16" t="n">
        <v>1500</v>
      </c>
      <c r="D42" s="16" t="n"/>
      <c r="E42" s="16" t="n"/>
      <c r="F42" s="16" t="n"/>
      <c r="G42" s="16" t="n">
        <v>4</v>
      </c>
      <c r="H42" s="17" t="inlineStr">
        <is>
          <t>The attacker choose to let trapper receive 2000 Crystals, or destroy the attacking monster.</t>
        </is>
      </c>
      <c r="J42" s="16" t="n"/>
      <c r="K42" s="17" t="inlineStr">
        <is>
          <t>Yes</t>
        </is>
      </c>
      <c r="L42" s="16" t="n"/>
      <c r="M42" s="16" t="n"/>
      <c r="N42" s="16" t="n"/>
      <c r="O42" s="16" t="n"/>
      <c r="P42" s="16" t="n"/>
      <c r="Q42" s="16" t="n"/>
    </row>
    <row r="43" ht="44.05" customHeight="1" s="47">
      <c r="A43" s="8" t="inlineStr">
        <is>
          <t>Decoy Puppet</t>
        </is>
      </c>
      <c r="B43" s="9" t="inlineStr">
        <is>
          <t>Trap</t>
        </is>
      </c>
      <c r="C43" s="16" t="n">
        <v>100</v>
      </c>
      <c r="D43" s="16" t="n"/>
      <c r="E43" s="16" t="n"/>
      <c r="F43" s="16" t="n"/>
      <c r="G43" s="16" t="n">
        <v>2</v>
      </c>
      <c r="H43" s="17" t="inlineStr">
        <is>
          <t>This turn, attacker cannot perform any more attack using unit with 400 or less cost.</t>
        </is>
      </c>
      <c r="J43" s="16" t="n"/>
      <c r="K43" s="17" t="inlineStr">
        <is>
          <t>Yes</t>
        </is>
      </c>
      <c r="L43" s="16" t="n"/>
      <c r="M43" s="17" t="inlineStr">
        <is>
          <t>Yes</t>
        </is>
      </c>
      <c r="N43" s="16" t="n"/>
      <c r="O43" s="16" t="n"/>
      <c r="P43" s="17" t="inlineStr">
        <is>
          <t>Yes</t>
        </is>
      </c>
      <c r="Q43" s="16" t="n"/>
    </row>
    <row r="44" ht="44.05" customHeight="1" s="47">
      <c r="A44" s="8" t="inlineStr">
        <is>
          <t>Hard Scale</t>
        </is>
      </c>
      <c r="B44" s="9" t="inlineStr">
        <is>
          <t>Trap</t>
        </is>
      </c>
      <c r="C44" s="16" t="n">
        <v>700</v>
      </c>
      <c r="D44" s="16" t="n"/>
      <c r="E44" s="16" t="n"/>
      <c r="F44" s="16" t="n"/>
      <c r="G44" s="16" t="n">
        <v>1</v>
      </c>
      <c r="H44" s="17" t="inlineStr">
        <is>
          <t>All of trapper’s unit gain +5 DEF in Reckoning until attacker’s next turn ends</t>
        </is>
      </c>
      <c r="J44" s="16" t="n"/>
      <c r="K44" s="17" t="inlineStr">
        <is>
          <t>Yes</t>
        </is>
      </c>
      <c r="L44" s="16" t="n"/>
      <c r="M44" s="17" t="inlineStr">
        <is>
          <t>Yes</t>
        </is>
      </c>
      <c r="N44" s="16" t="n"/>
      <c r="O44" s="16" t="n"/>
      <c r="P44" s="17" t="inlineStr">
        <is>
          <t>Yes</t>
        </is>
      </c>
      <c r="Q44" s="16" t="n"/>
    </row>
    <row r="45" ht="44.05" customHeight="1" s="47">
      <c r="A45" s="8" t="inlineStr">
        <is>
          <t>Steel Scale</t>
        </is>
      </c>
      <c r="B45" s="9" t="inlineStr">
        <is>
          <t>Trap</t>
        </is>
      </c>
      <c r="C45" s="16" t="n">
        <v>1200</v>
      </c>
      <c r="D45" s="16" t="n"/>
      <c r="E45" s="16" t="n"/>
      <c r="F45" s="16" t="n"/>
      <c r="G45" s="16" t="n">
        <v>1</v>
      </c>
      <c r="H45" s="17" t="inlineStr">
        <is>
          <t>All of trapper’s units gain +15 DEF in Reckoning until attacker’s next turn ends</t>
        </is>
      </c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 ht="44.05" customHeight="1" s="47">
      <c r="A46" s="8" t="inlineStr">
        <is>
          <t>Trick Door</t>
        </is>
      </c>
      <c r="B46" s="9" t="inlineStr">
        <is>
          <t>Trap</t>
        </is>
      </c>
      <c r="C46" s="16" t="n">
        <v>1500</v>
      </c>
      <c r="D46" s="16" t="n"/>
      <c r="E46" s="16" t="n"/>
      <c r="F46" s="16" t="n"/>
      <c r="G46" s="16" t="n">
        <v>1</v>
      </c>
      <c r="H46" s="17" t="inlineStr">
        <is>
          <t>The trapper selects 1 unit and swap or relocate to any cell. Repeat Reckoning if it’s this cell.</t>
        </is>
      </c>
      <c r="I46" t="inlineStr">
        <is>
          <t>wording polish</t>
        </is>
      </c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 ht="44.05" customHeight="1" s="47">
      <c r="A47" s="8" t="inlineStr">
        <is>
          <t>Boiling Oil</t>
        </is>
      </c>
      <c r="B47" s="9" t="inlineStr">
        <is>
          <t>Trap</t>
        </is>
      </c>
      <c r="C47" s="16" t="n">
        <v>950</v>
      </c>
      <c r="D47" s="16" t="n"/>
      <c r="E47" s="16" t="n"/>
      <c r="F47" s="16" t="n"/>
      <c r="G47" s="16" t="n">
        <v>1</v>
      </c>
      <c r="H47" s="17" t="inlineStr">
        <is>
          <t>All of attacker’s unit get -10 ATK in Reckoning until this turn’s end</t>
        </is>
      </c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 ht="44.05" customHeight="1" s="47">
      <c r="A48" s="8" t="inlineStr">
        <is>
          <t>Lightning Rod</t>
        </is>
      </c>
      <c r="B48" s="9" t="inlineStr">
        <is>
          <t>Trap</t>
        </is>
      </c>
      <c r="C48" s="16" t="n">
        <v>0</v>
      </c>
      <c r="D48" s="16" t="n"/>
      <c r="E48" s="16" t="n"/>
      <c r="F48" s="16" t="n"/>
      <c r="G48" s="16" t="n">
        <v>3</v>
      </c>
      <c r="H48" s="17" t="inlineStr">
        <is>
          <t>Foe lose 1000 Crystals if they target this card with any Tech card</t>
        </is>
      </c>
      <c r="I48" t="inlineStr">
        <is>
          <t>wording polish</t>
        </is>
      </c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 ht="44.05" customHeight="1" s="47">
      <c r="A49" s="8" t="inlineStr">
        <is>
          <t>Dreamcatcher</t>
        </is>
      </c>
      <c r="B49" s="9" t="inlineStr">
        <is>
          <t>Trap</t>
        </is>
      </c>
      <c r="C49" s="16" t="n">
        <v>2000</v>
      </c>
      <c r="D49" s="16" t="n"/>
      <c r="E49" s="16" t="n"/>
      <c r="F49" s="16" t="n"/>
      <c r="G49" s="16" t="n">
        <v>5</v>
      </c>
      <c r="H49" s="17" t="inlineStr">
        <is>
          <t>When foe use a Tech card, this card can be triggered. That Tech card effect is cancelled.</t>
        </is>
      </c>
      <c r="I49" t="inlineStr">
        <is>
          <t>wording polish</t>
        </is>
      </c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 ht="56.05" customHeight="1" s="47">
      <c r="A50" s="8" t="inlineStr">
        <is>
          <t>Stumble</t>
        </is>
      </c>
      <c r="B50" s="9" t="inlineStr">
        <is>
          <t>Trap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Attacker ends their turn immediately. If attacker has any remaining attack, they are transferred to their next turn.</t>
        </is>
      </c>
      <c r="I50" t="inlineStr">
        <is>
          <t>subject-verb grammar</t>
        </is>
      </c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 ht="44.05" customHeight="1" s="47">
      <c r="A51" s="8" t="inlineStr">
        <is>
          <t>Ruckus</t>
        </is>
      </c>
      <c r="B51" s="12" t="n"/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Until the end of trapper’s turn, All exposed Bio monster gain +5 ATK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 ht="44.05" customHeight="1" s="47">
      <c r="A52" s="8" t="inlineStr">
        <is>
          <t>Red Card</t>
        </is>
      </c>
      <c r="B52" s="9" t="inlineStr">
        <is>
          <t>Trap</t>
        </is>
      </c>
      <c r="C52" s="16" t="n">
        <v>0</v>
      </c>
      <c r="D52" s="16" t="n"/>
      <c r="E52" s="16" t="n"/>
      <c r="F52" s="16" t="n"/>
      <c r="G52" s="16" t="n">
        <v>2</v>
      </c>
      <c r="H52" s="17" t="inlineStr">
        <is>
          <t>Flip 2 coins. Both Heads: that unit cannot attack until attacker's next turn ends.</t>
        </is>
      </c>
      <c r="I52" t="inlineStr">
        <is>
          <t>Fixed incomplete sentence.</t>
        </is>
      </c>
      <c r="J52" s="16" t="n"/>
      <c r="K52" s="17" t="inlineStr">
        <is>
          <t>Yes</t>
        </is>
      </c>
      <c r="L52" s="16" t="n"/>
      <c r="M52" s="17" t="inlineStr">
        <is>
          <t>Yes</t>
        </is>
      </c>
      <c r="N52" s="16" t="n"/>
      <c r="O52" s="16" t="n"/>
      <c r="P52" s="17" t="inlineStr">
        <is>
          <t>Yes</t>
        </is>
      </c>
      <c r="Q52" s="16" t="n"/>
    </row>
    <row r="53" ht="32.05" customHeight="1" s="47">
      <c r="A53" s="8" t="inlineStr">
        <is>
          <t>Counter Punch</t>
        </is>
      </c>
      <c r="B53" s="12" t="n"/>
      <c r="C53" s="16" t="n">
        <v>0</v>
      </c>
      <c r="D53" s="16" t="n"/>
      <c r="E53" s="16" t="n"/>
      <c r="F53" s="16" t="n"/>
      <c r="G53" s="16" t="n">
        <v>2</v>
      </c>
      <c r="H53" s="17" t="inlineStr">
        <is>
          <t>Attacking unit get -5 DEF until the end of trapper’s turn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 ht="32.05" customHeight="1" s="47">
      <c r="A54" s="8" t="inlineStr">
        <is>
          <t>Counter Tackle</t>
        </is>
      </c>
      <c r="B54" s="12" t="n"/>
      <c r="C54" s="16" t="n">
        <v>500</v>
      </c>
      <c r="D54" s="16" t="n"/>
      <c r="E54" s="16" t="n"/>
      <c r="F54" s="16" t="n"/>
      <c r="G54" s="16" t="n">
        <v>3</v>
      </c>
      <c r="H54" s="17" t="inlineStr">
        <is>
          <t>Attacking unit get -15 DEF until the end of trapper’s turn</t>
        </is>
      </c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 ht="32.05" customHeight="1" s="47">
      <c r="A55" s="8" t="inlineStr">
        <is>
          <t>Street Joke</t>
        </is>
      </c>
      <c r="B55" s="9" t="inlineStr">
        <is>
          <t>Trap</t>
        </is>
      </c>
      <c r="C55" s="16" t="n">
        <v>0</v>
      </c>
      <c r="D55" s="16" t="n"/>
      <c r="E55" s="16" t="n"/>
      <c r="F55" s="16" t="n"/>
      <c r="G55" s="16" t="n">
        <v>1</v>
      </c>
      <c r="H55" s="17" t="inlineStr">
        <is>
          <t>Reveal 1 of trapper’s cell, they receive 100 Crystal</t>
        </is>
      </c>
      <c r="J55" s="16" t="n"/>
      <c r="K55" s="17" t="inlineStr">
        <is>
          <t>Yes</t>
        </is>
      </c>
      <c r="L55" s="16" t="n"/>
      <c r="M55" s="17" t="inlineStr">
        <is>
          <t>Yes</t>
        </is>
      </c>
      <c r="N55" s="16" t="n"/>
      <c r="O55" s="17" t="inlineStr">
        <is>
          <t>Yes</t>
        </is>
      </c>
      <c r="P55" s="16" t="n"/>
      <c r="Q55" s="16" t="n"/>
    </row>
    <row r="56" ht="44.05" customHeight="1" s="47">
      <c r="A56" s="8" t="inlineStr">
        <is>
          <t>Alarm</t>
        </is>
      </c>
      <c r="B56" s="9" t="inlineStr">
        <is>
          <t>Trap</t>
        </is>
      </c>
      <c r="C56" s="16" t="n">
        <v>0</v>
      </c>
      <c r="D56" s="16" t="n"/>
      <c r="E56" s="16" t="n"/>
      <c r="F56" s="16" t="n"/>
      <c r="G56" s="16" t="n">
        <v>1</v>
      </c>
      <c r="H56" s="17" t="inlineStr">
        <is>
          <t>This turn: All trapper’s Anima monster gain +10 DEF in Reckoning</t>
        </is>
      </c>
      <c r="I56" t="inlineStr">
        <is>
          <t>wording polish</t>
        </is>
      </c>
      <c r="J56" s="16" t="n"/>
      <c r="K56" s="17" t="inlineStr">
        <is>
          <t>Yes</t>
        </is>
      </c>
      <c r="L56" s="16" t="n"/>
      <c r="M56" s="17" t="inlineStr">
        <is>
          <t>Yes</t>
        </is>
      </c>
      <c r="N56" s="16" t="n"/>
      <c r="O56" s="17" t="inlineStr">
        <is>
          <t>Yes</t>
        </is>
      </c>
      <c r="P56" s="16" t="n"/>
      <c r="Q56" s="16" t="n"/>
    </row>
    <row r="57" ht="44.05" customHeight="1" s="47">
      <c r="A57" s="8" t="inlineStr">
        <is>
          <t>Protective Instinct</t>
        </is>
      </c>
      <c r="B57" s="12" t="n"/>
      <c r="C57" s="16" t="n">
        <v>0</v>
      </c>
      <c r="D57" s="16" t="n"/>
      <c r="E57" s="16" t="n"/>
      <c r="F57" s="16" t="n"/>
      <c r="G57" s="16" t="n">
        <v>1</v>
      </c>
      <c r="H57" s="17" t="inlineStr">
        <is>
          <t>The trapper selects 1 Nature unit. Until the end of trapper’s turn, that card gain +10 ATK</t>
        </is>
      </c>
      <c r="I57" t="inlineStr">
        <is>
          <t>wording polish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 ht="56.05" customHeight="1" s="47">
      <c r="A58" s="8" t="inlineStr">
        <is>
          <t>Self-destruct</t>
        </is>
      </c>
      <c r="B58" s="9" t="inlineStr">
        <is>
          <t>Trap</t>
        </is>
      </c>
      <c r="C58" s="16" t="n">
        <v>0</v>
      </c>
      <c r="D58" s="16" t="n"/>
      <c r="E58" s="16" t="n"/>
      <c r="F58" s="16" t="n"/>
      <c r="G58" s="16" t="n">
        <v>2</v>
      </c>
      <c r="H58" s="17" t="inlineStr">
        <is>
          <t>The trapper selects 1 of their unit. +10 ATK until trapper’s turn ends, but also destroy it. Trapper pay no Crystal cost.</t>
        </is>
      </c>
      <c r="I58" t="inlineStr">
        <is>
          <t>wording polish</t>
        </is>
      </c>
      <c r="J58" s="16" t="n"/>
      <c r="K58" s="17" t="inlineStr">
        <is>
          <t>Yes</t>
        </is>
      </c>
      <c r="L58" s="16" t="n"/>
      <c r="M58" s="17" t="inlineStr">
        <is>
          <t>Yes</t>
        </is>
      </c>
      <c r="N58" s="16" t="n"/>
      <c r="O58" s="16" t="n"/>
      <c r="P58" s="16" t="n"/>
      <c r="Q58" s="17" t="inlineStr">
        <is>
          <t>Yes</t>
        </is>
      </c>
    </row>
    <row r="59" ht="56.05" customHeight="1" s="47">
      <c r="A59" s="8" t="inlineStr">
        <is>
          <t>Bounty</t>
        </is>
      </c>
      <c r="B59" s="12" t="n"/>
      <c r="C59" s="16" t="n">
        <v>0</v>
      </c>
      <c r="D59" s="16" t="n"/>
      <c r="E59" s="16" t="n"/>
      <c r="F59" s="16" t="n"/>
      <c r="G59" s="16" t="n">
        <v>2</v>
      </c>
      <c r="H59" s="17" t="inlineStr">
        <is>
          <t>Until the end of trapper’s turn, if trapper destroy that unit, they receive Crystal equal to half of the unit’s cost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Pepper Spray</t>
        </is>
      </c>
      <c r="B60" s="9" t="inlineStr">
        <is>
          <t>Trap</t>
        </is>
      </c>
      <c r="C60" s="16" t="n">
        <v>0</v>
      </c>
      <c r="D60" s="16" t="n"/>
      <c r="E60" s="16" t="n"/>
      <c r="F60" s="16" t="n"/>
      <c r="G60" s="16" t="n">
        <v>1</v>
      </c>
      <c r="H60" s="17" t="inlineStr">
        <is>
          <t>Flip 2 coins. Heads: attacker loses 5 ATK per Head until attacker's next turn ends.</t>
        </is>
      </c>
      <c r="I60" t="inlineStr">
        <is>
          <t>Grammar; removed double negative 'lose -5'.</t>
        </is>
      </c>
      <c r="J60" s="16" t="n"/>
      <c r="K60" s="17" t="inlineStr">
        <is>
          <t>Yes</t>
        </is>
      </c>
      <c r="L60" s="16" t="n"/>
      <c r="M60" s="17" t="inlineStr">
        <is>
          <t>Yes</t>
        </is>
      </c>
      <c r="N60" s="16" t="n"/>
      <c r="O60" s="16" t="n"/>
      <c r="P60" s="17" t="inlineStr">
        <is>
          <t>Yes</t>
        </is>
      </c>
      <c r="Q60" s="16" t="n"/>
    </row>
    <row r="61" ht="56.05" customHeight="1" s="47">
      <c r="A61" s="8" t="inlineStr">
        <is>
          <t>Share the Pain</t>
        </is>
      </c>
      <c r="B61" s="12" t="n"/>
      <c r="C61" s="16" t="n">
        <v>0</v>
      </c>
      <c r="D61" s="16" t="n"/>
      <c r="E61" s="16" t="n"/>
      <c r="F61" s="16" t="n"/>
      <c r="G61" s="16" t="n">
        <v>5</v>
      </c>
      <c r="H61" s="17" t="inlineStr">
        <is>
          <t>If trapper has 1000 or less Crystal, drain Crystal from attacker until both players have same amount of Crystals</t>
        </is>
      </c>
      <c r="I61" t="inlineStr">
        <is>
          <t>wording polish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 ht="44.05" customHeight="1" s="47">
      <c r="A62" s="8" t="inlineStr">
        <is>
          <t>Tripwire</t>
        </is>
      </c>
      <c r="B62" s="12" t="n"/>
      <c r="C62" s="16" t="n">
        <v>300</v>
      </c>
      <c r="D62" s="16" t="n"/>
      <c r="E62" s="16" t="n"/>
      <c r="F62" s="16" t="n"/>
      <c r="G62" s="16" t="n"/>
      <c r="H62" s="17" t="inlineStr">
        <is>
          <t>Destroy the attacker with 20 or less ATK. Attacker side pay no Crystal cost.</t>
        </is>
      </c>
      <c r="I62" t="inlineStr">
        <is>
          <t>wording polish</t>
        </is>
      </c>
      <c r="J62" s="16" t="n"/>
      <c r="K62" s="16" t="n"/>
      <c r="L62" s="16" t="n"/>
      <c r="M62" s="16" t="n"/>
      <c r="N62" s="16" t="n"/>
      <c r="O62" s="16" t="n"/>
      <c r="P62" s="16" t="n"/>
      <c r="Q62" s="16" t="n"/>
    </row>
    <row r="63" ht="20.05" customHeight="1" s="47">
      <c r="A63" s="46" t="n"/>
      <c r="B63" s="12" t="n"/>
      <c r="C63" s="16" t="n"/>
      <c r="D63" s="16" t="n"/>
      <c r="E63" s="16" t="n"/>
      <c r="F63" s="16" t="n"/>
      <c r="G63" s="16" t="n"/>
      <c r="H63" s="16" t="n"/>
      <c r="J63" s="16" t="n"/>
      <c r="K63" s="16" t="n"/>
      <c r="L63" s="16" t="n"/>
      <c r="M63" s="16" t="n"/>
      <c r="N63" s="16" t="n"/>
      <c r="O63" s="16" t="n"/>
      <c r="P63" s="16" t="n"/>
      <c r="Q63" s="16" t="n"/>
    </row>
    <row r="64" ht="20.05" customHeight="1" s="47">
      <c r="A64" s="46" t="n"/>
      <c r="B64" s="12" t="n"/>
      <c r="C64" s="16" t="n"/>
      <c r="D64" s="16" t="n"/>
      <c r="E64" s="16" t="n"/>
      <c r="F64" s="16" t="n"/>
      <c r="G64" s="16" t="n"/>
      <c r="H64" s="16" t="n"/>
      <c r="J64" s="16" t="n"/>
      <c r="K64" s="16" t="n"/>
      <c r="L64" s="16" t="n"/>
      <c r="M64" s="16" t="n"/>
      <c r="N64" s="16" t="n"/>
      <c r="O64" s="16" t="n"/>
      <c r="P64" s="16" t="n"/>
      <c r="Q64" s="16" t="n"/>
    </row>
    <row r="65" ht="20.05" customHeight="1" s="47">
      <c r="A65" s="46" t="n"/>
      <c r="B65" s="12" t="n"/>
      <c r="C65" s="16" t="n"/>
      <c r="D65" s="16" t="n"/>
      <c r="E65" s="16" t="n"/>
      <c r="F65" s="16" t="n"/>
      <c r="G65" s="16" t="n"/>
      <c r="H65" s="16" t="n"/>
      <c r="J65" s="16" t="n"/>
      <c r="K65" s="16" t="n"/>
      <c r="L65" s="16" t="n"/>
      <c r="M65" s="16" t="n"/>
      <c r="N65" s="16" t="n"/>
      <c r="O65" s="16" t="n"/>
      <c r="P65" s="16" t="n"/>
      <c r="Q65" s="16" t="n"/>
    </row>
    <row r="66" ht="20.05" customHeight="1" s="47">
      <c r="A66" s="46" t="n"/>
      <c r="B66" s="12" t="n"/>
      <c r="C66" s="16" t="n"/>
      <c r="D66" s="16" t="n"/>
      <c r="E66" s="16" t="n"/>
      <c r="F66" s="16" t="n"/>
      <c r="G66" s="16" t="n"/>
      <c r="H66" s="16" t="n"/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 ht="20.05" customHeight="1" s="47">
      <c r="A67" s="46" t="n"/>
      <c r="B67" s="12" t="n"/>
      <c r="C67" s="16" t="n"/>
      <c r="D67" s="16" t="n"/>
      <c r="E67" s="16" t="n"/>
      <c r="F67" s="16" t="n"/>
      <c r="G67" s="16" t="n"/>
      <c r="H67" s="16" t="n"/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 ht="20.05" customHeight="1" s="47">
      <c r="A68" s="46" t="n"/>
      <c r="B68" s="12" t="n"/>
      <c r="C68" s="16" t="n"/>
      <c r="D68" s="16" t="n"/>
      <c r="E68" s="16" t="n"/>
      <c r="F68" s="16" t="n"/>
      <c r="G68" s="16" t="n"/>
      <c r="H68" s="16" t="n"/>
      <c r="J68" s="16" t="n"/>
      <c r="K68" s="16" t="n"/>
      <c r="L68" s="16" t="n"/>
      <c r="M68" s="16" t="n"/>
      <c r="N68" s="16" t="n"/>
      <c r="O68" s="16" t="n"/>
      <c r="P68" s="16" t="n"/>
      <c r="Q68" s="16" t="n"/>
    </row>
    <row r="69" ht="20.05" customHeight="1" s="47">
      <c r="A69" s="46" t="n"/>
      <c r="B69" s="12" t="n"/>
      <c r="C69" s="16" t="n"/>
      <c r="D69" s="16" t="n"/>
      <c r="E69" s="16" t="n"/>
      <c r="F69" s="16" t="n"/>
      <c r="G69" s="16" t="n"/>
      <c r="H69" s="16" t="n"/>
      <c r="J69" s="16" t="n"/>
      <c r="K69" s="16" t="n"/>
      <c r="L69" s="16" t="n"/>
      <c r="M69" s="16" t="n"/>
      <c r="N69" s="16" t="n"/>
      <c r="O69" s="16" t="n"/>
      <c r="P69" s="16" t="n"/>
      <c r="Q69" s="16" t="n"/>
    </row>
    <row r="70" ht="20.05" customHeight="1" s="47">
      <c r="A70" s="46" t="n"/>
      <c r="B70" s="12" t="n"/>
      <c r="C70" s="16" t="n"/>
      <c r="D70" s="16" t="n"/>
      <c r="E70" s="16" t="n"/>
      <c r="F70" s="16" t="n"/>
      <c r="G70" s="16" t="n"/>
      <c r="H70" s="16" t="n"/>
      <c r="J70" s="16" t="n"/>
      <c r="K70" s="16" t="n"/>
      <c r="L70" s="16" t="n"/>
      <c r="M70" s="16" t="n"/>
      <c r="N70" s="16" t="n"/>
      <c r="O70" s="16" t="n"/>
      <c r="P70" s="16" t="n"/>
      <c r="Q70" s="16" t="n"/>
    </row>
    <row r="71" ht="20.05" customHeight="1" s="47">
      <c r="A71" s="46" t="n"/>
      <c r="B71" s="12" t="n"/>
      <c r="C71" s="16" t="n"/>
      <c r="D71" s="16" t="n"/>
      <c r="E71" s="16" t="n"/>
      <c r="F71" s="16" t="n"/>
      <c r="G71" s="16" t="n"/>
      <c r="H71" s="16" t="n"/>
      <c r="J71" s="16" t="n"/>
      <c r="K71" s="16" t="n"/>
      <c r="L71" s="16" t="n"/>
      <c r="M71" s="16" t="n"/>
      <c r="N71" s="16" t="n"/>
      <c r="O71" s="16" t="n"/>
      <c r="P71" s="16" t="n"/>
      <c r="Q71" s="16" t="n"/>
    </row>
    <row r="72" ht="20.05" customHeight="1" s="47">
      <c r="A72" s="46" t="n"/>
      <c r="B72" s="12" t="n"/>
      <c r="C72" s="16" t="n"/>
      <c r="D72" s="16" t="n"/>
      <c r="E72" s="16" t="n"/>
      <c r="F72" s="16" t="n"/>
      <c r="G72" s="16" t="n"/>
      <c r="H72" s="16" t="n"/>
      <c r="J72" s="16" t="n"/>
      <c r="K72" s="16" t="n"/>
      <c r="L72" s="16" t="n"/>
      <c r="M72" s="16" t="n"/>
      <c r="N72" s="16" t="n"/>
      <c r="O72" s="16" t="n"/>
      <c r="P72" s="16" t="n"/>
      <c r="Q72" s="16" t="n"/>
    </row>
    <row r="73" ht="20.05" customHeight="1" s="47">
      <c r="A73" s="46" t="n"/>
      <c r="B73" s="12" t="n"/>
      <c r="C73" s="16" t="n"/>
      <c r="D73" s="16" t="n"/>
      <c r="E73" s="16" t="n"/>
      <c r="F73" s="16" t="n"/>
      <c r="G73" s="16" t="n"/>
      <c r="H73" s="16" t="n"/>
      <c r="J73" s="16" t="n"/>
      <c r="K73" s="16" t="n"/>
      <c r="L73" s="16" t="n"/>
      <c r="M73" s="16" t="n"/>
      <c r="N73" s="16" t="n"/>
      <c r="O73" s="16" t="n"/>
      <c r="P73" s="16" t="n"/>
      <c r="Q73" s="16" t="n"/>
    </row>
    <row r="74" ht="20.05" customHeight="1" s="47">
      <c r="A74" s="46" t="n"/>
      <c r="B74" s="12" t="n"/>
      <c r="C74" s="16" t="n"/>
      <c r="D74" s="16" t="n"/>
      <c r="E74" s="16" t="n"/>
      <c r="F74" s="16" t="n"/>
      <c r="G74" s="16" t="n"/>
      <c r="H74" s="16" t="n"/>
      <c r="J74" s="16" t="n"/>
      <c r="K74" s="16" t="n"/>
      <c r="L74" s="16" t="n"/>
      <c r="M74" s="16" t="n"/>
      <c r="N74" s="16" t="n"/>
      <c r="O74" s="16" t="n"/>
      <c r="P74" s="16" t="n"/>
      <c r="Q74" s="16" t="n"/>
    </row>
    <row r="75" ht="20.05" customHeight="1" s="47">
      <c r="A75" s="46" t="n"/>
      <c r="B75" s="12" t="n"/>
      <c r="C75" s="16" t="n"/>
      <c r="D75" s="16" t="n"/>
      <c r="E75" s="16" t="n"/>
      <c r="F75" s="16" t="n"/>
      <c r="G75" s="16" t="n"/>
      <c r="H75" s="16" t="n"/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 ht="20.05" customHeight="1" s="47">
      <c r="A76" s="46" t="n"/>
      <c r="B76" s="12" t="n"/>
      <c r="C76" s="16" t="n"/>
      <c r="D76" s="16" t="n"/>
      <c r="E76" s="16" t="n"/>
      <c r="F76" s="16" t="n"/>
      <c r="G76" s="16" t="n"/>
      <c r="H76" s="16" t="n"/>
      <c r="J76" s="16" t="n"/>
      <c r="K76" s="16" t="n"/>
      <c r="L76" s="16" t="n"/>
      <c r="M76" s="16" t="n"/>
      <c r="N76" s="16" t="n"/>
      <c r="O76" s="16" t="n"/>
      <c r="P76" s="16" t="n"/>
      <c r="Q76" s="16" t="n"/>
    </row>
    <row r="77" ht="20.05" customHeight="1" s="47">
      <c r="A77" s="46" t="n"/>
      <c r="B77" s="12" t="n"/>
      <c r="C77" s="16" t="n"/>
      <c r="D77" s="16" t="n"/>
      <c r="E77" s="16" t="n"/>
      <c r="F77" s="16" t="n"/>
      <c r="G77" s="16" t="n"/>
      <c r="H77" s="16" t="n"/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 ht="20.05" customHeight="1" s="47">
      <c r="A78" s="46" t="n"/>
      <c r="B78" s="12" t="n"/>
      <c r="C78" s="16" t="n"/>
      <c r="D78" s="16" t="n"/>
      <c r="E78" s="16" t="n"/>
      <c r="F78" s="16" t="n"/>
      <c r="G78" s="16" t="n"/>
      <c r="H78" s="16" t="n"/>
      <c r="J78" s="16" t="n"/>
      <c r="K78" s="16" t="n"/>
      <c r="L78" s="16" t="n"/>
      <c r="M78" s="16" t="n"/>
      <c r="N78" s="16" t="n"/>
      <c r="O78" s="16" t="n"/>
      <c r="P78" s="16" t="n"/>
      <c r="Q78" s="16" t="n"/>
    </row>
    <row r="79" ht="20.05" customHeight="1" s="47">
      <c r="A79" s="46" t="n"/>
      <c r="B79" s="12" t="n"/>
      <c r="C79" s="16" t="n"/>
      <c r="D79" s="16" t="n"/>
      <c r="E79" s="16" t="n"/>
      <c r="F79" s="16" t="n"/>
      <c r="G79" s="16" t="n"/>
      <c r="H79" s="16" t="n"/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 ht="20.05" customHeight="1" s="47">
      <c r="A80" s="46" t="n"/>
      <c r="B80" s="12" t="n"/>
      <c r="C80" s="16" t="n"/>
      <c r="D80" s="16" t="n"/>
      <c r="E80" s="16" t="n"/>
      <c r="F80" s="16" t="n"/>
      <c r="G80" s="16" t="n"/>
      <c r="H80" s="16" t="n"/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 ht="20.05" customHeight="1" s="47">
      <c r="A81" s="46" t="n"/>
      <c r="B81" s="12" t="n"/>
      <c r="C81" s="16" t="n"/>
      <c r="D81" s="16" t="n"/>
      <c r="E81" s="16" t="n"/>
      <c r="F81" s="16" t="n"/>
      <c r="G81" s="16" t="n"/>
      <c r="H81" s="16" t="n"/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 ht="20.05" customHeight="1" s="47">
      <c r="A82" s="46" t="n"/>
      <c r="B82" s="12" t="n"/>
      <c r="C82" s="16" t="n"/>
      <c r="D82" s="16" t="n"/>
      <c r="E82" s="16" t="n"/>
      <c r="F82" s="16" t="n"/>
      <c r="G82" s="16" t="n"/>
      <c r="H82" s="16" t="n"/>
      <c r="J82" s="16" t="n"/>
      <c r="K82" s="16" t="n"/>
      <c r="L82" s="16" t="n"/>
      <c r="M82" s="16" t="n"/>
      <c r="N82" s="16" t="n"/>
      <c r="O82" s="16" t="n"/>
      <c r="P82" s="16" t="n"/>
      <c r="Q82" s="16" t="n"/>
    </row>
    <row r="83" ht="20.05" customHeight="1" s="47">
      <c r="A83" s="46" t="n"/>
      <c r="B83" s="12" t="n"/>
      <c r="C83" s="16" t="n"/>
      <c r="D83" s="16" t="n"/>
      <c r="E83" s="16" t="n"/>
      <c r="F83" s="16" t="n"/>
      <c r="G83" s="16" t="n"/>
      <c r="H83" s="16" t="n"/>
      <c r="J83" s="16" t="n"/>
      <c r="K83" s="16" t="n"/>
      <c r="L83" s="16" t="n"/>
      <c r="M83" s="16" t="n"/>
      <c r="N83" s="16" t="n"/>
      <c r="O83" s="16" t="n"/>
      <c r="P83" s="16" t="n"/>
      <c r="Q83" s="16" t="n"/>
    </row>
    <row r="84" ht="20.05" customHeight="1" s="47">
      <c r="A84" s="46" t="n"/>
      <c r="B84" s="12" t="n"/>
      <c r="C84" s="16" t="n"/>
      <c r="D84" s="16" t="n"/>
      <c r="E84" s="16" t="n"/>
      <c r="F84" s="16" t="n"/>
      <c r="G84" s="16" t="n"/>
      <c r="H84" s="16" t="n"/>
      <c r="J84" s="16" t="n"/>
      <c r="K84" s="16" t="n"/>
      <c r="L84" s="16" t="n"/>
      <c r="M84" s="16" t="n"/>
      <c r="N84" s="16" t="n"/>
      <c r="O84" s="16" t="n"/>
      <c r="P84" s="16" t="n"/>
      <c r="Q84" s="16" t="n"/>
    </row>
    <row r="85" ht="20.05" customHeight="1" s="47">
      <c r="A85" s="46" t="n"/>
      <c r="B85" s="12" t="n"/>
      <c r="C85" s="16" t="n"/>
      <c r="D85" s="16" t="n"/>
      <c r="E85" s="16" t="n"/>
      <c r="F85" s="16" t="n"/>
      <c r="G85" s="16" t="n"/>
      <c r="H85" s="16" t="n"/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 ht="20.05" customHeight="1" s="47">
      <c r="A86" s="46" t="n"/>
      <c r="B86" s="12" t="n"/>
      <c r="C86" s="16" t="n"/>
      <c r="D86" s="16" t="n"/>
      <c r="E86" s="16" t="n"/>
      <c r="F86" s="16" t="n"/>
      <c r="G86" s="16" t="n"/>
      <c r="H86" s="16" t="n"/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 ht="20.05" customHeight="1" s="47">
      <c r="A87" s="46" t="n"/>
      <c r="B87" s="12" t="n"/>
      <c r="C87" s="16" t="n"/>
      <c r="D87" s="16" t="n"/>
      <c r="E87" s="16" t="n"/>
      <c r="F87" s="16" t="n"/>
      <c r="G87" s="16" t="n"/>
      <c r="H87" s="16" t="n"/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 ht="20.05" customHeight="1" s="47">
      <c r="A88" s="46" t="n"/>
      <c r="B88" s="12" t="n"/>
      <c r="C88" s="16" t="n"/>
      <c r="D88" s="16" t="n"/>
      <c r="E88" s="16" t="n"/>
      <c r="F88" s="16" t="n"/>
      <c r="G88" s="16" t="n"/>
      <c r="H88" s="16" t="n"/>
      <c r="J88" s="16" t="n"/>
      <c r="K88" s="16" t="n"/>
      <c r="L88" s="16" t="n"/>
      <c r="M88" s="16" t="n"/>
      <c r="N88" s="16" t="n"/>
      <c r="O88" s="16" t="n"/>
      <c r="P88" s="16" t="n"/>
      <c r="Q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J89" s="16" t="n"/>
      <c r="K89" s="16" t="n"/>
      <c r="L89" s="16" t="n"/>
      <c r="M89" s="16" t="n"/>
      <c r="N89" s="16" t="n"/>
      <c r="O89" s="16" t="n"/>
      <c r="P89" s="16" t="n"/>
      <c r="Q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J90" s="16" t="n"/>
      <c r="K90" s="16" t="n"/>
      <c r="L90" s="16" t="n"/>
      <c r="M90" s="16" t="n"/>
      <c r="N90" s="16" t="n"/>
      <c r="O90" s="16" t="n"/>
      <c r="P90" s="16" t="n"/>
      <c r="Q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J91" s="16" t="n"/>
      <c r="K91" s="16" t="n"/>
      <c r="L91" s="16" t="n"/>
      <c r="M91" s="16" t="n"/>
      <c r="N91" s="16" t="n"/>
      <c r="O91" s="16" t="n"/>
      <c r="P91" s="16" t="n"/>
      <c r="Q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J92" s="16" t="n"/>
      <c r="K92" s="16" t="n"/>
      <c r="L92" s="16" t="n"/>
      <c r="M92" s="16" t="n"/>
      <c r="N92" s="16" t="n"/>
      <c r="O92" s="16" t="n"/>
      <c r="P92" s="16" t="n"/>
      <c r="Q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J93" s="16" t="n"/>
      <c r="K93" s="16" t="n"/>
      <c r="L93" s="16" t="n"/>
      <c r="M93" s="16" t="n"/>
      <c r="N93" s="16" t="n"/>
      <c r="O93" s="16" t="n"/>
      <c r="P93" s="16" t="n"/>
      <c r="Q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J94" s="16" t="n"/>
      <c r="K94" s="16" t="n"/>
      <c r="L94" s="16" t="n"/>
      <c r="M94" s="16" t="n"/>
      <c r="N94" s="16" t="n"/>
      <c r="O94" s="16" t="n"/>
      <c r="P94" s="16" t="n"/>
      <c r="Q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J95" s="16" t="n"/>
      <c r="K95" s="16" t="n"/>
      <c r="L95" s="16" t="n"/>
      <c r="M95" s="16" t="n"/>
      <c r="N95" s="16" t="n"/>
      <c r="O95" s="16" t="n"/>
      <c r="P95" s="16" t="n"/>
      <c r="Q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J96" s="16" t="n"/>
      <c r="K96" s="16" t="n"/>
      <c r="L96" s="16" t="n"/>
      <c r="M96" s="16" t="n"/>
      <c r="N96" s="16" t="n"/>
      <c r="O96" s="16" t="n"/>
      <c r="P96" s="16" t="n"/>
      <c r="Q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J97" s="16" t="n"/>
      <c r="K97" s="16" t="n"/>
      <c r="L97" s="16" t="n"/>
      <c r="M97" s="16" t="n"/>
      <c r="N97" s="16" t="n"/>
      <c r="O97" s="16" t="n"/>
      <c r="P97" s="16" t="n"/>
      <c r="Q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J98" s="16" t="n"/>
      <c r="K98" s="16" t="n"/>
      <c r="L98" s="16" t="n"/>
      <c r="M98" s="16" t="n"/>
      <c r="N98" s="16" t="n"/>
      <c r="O98" s="16" t="n"/>
      <c r="P98" s="16" t="n"/>
      <c r="Q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J99" s="16" t="n"/>
      <c r="K99" s="16" t="n"/>
      <c r="L99" s="16" t="n"/>
      <c r="M99" s="16" t="n"/>
      <c r="N99" s="16" t="n"/>
      <c r="O99" s="16" t="n"/>
      <c r="P99" s="16" t="n"/>
      <c r="Q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6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"&amp;COUNTIF(N3:N556,"Yes")</f>
        <v/>
      </c>
      <c r="P2" s="3">
        <f>"Booster Pack - Unseen Presence / "&amp;COUNTIF(O3:O556,"Yes")</f>
        <v/>
      </c>
      <c r="Q2" s="3">
        <f>"Booster Pack - Wind of Dominance / "&amp;COUNTIF(P3:P556,"Yes")</f>
        <v/>
      </c>
    </row>
    <row r="3" ht="32.25" customHeight="1" s="47">
      <c r="A3" s="5" t="inlineStr">
        <is>
          <t>Welcoming Door</t>
        </is>
      </c>
      <c r="B3" s="6" t="inlineStr">
        <is>
          <t>Tech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Reveal any own cell.</t>
        </is>
      </c>
      <c r="I3" t="inlineStr">
        <is>
          <t>Shortened; cell terminology.</t>
        </is>
      </c>
      <c r="J3" s="14" t="n"/>
      <c r="K3" s="15" t="inlineStr">
        <is>
          <t>Yes</t>
        </is>
      </c>
      <c r="L3" s="14" t="n"/>
      <c r="M3" s="14" t="n"/>
      <c r="N3" s="14" t="n"/>
      <c r="O3" s="14" t="n"/>
      <c r="P3" s="14" t="n"/>
      <c r="Q3" s="14" t="n"/>
    </row>
    <row r="4" ht="20.05" customHeight="1" s="47">
      <c r="A4" s="8" t="inlineStr">
        <is>
          <t>Spy</t>
        </is>
      </c>
      <c r="B4" s="9" t="inlineStr">
        <is>
          <t>Tech</t>
        </is>
      </c>
      <c r="C4" s="16" t="n">
        <v>0</v>
      </c>
      <c r="D4" s="16" t="n"/>
      <c r="E4" s="16" t="n"/>
      <c r="F4" s="16" t="n"/>
      <c r="G4" s="16" t="n">
        <v>1</v>
      </c>
      <c r="H4" s="17" t="inlineStr">
        <is>
          <t>Reveal 1 of foe’s cell</t>
        </is>
      </c>
      <c r="J4" s="16" t="n"/>
      <c r="K4" s="17" t="inlineStr">
        <is>
          <t>Yes</t>
        </is>
      </c>
      <c r="L4" s="16" t="n"/>
      <c r="M4" s="17" t="inlineStr">
        <is>
          <t>Yes</t>
        </is>
      </c>
      <c r="N4" s="16" t="n"/>
      <c r="O4" s="17" t="inlineStr">
        <is>
          <t>Yes</t>
        </is>
      </c>
      <c r="P4" s="16" t="n"/>
      <c r="Q4" s="16" t="n"/>
    </row>
    <row r="5" ht="32.05" customHeight="1" s="47">
      <c r="A5" s="8" t="inlineStr">
        <is>
          <t>Ceasefire</t>
        </is>
      </c>
      <c r="B5" s="9" t="inlineStr">
        <is>
          <t>Tech</t>
        </is>
      </c>
      <c r="C5" s="16" t="n">
        <v>0</v>
      </c>
      <c r="D5" s="16" t="n"/>
      <c r="E5" s="16" t="n"/>
      <c r="F5" s="16" t="n"/>
      <c r="G5" s="16" t="n">
        <v>3</v>
      </c>
      <c r="H5" s="17" t="inlineStr">
        <is>
          <t>Both players skip 1 turn (tax is forced to apply)</t>
        </is>
      </c>
      <c r="J5" s="16" t="n"/>
      <c r="K5" s="17" t="inlineStr">
        <is>
          <t>Yes</t>
        </is>
      </c>
      <c r="L5" s="16" t="n"/>
      <c r="M5" s="16" t="n"/>
      <c r="N5" s="16" t="n"/>
      <c r="O5" s="16" t="n"/>
      <c r="P5" s="16" t="n"/>
      <c r="Q5" s="16" t="n"/>
    </row>
    <row r="6" ht="56.05" customHeight="1" s="47">
      <c r="A6" s="8" t="inlineStr">
        <is>
          <t>Make Friend</t>
        </is>
      </c>
      <c r="B6" s="9" t="inlineStr">
        <is>
          <t>Tech</t>
        </is>
      </c>
      <c r="C6" s="16" t="n">
        <v>0</v>
      </c>
      <c r="D6" s="16" t="n"/>
      <c r="E6" s="16" t="n"/>
      <c r="F6" s="16" t="n"/>
      <c r="G6" s="16" t="n">
        <v>5</v>
      </c>
      <c r="H6" s="17" t="inlineStr">
        <is>
          <t>Both players select 1 monster from their field. Those monster cannot attack until this player’s next turn ends</t>
        </is>
      </c>
      <c r="J6" s="16" t="n"/>
      <c r="K6" s="17" t="inlineStr">
        <is>
          <t>Yes</t>
        </is>
      </c>
      <c r="L6" s="16" t="n"/>
      <c r="M6" s="16" t="n"/>
      <c r="N6" s="16" t="n"/>
      <c r="O6" s="16" t="n"/>
      <c r="P6" s="16" t="n"/>
      <c r="Q6" s="16" t="n"/>
    </row>
    <row r="7" ht="44.05" customHeight="1" s="47">
      <c r="A7" s="8" t="inlineStr">
        <is>
          <t>Double Spy</t>
        </is>
      </c>
      <c r="B7" s="9" t="inlineStr">
        <is>
          <t>Tech</t>
        </is>
      </c>
      <c r="C7" s="16" t="n">
        <v>0</v>
      </c>
      <c r="D7" s="16" t="n"/>
      <c r="E7" s="16" t="n"/>
      <c r="F7" s="16" t="n"/>
      <c r="G7" s="16" t="n">
        <v>2</v>
      </c>
      <c r="H7" s="17" t="inlineStr">
        <is>
          <t>Only trigger if this player have Spy card in the void. Reveal 2 cell on foe's side of the field.</t>
        </is>
      </c>
      <c r="I7" t="inlineStr">
        <is>
          <t>square→cell</t>
        </is>
      </c>
      <c r="J7" s="16" t="n"/>
      <c r="K7" s="17" t="inlineStr">
        <is>
          <t>Yes</t>
        </is>
      </c>
      <c r="L7" s="16" t="n"/>
      <c r="M7" s="16" t="n"/>
      <c r="N7" s="16" t="n"/>
      <c r="O7" s="16" t="n"/>
      <c r="P7" s="16" t="n"/>
      <c r="Q7" s="16" t="n"/>
    </row>
    <row r="8" ht="56.05" customHeight="1" s="47">
      <c r="A8" s="8" t="inlineStr">
        <is>
          <t>Invisible Spy</t>
        </is>
      </c>
      <c r="B8" s="9" t="inlineStr">
        <is>
          <t>Tech</t>
        </is>
      </c>
      <c r="C8" s="16" t="n">
        <v>0</v>
      </c>
      <c r="D8" s="16" t="n"/>
      <c r="E8" s="16" t="n"/>
      <c r="F8" s="16" t="n"/>
      <c r="G8" s="16" t="n">
        <v>3</v>
      </c>
      <c r="H8" s="17" t="inlineStr">
        <is>
          <t>Only trigger if this player have Double Spy card in the void. Reveal 2 cell on foe's side of the field.</t>
        </is>
      </c>
      <c r="I8" t="inlineStr">
        <is>
          <t>square→cell</t>
        </is>
      </c>
      <c r="J8" s="16" t="n"/>
      <c r="K8" s="17" t="inlineStr">
        <is>
          <t>Yes</t>
        </is>
      </c>
      <c r="L8" s="16" t="n"/>
      <c r="M8" s="16" t="n"/>
      <c r="N8" s="16" t="n"/>
      <c r="O8" s="16" t="n"/>
      <c r="P8" s="16" t="n"/>
      <c r="Q8" s="16" t="n"/>
    </row>
    <row r="9" ht="56.05" customHeight="1" s="47">
      <c r="A9" s="8" t="inlineStr">
        <is>
          <t>Corrupted Spy</t>
        </is>
      </c>
      <c r="B9" s="9" t="inlineStr">
        <is>
          <t>Tech</t>
        </is>
      </c>
      <c r="C9" s="16" t="n">
        <v>0</v>
      </c>
      <c r="D9" s="16" t="n"/>
      <c r="E9" s="16" t="n"/>
      <c r="F9" s="16" t="n"/>
      <c r="G9" s="16" t="n">
        <v>4</v>
      </c>
      <c r="H9" s="17" t="inlineStr">
        <is>
          <t>Reveal 3 foe cells. Pay 700 Crystal cost per trap or unit found.</t>
        </is>
      </c>
      <c r="I9" t="inlineStr">
        <is>
          <t>Shortened; cell/Crystal cost.</t>
        </is>
      </c>
      <c r="J9" s="16" t="n"/>
      <c r="K9" s="17" t="inlineStr">
        <is>
          <t>Yes</t>
        </is>
      </c>
      <c r="L9" s="16" t="n"/>
      <c r="M9" s="16" t="n"/>
      <c r="N9" s="16" t="n"/>
      <c r="O9" s="16" t="n"/>
      <c r="P9" s="16" t="n"/>
      <c r="Q9" s="16" t="n"/>
    </row>
    <row r="10" ht="32.05" customHeight="1" s="47">
      <c r="A10" s="8" t="inlineStr">
        <is>
          <t>Tease</t>
        </is>
      </c>
      <c r="B10" s="9" t="inlineStr">
        <is>
          <t>Tech</t>
        </is>
      </c>
      <c r="C10" s="16" t="n">
        <v>0</v>
      </c>
      <c r="D10" s="16" t="n"/>
      <c r="E10" s="16" t="n"/>
      <c r="F10" s="16" t="n"/>
      <c r="G10" s="16" t="n">
        <v>2</v>
      </c>
      <c r="H10" s="17" t="inlineStr">
        <is>
          <t>Foe choose and reveal 1 of their cell</t>
        </is>
      </c>
      <c r="J10" s="16" t="n"/>
      <c r="K10" s="17" t="inlineStr">
        <is>
          <t>Yes</t>
        </is>
      </c>
      <c r="L10" s="16" t="n"/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44.05" customHeight="1" s="47">
      <c r="A11" s="8" t="inlineStr">
        <is>
          <t>Bribe</t>
        </is>
      </c>
      <c r="B11" s="9" t="inlineStr">
        <is>
          <t>Tech</t>
        </is>
      </c>
      <c r="C11" s="16" t="n">
        <v>0</v>
      </c>
      <c r="D11" s="16" t="n"/>
      <c r="E11" s="16" t="n"/>
      <c r="F11" s="16" t="n"/>
      <c r="G11" s="16" t="n">
        <v>3</v>
      </c>
      <c r="H11" s="17" t="inlineStr">
        <is>
          <t>Foe can choose to reveal a unit card and receive 700 Crystals or do nothing</t>
        </is>
      </c>
      <c r="J11" s="16" t="n"/>
      <c r="K11" s="17" t="inlineStr">
        <is>
          <t>Yes</t>
        </is>
      </c>
      <c r="L11" s="16" t="n"/>
      <c r="M11" s="17" t="inlineStr">
        <is>
          <t>Yes</t>
        </is>
      </c>
      <c r="N11" s="16" t="n"/>
      <c r="O11" s="17" t="inlineStr">
        <is>
          <t>Yes</t>
        </is>
      </c>
      <c r="P11" s="16" t="n"/>
      <c r="Q11" s="16" t="n"/>
    </row>
    <row r="12" ht="32.05" customHeight="1" s="47">
      <c r="A12" s="8" t="inlineStr">
        <is>
          <t>Release Mutagen</t>
        </is>
      </c>
      <c r="B12" s="9" t="inlineStr">
        <is>
          <t>Tech</t>
        </is>
      </c>
      <c r="C12" s="16" t="n">
        <v>0</v>
      </c>
      <c r="D12" s="16" t="n"/>
      <c r="E12" s="16" t="n"/>
      <c r="F12" s="16" t="n"/>
      <c r="G12" s="16" t="n">
        <v>4</v>
      </c>
      <c r="H12" s="17" t="inlineStr">
        <is>
          <t>Add Mutagen flag to 1 of this player’s unit</t>
        </is>
      </c>
      <c r="I12" t="inlineStr">
        <is>
          <t>wording polish</t>
        </is>
      </c>
      <c r="J12" s="16" t="n"/>
      <c r="K12" s="17" t="inlineStr">
        <is>
          <t>Yes</t>
        </is>
      </c>
      <c r="L12" s="16" t="n"/>
      <c r="M12" s="17" t="inlineStr">
        <is>
          <t>Yes</t>
        </is>
      </c>
      <c r="N12" s="16" t="n"/>
      <c r="O12" s="16" t="n"/>
      <c r="P12" s="17" t="inlineStr">
        <is>
          <t>Yes</t>
        </is>
      </c>
      <c r="Q12" s="16" t="n"/>
    </row>
    <row r="13" ht="44.05" customHeight="1" s="47">
      <c r="A13" s="8" t="inlineStr">
        <is>
          <t>Prayer</t>
        </is>
      </c>
      <c r="B13" s="9" t="inlineStr">
        <is>
          <t>Tech</t>
        </is>
      </c>
      <c r="C13" s="16" t="n">
        <v>0</v>
      </c>
      <c r="D13" s="16" t="n"/>
      <c r="E13" s="16" t="n"/>
      <c r="F13" s="16" t="n"/>
      <c r="G13" s="16" t="n">
        <v>4</v>
      </c>
      <c r="H13" s="17" t="inlineStr">
        <is>
          <t>Once: until foe’s turn ends: prevent Divine card from being destroyed</t>
        </is>
      </c>
      <c r="I13" t="inlineStr">
        <is>
          <t>wording polish</t>
        </is>
      </c>
      <c r="J13" s="16" t="n"/>
      <c r="K13" s="17" t="inlineStr">
        <is>
          <t>Yes</t>
        </is>
      </c>
      <c r="L13" s="16" t="n"/>
      <c r="M13" s="17" t="inlineStr">
        <is>
          <t>Yes</t>
        </is>
      </c>
      <c r="N13" s="16" t="n"/>
      <c r="O13" s="16" t="n"/>
      <c r="P13" s="17" t="inlineStr">
        <is>
          <t>Yes</t>
        </is>
      </c>
      <c r="Q13" s="16" t="n"/>
    </row>
    <row r="14" ht="56.05" customHeight="1" s="47">
      <c r="A14" s="8" t="inlineStr">
        <is>
          <t>Arcane Nova</t>
        </is>
      </c>
      <c r="B14" s="9" t="inlineStr">
        <is>
          <t>Tech</t>
        </is>
      </c>
      <c r="C14" s="16" t="n">
        <v>3000</v>
      </c>
      <c r="D14" s="16" t="n"/>
      <c r="E14" s="16" t="n"/>
      <c r="F14" s="16" t="n"/>
      <c r="G14" s="16" t="n">
        <v>5</v>
      </c>
      <c r="H14" s="17" t="inlineStr">
        <is>
          <t>Destroy up to 3 Exposed foe units (no cost is paid). This player discard all of their Tech cards afterward.</t>
        </is>
      </c>
      <c r="I14" t="inlineStr">
        <is>
          <t>wording polish</t>
        </is>
      </c>
      <c r="J14" s="16" t="n"/>
      <c r="K14" s="17" t="inlineStr">
        <is>
          <t>Yes</t>
        </is>
      </c>
      <c r="L14" s="16" t="n"/>
      <c r="M14" s="16" t="n"/>
      <c r="N14" s="16" t="n"/>
      <c r="O14" s="16" t="n"/>
      <c r="P14" s="16" t="n"/>
      <c r="Q14" s="16" t="n"/>
    </row>
    <row r="15" ht="56.05" customHeight="1" s="47">
      <c r="A15" s="8" t="inlineStr">
        <is>
          <t>Rift Strike</t>
        </is>
      </c>
      <c r="B15" s="9" t="inlineStr">
        <is>
          <t>Tech</t>
        </is>
      </c>
      <c r="C15" s="16" t="n">
        <v>2000</v>
      </c>
      <c r="D15" s="16" t="n"/>
      <c r="E15" s="16" t="n"/>
      <c r="F15" s="16" t="n"/>
      <c r="G15" s="16" t="n">
        <v>3</v>
      </c>
      <c r="H15" s="17" t="inlineStr">
        <is>
          <t>Choose 1 Exposed foe unit. Destroy other Exposed units in its row. Foe pays no Crystal cost.</t>
        </is>
      </c>
      <c r="I15" t="inlineStr">
        <is>
          <t>Shortened; Exposed/cell/Crystal cost.</t>
        </is>
      </c>
      <c r="J15" s="16" t="n"/>
      <c r="K15" s="17" t="inlineStr">
        <is>
          <t>Yes</t>
        </is>
      </c>
      <c r="L15" s="16" t="n"/>
      <c r="M15" s="16" t="n"/>
      <c r="N15" s="16" t="n"/>
      <c r="O15" s="16" t="n"/>
      <c r="P15" s="16" t="n"/>
      <c r="Q15" s="16" t="n"/>
    </row>
    <row r="16" ht="32.05" customHeight="1" s="47">
      <c r="A16" s="8" t="inlineStr">
        <is>
          <t>Great Diplomacy</t>
        </is>
      </c>
      <c r="B16" s="9" t="inlineStr">
        <is>
          <t>Tech</t>
        </is>
      </c>
      <c r="C16" s="16" t="n">
        <v>1000</v>
      </c>
      <c r="D16" s="16" t="n"/>
      <c r="E16" s="16" t="n"/>
      <c r="F16" s="16" t="n"/>
      <c r="G16" s="16" t="n">
        <v>4</v>
      </c>
      <c r="H16" s="17" t="inlineStr">
        <is>
          <t>Select up to 5 of their units and reveal them.</t>
        </is>
      </c>
      <c r="I16" t="inlineStr">
        <is>
          <t>wording polish</t>
        </is>
      </c>
      <c r="J16" s="16" t="n"/>
      <c r="K16" s="17" t="inlineStr">
        <is>
          <t>Yes</t>
        </is>
      </c>
      <c r="L16" s="16" t="n"/>
      <c r="M16" s="17" t="inlineStr">
        <is>
          <t>Yes</t>
        </is>
      </c>
      <c r="N16" s="16" t="n"/>
      <c r="O16" s="16" t="n"/>
      <c r="P16" s="16" t="n"/>
      <c r="Q16" s="17" t="inlineStr">
        <is>
          <t>Yes</t>
        </is>
      </c>
    </row>
    <row r="17" ht="44.05" customHeight="1" s="47">
      <c r="A17" s="8" t="inlineStr">
        <is>
          <t>War Supply</t>
        </is>
      </c>
      <c r="B17" s="9" t="inlineStr">
        <is>
          <t>Tech</t>
        </is>
      </c>
      <c r="C17" s="16" t="n">
        <v>1000</v>
      </c>
      <c r="D17" s="16" t="n"/>
      <c r="E17" s="16" t="n"/>
      <c r="F17" s="16" t="n"/>
      <c r="G17" s="16" t="n">
        <v>3</v>
      </c>
      <c r="H17" s="17" t="inlineStr">
        <is>
          <t>This player’s units get +10 ATK and DEF in Reckoning until turn’s end</t>
        </is>
      </c>
      <c r="I17" t="inlineStr">
        <is>
          <t>ATK&amp;DEF→ATK and DEF</t>
        </is>
      </c>
      <c r="J17" s="16" t="n"/>
      <c r="K17" s="17" t="inlineStr">
        <is>
          <t>Yes</t>
        </is>
      </c>
      <c r="L17" s="16" t="n"/>
      <c r="M17" s="17" t="inlineStr">
        <is>
          <t>Yes</t>
        </is>
      </c>
      <c r="N17" s="16" t="n"/>
      <c r="O17" s="17" t="inlineStr">
        <is>
          <t>Yes</t>
        </is>
      </c>
      <c r="P17" s="16" t="n"/>
      <c r="Q17" s="16" t="n"/>
    </row>
    <row r="18" ht="32.05" customHeight="1" s="47">
      <c r="A18" s="8" t="inlineStr">
        <is>
          <t>Harsh Training</t>
        </is>
      </c>
      <c r="B18" s="9" t="inlineStr">
        <is>
          <t>Tech</t>
        </is>
      </c>
      <c r="C18" s="16" t="n">
        <v>500</v>
      </c>
      <c r="D18" s="16" t="n"/>
      <c r="E18" s="16" t="n"/>
      <c r="F18" s="16" t="n"/>
      <c r="G18" s="16" t="n">
        <v>2</v>
      </c>
      <c r="H18" s="17" t="inlineStr">
        <is>
          <t>+10 ATK permanently to one of this player's unit.</t>
        </is>
      </c>
      <c r="J18" s="16" t="n"/>
      <c r="K18" s="17" t="inlineStr">
        <is>
          <t>Yes</t>
        </is>
      </c>
      <c r="L18" s="16" t="n"/>
      <c r="M18" s="16" t="n"/>
      <c r="N18" s="16" t="n"/>
      <c r="O18" s="16" t="n"/>
      <c r="P18" s="16" t="n"/>
      <c r="Q18" s="16" t="n"/>
    </row>
    <row r="19" ht="32.05" customHeight="1" s="47">
      <c r="A19" s="8" t="inlineStr">
        <is>
          <t>Illegal Steroid</t>
        </is>
      </c>
      <c r="B19" s="9" t="inlineStr">
        <is>
          <t>Tech</t>
        </is>
      </c>
      <c r="C19" s="16" t="n">
        <v>1000</v>
      </c>
      <c r="D19" s="16" t="n"/>
      <c r="E19" s="16" t="n"/>
      <c r="F19" s="16" t="n"/>
      <c r="G19" s="16" t="n">
        <v>4</v>
      </c>
      <c r="H19" s="17" t="inlineStr">
        <is>
          <t>+30 ATK for 1 unit until the end of this turn.</t>
        </is>
      </c>
      <c r="J19" s="16" t="n"/>
      <c r="K19" s="17" t="inlineStr">
        <is>
          <t>Yes</t>
        </is>
      </c>
      <c r="L19" s="16" t="n"/>
      <c r="M19" s="16" t="n"/>
      <c r="N19" s="16" t="n"/>
      <c r="O19" s="16" t="n"/>
      <c r="P19" s="16" t="n"/>
      <c r="Q19" s="16" t="n"/>
    </row>
    <row r="20" ht="56.05" customHeight="1" s="47">
      <c r="A20" s="8" t="inlineStr">
        <is>
          <t>Secret Dagger</t>
        </is>
      </c>
      <c r="B20" s="9" t="inlineStr">
        <is>
          <t>Tech</t>
        </is>
      </c>
      <c r="C20" s="16" t="n">
        <v>600</v>
      </c>
      <c r="D20" s="16" t="n"/>
      <c r="E20" s="16" t="n"/>
      <c r="F20" s="16" t="n"/>
      <c r="G20" s="16" t="n">
        <v>3</v>
      </c>
      <c r="H20" s="17" t="inlineStr">
        <is>
          <t>Can only be used on face-down unit. Turn that card exposed and +15 ATK until the end of this turn.</t>
        </is>
      </c>
      <c r="I20" t="inlineStr">
        <is>
          <t>wording polish</t>
        </is>
      </c>
      <c r="J20" s="16" t="n"/>
      <c r="K20" s="17" t="inlineStr">
        <is>
          <t>Yes</t>
        </is>
      </c>
      <c r="L20" s="16" t="n"/>
      <c r="M20" s="16" t="n"/>
      <c r="N20" s="16" t="n"/>
      <c r="O20" s="16" t="n"/>
      <c r="P20" s="16" t="n"/>
      <c r="Q20" s="16" t="n"/>
    </row>
    <row r="21" ht="44.05" customHeight="1" s="47">
      <c r="A21" s="8" t="inlineStr">
        <is>
          <t>Garrison</t>
        </is>
      </c>
      <c r="B21" s="9" t="inlineStr">
        <is>
          <t>Tech</t>
        </is>
      </c>
      <c r="C21" s="16" t="n">
        <v>1500</v>
      </c>
      <c r="D21" s="16" t="n"/>
      <c r="E21" s="16" t="n"/>
      <c r="F21" s="16" t="n"/>
      <c r="G21" s="16" t="n">
        <v>4</v>
      </c>
      <c r="H21" s="17" t="inlineStr">
        <is>
          <t>Until foe's turn ends: +20 DEF to all this player's cards in Reckoning</t>
        </is>
      </c>
      <c r="J21" s="16" t="n"/>
      <c r="K21" s="17" t="inlineStr">
        <is>
          <t>Yes</t>
        </is>
      </c>
      <c r="L21" s="16" t="n"/>
      <c r="M21" s="16" t="n"/>
      <c r="N21" s="16" t="n"/>
      <c r="O21" s="16" t="n"/>
      <c r="P21" s="16" t="n"/>
      <c r="Q21" s="16" t="n"/>
    </row>
    <row r="22" ht="44.05" customHeight="1" s="47">
      <c r="A22" s="8" t="inlineStr">
        <is>
          <t xml:space="preserve">Bulletproof Vest </t>
        </is>
      </c>
      <c r="B22" s="9" t="inlineStr">
        <is>
          <t>Tech</t>
        </is>
      </c>
      <c r="C22" s="16" t="n">
        <v>850</v>
      </c>
      <c r="D22" s="16" t="n"/>
      <c r="E22" s="16" t="n"/>
      <c r="F22" s="16" t="n"/>
      <c r="G22" s="16" t="n">
        <v>3</v>
      </c>
      <c r="H22" s="17" t="inlineStr">
        <is>
          <t>+15 DEF permanently for 1 Exposed unit. If use on face-down unit, flip it up.</t>
        </is>
      </c>
      <c r="I22" t="inlineStr">
        <is>
          <t>wording polish</t>
        </is>
      </c>
      <c r="J22" s="16" t="n"/>
      <c r="K22" s="17" t="inlineStr">
        <is>
          <t>Yes</t>
        </is>
      </c>
      <c r="L22" s="16" t="n"/>
      <c r="M22" s="16" t="n"/>
      <c r="N22" s="16" t="n"/>
      <c r="O22" s="16" t="n"/>
      <c r="P22" s="16" t="n"/>
      <c r="Q22" s="16" t="n"/>
    </row>
    <row r="23" ht="44.05" customHeight="1" s="47">
      <c r="A23" s="8" t="inlineStr">
        <is>
          <t>Siege Cannon</t>
        </is>
      </c>
      <c r="B23" s="9" t="inlineStr">
        <is>
          <t>Tech</t>
        </is>
      </c>
      <c r="C23" s="16" t="n">
        <v>1000</v>
      </c>
      <c r="D23" s="16" t="n"/>
      <c r="E23" s="16" t="n"/>
      <c r="F23" s="16" t="n"/>
      <c r="G23" s="16" t="n">
        <v>5</v>
      </c>
      <c r="H23" s="17" t="inlineStr">
        <is>
          <t>This turn: once, foe’s defending unit is destroyed.</t>
        </is>
      </c>
      <c r="I23" t="inlineStr">
        <is>
          <t>shortened</t>
        </is>
      </c>
      <c r="J23" s="16" t="n"/>
      <c r="K23" s="17" t="inlineStr">
        <is>
          <t>Yes</t>
        </is>
      </c>
      <c r="L23" s="16" t="n"/>
      <c r="M23" s="17" t="inlineStr">
        <is>
          <t>Yes</t>
        </is>
      </c>
      <c r="N23" s="16" t="n"/>
      <c r="O23" s="16" t="n"/>
      <c r="P23" s="16" t="n"/>
      <c r="Q23" s="17" t="inlineStr">
        <is>
          <t>Yes</t>
        </is>
      </c>
    </row>
    <row r="24" ht="20.05" customHeight="1" s="47">
      <c r="A24" s="8" t="inlineStr">
        <is>
          <t>Silence Agent</t>
        </is>
      </c>
      <c r="B24" s="9" t="inlineStr">
        <is>
          <t>Tech</t>
        </is>
      </c>
      <c r="C24" s="16" t="n">
        <v>2000</v>
      </c>
      <c r="D24" s="16" t="n"/>
      <c r="E24" s="16" t="n"/>
      <c r="F24" s="16" t="n"/>
      <c r="G24" s="16" t="n">
        <v>4</v>
      </c>
      <c r="H24" s="17" t="inlineStr">
        <is>
          <t>Destroy 1 of foe’s Exposed unit</t>
        </is>
      </c>
      <c r="I24" t="inlineStr">
        <is>
          <t>wording polish</t>
        </is>
      </c>
      <c r="J24" s="16" t="n"/>
      <c r="K24" s="17" t="inlineStr">
        <is>
          <t>Yes</t>
        </is>
      </c>
      <c r="L24" s="16" t="n"/>
      <c r="M24" s="16" t="n"/>
      <c r="N24" s="16" t="n"/>
      <c r="O24" s="16" t="n"/>
      <c r="P24" s="16" t="n"/>
      <c r="Q24" s="16" t="n"/>
    </row>
    <row r="25" ht="56.05" customHeight="1" s="47">
      <c r="A25" s="8" t="inlineStr">
        <is>
          <t>Accident</t>
        </is>
      </c>
      <c r="B25" s="9" t="inlineStr">
        <is>
          <t>Tech</t>
        </is>
      </c>
      <c r="C25" s="16" t="n">
        <v>1000</v>
      </c>
      <c r="D25" s="16" t="n"/>
      <c r="E25" s="16" t="n"/>
      <c r="F25" s="16" t="n"/>
      <c r="G25" s="16" t="n">
        <v>3</v>
      </c>
      <c r="H25" s="17" t="inlineStr">
        <is>
          <t>Destroy 1 Exposed foe unit. If none, foe chooses 1 to Expose. Foe pays no Crystal cost.</t>
        </is>
      </c>
      <c r="I25" t="inlineStr">
        <is>
          <t>Shortened; Exposed terminology.</t>
        </is>
      </c>
      <c r="J25" s="16" t="n"/>
      <c r="K25" s="17" t="inlineStr">
        <is>
          <t>Yes</t>
        </is>
      </c>
      <c r="L25" s="16" t="n"/>
      <c r="M25" s="17" t="inlineStr">
        <is>
          <t>Yes</t>
        </is>
      </c>
      <c r="N25" s="16" t="n"/>
      <c r="O25" s="16" t="n"/>
      <c r="P25" s="16" t="n"/>
      <c r="Q25" s="17" t="inlineStr">
        <is>
          <t>Yes</t>
        </is>
      </c>
    </row>
    <row r="26" ht="80.05" customHeight="1" s="47">
      <c r="A26" s="8" t="inlineStr">
        <is>
          <t>Berserk</t>
        </is>
      </c>
      <c r="B26" s="9" t="inlineStr">
        <is>
          <t>Tech</t>
        </is>
      </c>
      <c r="C26" s="16" t="n">
        <v>2000</v>
      </c>
      <c r="D26" s="16" t="n"/>
      <c r="E26" s="16" t="n"/>
      <c r="F26" s="16" t="n"/>
      <c r="G26" s="16" t="n">
        <v>5</v>
      </c>
      <c r="H26" s="17" t="inlineStr">
        <is>
          <t>Choose 1 Exposed ally. It gets 1 extra attack but is your only attacker this turn. Cannot use if you already attacked.</t>
        </is>
      </c>
      <c r="I26" t="inlineStr">
        <is>
          <t>Shortened; Exposed terminology.</t>
        </is>
      </c>
      <c r="J26" s="16" t="n"/>
      <c r="K26" s="17" t="inlineStr">
        <is>
          <t>Yes</t>
        </is>
      </c>
      <c r="L26" s="16" t="n"/>
      <c r="M26" s="16" t="n"/>
      <c r="N26" s="16" t="n"/>
      <c r="O26" s="16" t="n"/>
      <c r="P26" s="16" t="n"/>
      <c r="Q26" s="16" t="n"/>
    </row>
    <row r="27" ht="20.05" customHeight="1" s="47">
      <c r="A27" s="8" t="inlineStr">
        <is>
          <t>Radar</t>
        </is>
      </c>
      <c r="B27" s="9" t="inlineStr">
        <is>
          <t>Tech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Reveal 3 of foe’s cell</t>
        </is>
      </c>
      <c r="J27" s="16" t="n"/>
      <c r="K27" s="17" t="inlineStr">
        <is>
          <t>Yes</t>
        </is>
      </c>
      <c r="L27" s="16" t="n"/>
      <c r="M27" s="17" t="inlineStr">
        <is>
          <t>Yes</t>
        </is>
      </c>
      <c r="N27" s="16" t="n"/>
      <c r="O27" s="17" t="inlineStr">
        <is>
          <t>Yes</t>
        </is>
      </c>
      <c r="P27" s="16" t="n"/>
      <c r="Q27" s="16" t="n"/>
    </row>
    <row r="28" ht="44.05" customHeight="1" s="47">
      <c r="A28" s="8" t="inlineStr">
        <is>
          <t>Palace Party</t>
        </is>
      </c>
      <c r="B28" s="9" t="inlineStr">
        <is>
          <t>Tech</t>
        </is>
      </c>
      <c r="C28" s="16" t="n">
        <v>500</v>
      </c>
      <c r="D28" s="16" t="n"/>
      <c r="E28" s="16" t="n"/>
      <c r="F28" s="16" t="n"/>
      <c r="G28" s="16" t="n">
        <v>2</v>
      </c>
      <c r="H28" s="17" t="inlineStr">
        <is>
          <t>This player reveal 1 face-down unit. Foe must reveal 1 of their face-down unit (if any)</t>
        </is>
      </c>
      <c r="J28" s="16" t="n"/>
      <c r="K28" s="17" t="inlineStr">
        <is>
          <t>Yes</t>
        </is>
      </c>
      <c r="L28" s="16" t="n"/>
      <c r="M28" s="16" t="n"/>
      <c r="N28" s="16" t="n"/>
      <c r="O28" s="16" t="n"/>
      <c r="P28" s="16" t="n"/>
      <c r="Q28" s="16" t="n"/>
    </row>
    <row r="29" ht="44.05" customHeight="1" s="47">
      <c r="A29" s="8" t="inlineStr">
        <is>
          <t>Essence Transfer</t>
        </is>
      </c>
      <c r="B29" s="9" t="inlineStr">
        <is>
          <t>Tech</t>
        </is>
      </c>
      <c r="C29" s="16" t="n">
        <v>700</v>
      </c>
      <c r="D29" s="16" t="n"/>
      <c r="E29" s="16" t="n"/>
      <c r="F29" s="16" t="n"/>
      <c r="G29" s="16" t="n">
        <v>5</v>
      </c>
      <c r="H29" s="17" t="inlineStr">
        <is>
          <t>Choose 1 unit. Move all its ATK and DEF bonuses or debuffs to another ally unit.</t>
        </is>
      </c>
      <c r="I29" t="inlineStr">
        <is>
          <t>ATK&amp;DEF→ATK and DEF</t>
        </is>
      </c>
      <c r="J29" s="16" t="n"/>
      <c r="K29" s="17" t="inlineStr">
        <is>
          <t>Yes</t>
        </is>
      </c>
      <c r="L29" s="16" t="n"/>
      <c r="M29" s="16" t="n"/>
      <c r="N29" s="16" t="n"/>
      <c r="O29" s="16" t="n"/>
      <c r="P29" s="16" t="n"/>
      <c r="Q29" s="16" t="n"/>
    </row>
    <row r="30" ht="68.05" customHeight="1" s="47">
      <c r="A30" s="8" t="inlineStr">
        <is>
          <t>Blood Ritual</t>
        </is>
      </c>
      <c r="B30" s="9" t="inlineStr">
        <is>
          <t>Tech</t>
        </is>
      </c>
      <c r="C30" s="16" t="n">
        <v>1200</v>
      </c>
      <c r="D30" s="16" t="n"/>
      <c r="E30" s="16" t="n"/>
      <c r="F30" s="16" t="n"/>
      <c r="G30" s="16" t="n">
        <v>4</v>
      </c>
      <c r="H30" s="17" t="inlineStr">
        <is>
          <t>Destroy 1 own card (no Crystal cost). Choose 1 Exposed foe unit; its ATK and DEF become 0 permanently.</t>
        </is>
      </c>
      <c r="I30" t="inlineStr">
        <is>
          <t>Fixed 'the this'; terminology.</t>
        </is>
      </c>
      <c r="J30" s="16" t="n"/>
      <c r="K30" s="17" t="inlineStr">
        <is>
          <t>Yes</t>
        </is>
      </c>
      <c r="L30" s="16" t="n"/>
      <c r="M30" s="16" t="n"/>
      <c r="N30" s="16" t="n"/>
      <c r="O30" s="16" t="n"/>
      <c r="P30" s="16" t="n"/>
      <c r="Q30" s="16" t="n"/>
    </row>
    <row r="31" ht="56.05" customHeight="1" s="47">
      <c r="A31" s="8" t="inlineStr">
        <is>
          <t>Arcane Duplication</t>
        </is>
      </c>
      <c r="B31" s="9" t="inlineStr">
        <is>
          <t>Tech</t>
        </is>
      </c>
      <c r="C31" s="16" t="n">
        <v>1000</v>
      </c>
      <c r="D31" s="16" t="n"/>
      <c r="E31" s="16" t="n"/>
      <c r="F31" s="16" t="n"/>
      <c r="G31" s="16" t="n">
        <v>5</v>
      </c>
      <c r="H31" s="17" t="inlineStr">
        <is>
          <t>Choose 1 unit. Create a token copy on an empty cell. Destroy the token at end of your next turn.</t>
        </is>
      </c>
      <c r="I31" t="inlineStr">
        <is>
          <t>Removed dangling 'This player.'; shortened.</t>
        </is>
      </c>
      <c r="J31" s="16" t="n"/>
      <c r="K31" s="17" t="inlineStr">
        <is>
          <t>Yes</t>
        </is>
      </c>
      <c r="L31" s="16" t="n"/>
      <c r="M31" s="16" t="n"/>
      <c r="N31" s="16" t="n"/>
      <c r="O31" s="16" t="n"/>
      <c r="P31" s="16" t="n"/>
      <c r="Q31" s="16" t="n"/>
    </row>
    <row r="32" ht="56.05" customHeight="1" s="47">
      <c r="A32" s="8" t="inlineStr">
        <is>
          <t xml:space="preserve">Time Travel </t>
        </is>
      </c>
      <c r="B32" s="9" t="inlineStr">
        <is>
          <t>Tech</t>
        </is>
      </c>
      <c r="C32" s="16" t="n">
        <v>1800</v>
      </c>
      <c r="D32" s="16" t="n"/>
      <c r="E32" s="16" t="n"/>
      <c r="F32" s="16" t="n"/>
      <c r="G32" s="16" t="n">
        <v>5</v>
      </c>
      <c r="H32" s="17" t="inlineStr">
        <is>
          <t>Once only, revive 1 unit to any unoccupied or empty cell in Exposed position. Double its Crystal cost.</t>
        </is>
      </c>
      <c r="I32" t="inlineStr">
        <is>
          <t>wording polish</t>
        </is>
      </c>
      <c r="J32" s="16" t="n"/>
      <c r="K32" s="17" t="inlineStr">
        <is>
          <t>Yes</t>
        </is>
      </c>
      <c r="L32" s="16" t="n"/>
      <c r="M32" s="16" t="n"/>
      <c r="N32" s="16" t="n"/>
      <c r="O32" s="16" t="n"/>
      <c r="P32" s="16" t="n"/>
      <c r="Q32" s="16" t="n"/>
    </row>
    <row r="33" ht="32.05" customHeight="1" s="47">
      <c r="A33" s="8" t="inlineStr">
        <is>
          <t>Resurrection</t>
        </is>
      </c>
      <c r="B33" s="9" t="inlineStr">
        <is>
          <t>Tech</t>
        </is>
      </c>
      <c r="C33" s="16" t="n">
        <v>1500</v>
      </c>
      <c r="D33" s="16" t="n"/>
      <c r="E33" s="16" t="n"/>
      <c r="F33" s="16" t="n"/>
      <c r="G33" s="16" t="n">
        <v>4</v>
      </c>
      <c r="H33" s="17" t="inlineStr">
        <is>
          <t>Once: revive 1 unit. It has no ATK,DEF, or ability.</t>
        </is>
      </c>
      <c r="I33" t="inlineStr">
        <is>
          <t>wording polish</t>
        </is>
      </c>
      <c r="J33" s="16" t="n"/>
      <c r="K33" s="17" t="inlineStr">
        <is>
          <t>Yes</t>
        </is>
      </c>
      <c r="L33" s="16" t="n"/>
      <c r="M33" s="17" t="inlineStr">
        <is>
          <t>Yes</t>
        </is>
      </c>
      <c r="N33" s="16" t="n"/>
      <c r="O33" s="16" t="n"/>
      <c r="P33" s="16" t="n"/>
      <c r="Q33" s="17" t="inlineStr">
        <is>
          <t>Yes</t>
        </is>
      </c>
    </row>
    <row r="34" ht="44.05" customHeight="1" s="47">
      <c r="A34" s="8" t="inlineStr">
        <is>
          <t>Tech Copy</t>
        </is>
      </c>
      <c r="B34" s="9" t="inlineStr">
        <is>
          <t>Tech</t>
        </is>
      </c>
      <c r="C34" s="16" t="n">
        <v>1000</v>
      </c>
      <c r="D34" s="16" t="n"/>
      <c r="E34" s="16" t="n"/>
      <c r="F34" s="16" t="n"/>
      <c r="G34" s="16" t="n">
        <v>3</v>
      </c>
      <c r="H34" s="17" t="inlineStr">
        <is>
          <t>Foe show 1 Tech card in their hand. Add a copy of that card into this player's Tech Stack.</t>
        </is>
      </c>
      <c r="I34" t="inlineStr">
        <is>
          <t>wording polish</t>
        </is>
      </c>
      <c r="J34" s="16" t="n"/>
      <c r="K34" s="16" t="n"/>
      <c r="L34" s="16" t="n"/>
      <c r="M34" s="16" t="n"/>
      <c r="N34" s="16" t="n"/>
      <c r="O34" s="16" t="n"/>
      <c r="P34" s="16" t="n"/>
      <c r="Q34" s="16" t="n"/>
    </row>
    <row r="35" ht="44.05" customHeight="1" s="47">
      <c r="A35" s="8" t="inlineStr">
        <is>
          <t>Force Shield</t>
        </is>
      </c>
      <c r="B35" s="9" t="inlineStr">
        <is>
          <t>Tech</t>
        </is>
      </c>
      <c r="C35" s="16" t="n">
        <v>600</v>
      </c>
      <c r="D35" s="16" t="n"/>
      <c r="E35" s="16" t="n"/>
      <c r="F35" s="16" t="n"/>
      <c r="G35" s="16" t="n">
        <v>2</v>
      </c>
      <c r="H35" s="17" t="inlineStr">
        <is>
          <t>Select 1card. It is not destroyed until the end of foe's turn</t>
        </is>
      </c>
      <c r="I35" t="inlineStr">
        <is>
          <t>wording polish</t>
        </is>
      </c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 ht="44.05" customHeight="1" s="47">
      <c r="A36" s="8" t="inlineStr">
        <is>
          <t>Wisp Light</t>
        </is>
      </c>
      <c r="B36" s="9" t="inlineStr">
        <is>
          <t>Tech</t>
        </is>
      </c>
      <c r="C36" s="16" t="n">
        <v>250</v>
      </c>
      <c r="D36" s="16" t="n"/>
      <c r="E36" s="16" t="n"/>
      <c r="F36" s="16" t="n"/>
      <c r="G36" s="16" t="n">
        <v>3</v>
      </c>
      <c r="H36" s="17" t="inlineStr">
        <is>
          <t>Destroy as many ally ‘wisp’ units. Reveal that much cells on foe's field.</t>
        </is>
      </c>
      <c r="J36" s="16" t="n"/>
      <c r="K36" s="16" t="n"/>
      <c r="L36" s="16" t="n"/>
      <c r="M36" s="16" t="n"/>
      <c r="N36" s="16" t="n"/>
      <c r="O36" s="16" t="n"/>
      <c r="P36" s="16" t="n"/>
      <c r="Q36" s="16" t="n"/>
    </row>
    <row r="37" ht="56.05" customHeight="1" s="47">
      <c r="A37" s="8" t="inlineStr">
        <is>
          <t>Lucky Day</t>
        </is>
      </c>
      <c r="B37" s="9" t="inlineStr">
        <is>
          <t>Tech</t>
        </is>
      </c>
      <c r="C37" s="16" t="n">
        <v>300</v>
      </c>
      <c r="D37" s="16" t="n"/>
      <c r="E37" s="16" t="n"/>
      <c r="F37" s="16" t="n"/>
      <c r="G37" s="16" t="n">
        <v>2</v>
      </c>
      <c r="H37" s="17" t="inlineStr">
        <is>
          <t>Flip a coin. Heads: receive 600 Crystals. Always Heads, if trapper’s Crystal is 1000 or less.</t>
        </is>
      </c>
      <c r="I37" t="inlineStr">
        <is>
          <t>Head→Heads</t>
        </is>
      </c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 ht="32.05" customHeight="1" s="47">
      <c r="A38" s="8" t="inlineStr">
        <is>
          <t>Immortal Blood</t>
        </is>
      </c>
      <c r="B38" s="9" t="inlineStr">
        <is>
          <t>Tech</t>
        </is>
      </c>
      <c r="C38" s="16" t="n">
        <v>1000</v>
      </c>
      <c r="D38" s="16" t="n"/>
      <c r="E38" s="16" t="n"/>
      <c r="F38" s="16" t="n"/>
      <c r="G38" s="16" t="n">
        <v>3</v>
      </c>
      <c r="H38" s="17" t="inlineStr">
        <is>
          <t>Revive 1 immortal vampire or vampire servant.</t>
        </is>
      </c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 ht="32.05" customHeight="1" s="47">
      <c r="A39" s="8" t="inlineStr">
        <is>
          <t xml:space="preserve">Yin Yang Swap </t>
        </is>
      </c>
      <c r="B39" s="9" t="inlineStr">
        <is>
          <t>Tech</t>
        </is>
      </c>
      <c r="C39" s="16" t="n">
        <v>1200</v>
      </c>
      <c r="D39" s="16" t="n"/>
      <c r="E39" s="16" t="n"/>
      <c r="F39" s="16" t="n"/>
      <c r="G39" s="16" t="n">
        <v>4</v>
      </c>
      <c r="H39" s="17" t="inlineStr">
        <is>
          <t>Swap ATK and DEF on 1 Exposed unit until the end of this turn</t>
        </is>
      </c>
      <c r="I39" t="inlineStr">
        <is>
          <t>ATK&amp;DEF→ATK and DEF</t>
        </is>
      </c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 ht="20.05" customHeight="1" s="47">
      <c r="A40" s="8" t="inlineStr">
        <is>
          <t>Coin on the Street</t>
        </is>
      </c>
      <c r="B40" s="9" t="inlineStr">
        <is>
          <t>Tech</t>
        </is>
      </c>
      <c r="C40" s="16" t="n">
        <v>0</v>
      </c>
      <c r="D40" s="16" t="n"/>
      <c r="E40" s="16" t="n"/>
      <c r="F40" s="16" t="n"/>
      <c r="G40" s="16" t="n">
        <v>1</v>
      </c>
      <c r="H40" s="17" t="inlineStr">
        <is>
          <t>Receive 20 Crystals</t>
        </is>
      </c>
      <c r="J40" s="16" t="n"/>
      <c r="K40" s="16" t="n"/>
      <c r="L40" s="16" t="n"/>
      <c r="M40" s="16" t="n"/>
      <c r="N40" s="16" t="n"/>
      <c r="O40" s="16" t="n"/>
      <c r="P40" s="16" t="n"/>
      <c r="Q40" s="16" t="n"/>
    </row>
    <row r="41" ht="32.05" customHeight="1" s="47">
      <c r="A41" s="8" t="inlineStr">
        <is>
          <t>Bank Note on the Street</t>
        </is>
      </c>
      <c r="B41" s="9" t="inlineStr">
        <is>
          <t>Tech</t>
        </is>
      </c>
      <c r="C41" s="16" t="n">
        <v>0</v>
      </c>
      <c r="D41" s="16" t="n"/>
      <c r="E41" s="16" t="n"/>
      <c r="F41" s="16" t="n"/>
      <c r="G41" s="16" t="n">
        <v>2</v>
      </c>
      <c r="H41" s="17" t="inlineStr">
        <is>
          <t>Receive 50 Crystals</t>
        </is>
      </c>
      <c r="J41" s="16" t="n"/>
      <c r="K41" s="16" t="n"/>
      <c r="L41" s="16" t="n"/>
      <c r="M41" s="16" t="n"/>
      <c r="N41" s="16" t="n"/>
      <c r="O41" s="16" t="n"/>
      <c r="P41" s="16" t="n"/>
      <c r="Q41" s="16" t="n"/>
    </row>
    <row r="42" ht="32.05" customHeight="1" s="47">
      <c r="A42" s="8" t="inlineStr">
        <is>
          <t>Casual Gambling</t>
        </is>
      </c>
      <c r="B42" s="9" t="inlineStr">
        <is>
          <t>Tech</t>
        </is>
      </c>
      <c r="C42" s="16" t="n">
        <v>0</v>
      </c>
      <c r="D42" s="16" t="n"/>
      <c r="E42" s="16" t="n"/>
      <c r="F42" s="16" t="n"/>
      <c r="G42" s="16" t="n">
        <v>1</v>
      </c>
      <c r="H42" s="17" t="inlineStr">
        <is>
          <t>Flip a coin. Heads: receive 100 Crystals.</t>
        </is>
      </c>
      <c r="I42" t="inlineStr">
        <is>
          <t>Head→Heads</t>
        </is>
      </c>
      <c r="J42" s="16" t="n"/>
      <c r="K42" s="16" t="n"/>
      <c r="L42" s="16" t="n"/>
      <c r="M42" s="16" t="n"/>
      <c r="N42" s="16" t="n"/>
      <c r="O42" s="16" t="n"/>
      <c r="P42" s="16" t="n"/>
      <c r="Q42" s="16" t="n"/>
    </row>
    <row r="43" ht="44.05" customHeight="1" s="47">
      <c r="A43" s="8" t="inlineStr">
        <is>
          <t>Degen Gambling</t>
        </is>
      </c>
      <c r="B43" s="9" t="inlineStr">
        <is>
          <t>Tech</t>
        </is>
      </c>
      <c r="C43" s="16" t="n">
        <v>0</v>
      </c>
      <c r="D43" s="16" t="n"/>
      <c r="E43" s="16" t="n"/>
      <c r="F43" s="16" t="n"/>
      <c r="G43" s="16" t="n">
        <v>2</v>
      </c>
      <c r="H43" s="17" t="inlineStr">
        <is>
          <t>Flip a coin. Heads: receive 200 Crystals. Tails: lose 400 Crystals</t>
        </is>
      </c>
      <c r="I43" t="inlineStr">
        <is>
          <t>Head→Heads; Tail→Tails</t>
        </is>
      </c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 ht="20.05" customHeight="1" s="47">
      <c r="A44" s="8" t="inlineStr">
        <is>
          <t>Gift</t>
        </is>
      </c>
      <c r="B44" s="9" t="inlineStr">
        <is>
          <t>Tech</t>
        </is>
      </c>
      <c r="C44" s="16" t="n">
        <v>0</v>
      </c>
      <c r="D44" s="16" t="n"/>
      <c r="E44" s="16" t="n"/>
      <c r="F44" s="16" t="n"/>
      <c r="G44" s="16" t="n">
        <v>1</v>
      </c>
      <c r="H44" s="17" t="inlineStr">
        <is>
          <t>Foe receive 50 Crystals</t>
        </is>
      </c>
      <c r="J44" s="16" t="n"/>
      <c r="K44" s="16" t="n"/>
      <c r="L44" s="16" t="n"/>
      <c r="M44" s="16" t="n"/>
      <c r="N44" s="16" t="n"/>
      <c r="O44" s="16" t="n"/>
      <c r="P44" s="16" t="n"/>
      <c r="Q44" s="16" t="n"/>
    </row>
    <row r="45" ht="44.05" customHeight="1" s="47">
      <c r="A45" s="8" t="inlineStr">
        <is>
          <t>Hired Spanker</t>
        </is>
      </c>
      <c r="B45" s="9" t="inlineStr">
        <is>
          <t>Tech</t>
        </is>
      </c>
      <c r="C45" s="16" t="n">
        <v>0</v>
      </c>
      <c r="D45" s="16" t="n"/>
      <c r="E45" s="16" t="n"/>
      <c r="F45" s="16" t="n"/>
      <c r="G45" s="16" t="n">
        <v>2</v>
      </c>
      <c r="H45" s="17" t="inlineStr">
        <is>
          <t>Until foe's turn ends: if foe attack the bluffed cell, foe receive 1000 Crystals.</t>
        </is>
      </c>
      <c r="I45" t="inlineStr">
        <is>
          <t>wording polish</t>
        </is>
      </c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 ht="44.05" customHeight="1" s="47">
      <c r="A46" s="8" t="inlineStr">
        <is>
          <t>Tax Avoidance</t>
        </is>
      </c>
      <c r="B46" s="9" t="inlineStr">
        <is>
          <t>Tech</t>
        </is>
      </c>
      <c r="C46" s="16" t="n">
        <v>0</v>
      </c>
      <c r="D46" s="16" t="n"/>
      <c r="E46" s="16" t="n"/>
      <c r="F46" s="16" t="n"/>
      <c r="G46" s="16" t="n">
        <v>1</v>
      </c>
      <c r="H46" s="17" t="inlineStr">
        <is>
          <t>End this player’s turn without paying tax (the tax penalty still doubles)</t>
        </is>
      </c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 ht="44.05" customHeight="1" s="47">
      <c r="A47" s="8" t="inlineStr">
        <is>
          <t>Compensation</t>
        </is>
      </c>
      <c r="B47" s="9" t="inlineStr">
        <is>
          <t>Tech</t>
        </is>
      </c>
      <c r="C47" s="16" t="n">
        <v>0</v>
      </c>
      <c r="D47" s="16" t="n"/>
      <c r="E47" s="16" t="n"/>
      <c r="F47" s="16" t="n"/>
      <c r="G47" s="16" t="n">
        <v>1</v>
      </c>
      <c r="H47" s="17" t="inlineStr">
        <is>
          <t>This turn, whenever this player attack a Dead End, they receive 20 Crystals</t>
        </is>
      </c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 ht="44.05" customHeight="1" s="47">
      <c r="A48" s="8" t="inlineStr">
        <is>
          <t>Phony Fight</t>
        </is>
      </c>
      <c r="B48" s="9" t="inlineStr">
        <is>
          <t>Tech</t>
        </is>
      </c>
      <c r="C48" s="16" t="n">
        <v>500</v>
      </c>
      <c r="D48" s="16" t="n"/>
      <c r="E48" s="16" t="n"/>
      <c r="F48" s="16" t="n"/>
      <c r="G48" s="16" t="n">
        <v>1</v>
      </c>
      <c r="H48" s="17" t="inlineStr">
        <is>
          <t>-10 DEF to 1 Exposed unit on the field until the end of this turn. Foe receive 500 Crystals</t>
        </is>
      </c>
      <c r="I48" t="inlineStr">
        <is>
          <t>wording polish</t>
        </is>
      </c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 ht="32.05" customHeight="1" s="47">
      <c r="A49" s="8" t="inlineStr">
        <is>
          <t>Facetious</t>
        </is>
      </c>
      <c r="B49" s="9" t="inlineStr">
        <is>
          <t>Tech</t>
        </is>
      </c>
      <c r="C49" s="16" t="n">
        <v>0</v>
      </c>
      <c r="D49" s="16" t="n"/>
      <c r="E49" s="16" t="n"/>
      <c r="F49" s="16" t="n"/>
      <c r="G49" s="16" t="n">
        <v>1</v>
      </c>
      <c r="H49" s="17" t="inlineStr">
        <is>
          <t>Send an emoticon bubble to another player once</t>
        </is>
      </c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 ht="32.05" customHeight="1" s="47">
      <c r="A50" s="8" t="inlineStr">
        <is>
          <t>Telepathy</t>
        </is>
      </c>
      <c r="B50" s="9" t="inlineStr">
        <is>
          <t>Tech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Send a very short message to foe once.</t>
        </is>
      </c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 ht="44.05" customHeight="1" s="47">
      <c r="A51" s="8" t="inlineStr">
        <is>
          <t>Borrow</t>
        </is>
      </c>
      <c r="B51" s="9" t="inlineStr">
        <is>
          <t>Tech</t>
        </is>
      </c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Receive 200 Crystals. At the end of this player’s turn, they lose 300 Crystals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 ht="32.05" customHeight="1" s="47">
      <c r="A52" s="8" t="inlineStr">
        <is>
          <t>Flimsy Axe</t>
        </is>
      </c>
      <c r="B52" s="9" t="inlineStr">
        <is>
          <t>Tech</t>
        </is>
      </c>
      <c r="C52" s="16" t="n">
        <v>200</v>
      </c>
      <c r="D52" s="16" t="n"/>
      <c r="E52" s="16" t="n"/>
      <c r="F52" s="16" t="n"/>
      <c r="G52" s="16" t="n">
        <v>1</v>
      </c>
      <c r="H52" s="17" t="inlineStr">
        <is>
          <t>Flip a coin. Heads: +5 ATK to 1 ally unit until this turn ends.</t>
        </is>
      </c>
      <c r="I52" t="inlineStr">
        <is>
          <t>Head→Heads</t>
        </is>
      </c>
      <c r="J52" s="16" t="n"/>
      <c r="K52" s="16" t="n"/>
      <c r="L52" s="16" t="n"/>
      <c r="M52" s="16" t="n"/>
      <c r="N52" s="16" t="n"/>
      <c r="O52" s="16" t="n"/>
      <c r="P52" s="16" t="n"/>
      <c r="Q52" s="16" t="n"/>
    </row>
    <row r="53" ht="32.05" customHeight="1" s="47">
      <c r="A53" s="8" t="inlineStr">
        <is>
          <t>Flimsy Shield</t>
        </is>
      </c>
      <c r="B53" s="9" t="inlineStr">
        <is>
          <t>Tech</t>
        </is>
      </c>
      <c r="C53" s="16" t="n">
        <v>200</v>
      </c>
      <c r="D53" s="16" t="n"/>
      <c r="E53" s="16" t="n"/>
      <c r="F53" s="16" t="n"/>
      <c r="G53" s="16" t="n">
        <v>1</v>
      </c>
      <c r="H53" s="17" t="inlineStr">
        <is>
          <t>Flip a coin. Heads: +5 DEF to 1 ally unit until this turn ends.</t>
        </is>
      </c>
      <c r="I53" t="inlineStr">
        <is>
          <t>Head→Heads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 ht="44.05" customHeight="1" s="47">
      <c r="A54" s="8" t="inlineStr">
        <is>
          <t>All-out Tactics</t>
        </is>
      </c>
      <c r="B54" s="9" t="inlineStr">
        <is>
          <t>Tech</t>
        </is>
      </c>
      <c r="C54" s="16" t="n">
        <v>600</v>
      </c>
      <c r="D54" s="16" t="n"/>
      <c r="E54" s="16" t="n"/>
      <c r="F54" s="16" t="n"/>
      <c r="G54" s="16" t="n">
        <v>1</v>
      </c>
      <c r="H54" s="17" t="inlineStr">
        <is>
          <t>+10 ATK to one ally unit permanently. But its DEF becomes 0 permanently.</t>
        </is>
      </c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 ht="44.05" customHeight="1" s="47">
      <c r="A55" s="8" t="inlineStr">
        <is>
          <t>Fair Fight</t>
        </is>
      </c>
      <c r="B55" s="9" t="inlineStr">
        <is>
          <t>Tech</t>
        </is>
      </c>
      <c r="C55" s="16" t="n">
        <v>500</v>
      </c>
      <c r="D55" s="16" t="n"/>
      <c r="E55" s="16" t="n"/>
      <c r="F55" s="16" t="n"/>
      <c r="G55" s="16" t="n">
        <v>2</v>
      </c>
      <c r="H55" s="17" t="inlineStr">
        <is>
          <t>Both players select 1 of their unit. They gain +10 ATK and DEF permanently</t>
        </is>
      </c>
      <c r="I55" t="inlineStr">
        <is>
          <t>ATK&amp;DEF→ATK and DEF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</row>
    <row r="56" ht="32.05" customHeight="1" s="47">
      <c r="A56" s="8" t="inlineStr">
        <is>
          <t>Greater Telepathy</t>
        </is>
      </c>
      <c r="B56" s="9" t="inlineStr">
        <is>
          <t>Tech</t>
        </is>
      </c>
      <c r="C56" s="16" t="n">
        <v>400</v>
      </c>
      <c r="D56" s="16" t="n"/>
      <c r="E56" s="16" t="n"/>
      <c r="F56" s="16" t="n"/>
      <c r="G56" s="16" t="n">
        <v>2</v>
      </c>
      <c r="H56" s="17" t="inlineStr">
        <is>
          <t>Send a medium length message to foe once.</t>
        </is>
      </c>
      <c r="J56" s="16" t="n"/>
      <c r="K56" s="16" t="n"/>
      <c r="L56" s="16" t="n"/>
      <c r="M56" s="16" t="n"/>
      <c r="N56" s="16" t="n"/>
      <c r="O56" s="16" t="n"/>
      <c r="P56" s="16" t="n"/>
      <c r="Q56" s="16" t="n"/>
    </row>
    <row r="57" ht="44.05" customHeight="1" s="47">
      <c r="A57" s="8" t="inlineStr">
        <is>
          <t>Loan</t>
        </is>
      </c>
      <c r="B57" s="9" t="inlineStr">
        <is>
          <t>Tech</t>
        </is>
      </c>
      <c r="C57" s="16" t="n">
        <v>0</v>
      </c>
      <c r="D57" s="16" t="n"/>
      <c r="E57" s="16" t="n"/>
      <c r="F57" s="16" t="n"/>
      <c r="G57" s="16" t="n">
        <v>2</v>
      </c>
      <c r="H57" s="17" t="inlineStr">
        <is>
          <t>Receive 600 Crystals. At this player’s next turn’s end: lose 800 Crystals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 ht="32.05" customHeight="1" s="47">
      <c r="A58" s="8" t="inlineStr">
        <is>
          <t>Old Spear</t>
        </is>
      </c>
      <c r="B58" s="9" t="inlineStr">
        <is>
          <t>Tech</t>
        </is>
      </c>
      <c r="C58" s="16" t="n">
        <v>450</v>
      </c>
      <c r="D58" s="16" t="n"/>
      <c r="E58" s="16" t="n"/>
      <c r="F58" s="16" t="n"/>
      <c r="G58" s="16" t="n">
        <v>2</v>
      </c>
      <c r="H58" s="17" t="inlineStr">
        <is>
          <t>+5 ATK to 1 ally unit until this turn ends.</t>
        </is>
      </c>
      <c r="J58" s="16" t="n"/>
      <c r="K58" s="16" t="n"/>
      <c r="L58" s="16" t="n"/>
      <c r="M58" s="16" t="n"/>
      <c r="N58" s="16" t="n"/>
      <c r="O58" s="16" t="n"/>
      <c r="P58" s="16" t="n"/>
      <c r="Q58" s="16" t="n"/>
    </row>
    <row r="59" ht="32.05" customHeight="1" s="47">
      <c r="A59" s="8" t="inlineStr">
        <is>
          <t>Old Shield</t>
        </is>
      </c>
      <c r="B59" s="9" t="inlineStr">
        <is>
          <t>Tech</t>
        </is>
      </c>
      <c r="C59" s="16" t="n">
        <v>450</v>
      </c>
      <c r="D59" s="16" t="n"/>
      <c r="E59" s="16" t="n"/>
      <c r="F59" s="16" t="n"/>
      <c r="G59" s="16" t="n">
        <v>2</v>
      </c>
      <c r="H59" s="17" t="inlineStr">
        <is>
          <t>+5 DEF to 1 ally unit until this turn ends.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Provoke</t>
        </is>
      </c>
      <c r="B60" s="9" t="inlineStr">
        <is>
          <t>Tech</t>
        </is>
      </c>
      <c r="C60" s="16" t="n">
        <v>200</v>
      </c>
      <c r="D60" s="16" t="n"/>
      <c r="E60" s="16" t="n"/>
      <c r="F60" s="16" t="n"/>
      <c r="G60" s="16" t="n">
        <v>4</v>
      </c>
      <c r="H60" s="17" t="inlineStr">
        <is>
          <t xml:space="preserve">At the end of foe’s turn, foe must attack the selected cell first. </t>
        </is>
      </c>
      <c r="J60" s="16" t="n"/>
      <c r="K60" s="16" t="n"/>
      <c r="L60" s="16" t="n"/>
      <c r="M60" s="16" t="n"/>
      <c r="N60" s="16" t="n"/>
      <c r="O60" s="16" t="n"/>
      <c r="P60" s="16" t="n"/>
      <c r="Q60" s="16" t="n"/>
    </row>
    <row r="61" ht="32.05" customHeight="1" s="47">
      <c r="A61" s="8" t="inlineStr">
        <is>
          <t>Supreme Telepathy</t>
        </is>
      </c>
      <c r="B61" s="9" t="inlineStr">
        <is>
          <t>Tech</t>
        </is>
      </c>
      <c r="C61" s="16" t="n">
        <v>700</v>
      </c>
      <c r="D61" s="16" t="n"/>
      <c r="E61" s="16" t="n"/>
      <c r="F61" s="16" t="n"/>
      <c r="G61" s="16" t="n">
        <v>5</v>
      </c>
      <c r="H61" s="17" t="inlineStr">
        <is>
          <t>Send a long message to foe once.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 ht="44.05" customHeight="1" s="47">
      <c r="A62" s="8" t="inlineStr">
        <is>
          <t>Mortgage</t>
        </is>
      </c>
      <c r="B62" s="9" t="inlineStr">
        <is>
          <t>Tech</t>
        </is>
      </c>
      <c r="C62" s="16" t="n">
        <v>0</v>
      </c>
      <c r="D62" s="16" t="n"/>
      <c r="E62" s="16" t="n"/>
      <c r="F62" s="16" t="n"/>
      <c r="G62" s="16" t="n">
        <v>2</v>
      </c>
      <c r="H62" s="17" t="inlineStr">
        <is>
          <t>Receive 1200 Crystals. At the end of this player’s turn, lose 1500 Crystals</t>
        </is>
      </c>
      <c r="J62" s="16" t="n"/>
      <c r="K62" s="16" t="n"/>
      <c r="L62" s="16" t="n"/>
      <c r="M62" s="16" t="n"/>
      <c r="N62" s="16" t="n"/>
      <c r="O62" s="16" t="n"/>
      <c r="P62" s="16" t="n"/>
      <c r="Q62" s="16" t="n"/>
    </row>
    <row r="63" ht="32.05" customHeight="1" s="47">
      <c r="A63" s="8" t="inlineStr">
        <is>
          <t>Big Finger</t>
        </is>
      </c>
      <c r="B63" s="9" t="inlineStr">
        <is>
          <t>Tech</t>
        </is>
      </c>
      <c r="C63" s="16" t="n">
        <v>0</v>
      </c>
      <c r="D63" s="16" t="n"/>
      <c r="E63" s="16" t="n"/>
      <c r="F63" s="16" t="n"/>
      <c r="G63" s="16" t="n">
        <v>4</v>
      </c>
      <c r="H63" s="17" t="inlineStr">
        <is>
          <t>Send a very big improper emoticon bubble to foe</t>
        </is>
      </c>
      <c r="J63" s="16" t="n"/>
      <c r="K63" s="16" t="n"/>
      <c r="L63" s="16" t="n"/>
      <c r="M63" s="16" t="n"/>
      <c r="N63" s="16" t="n"/>
      <c r="O63" s="16" t="n"/>
      <c r="P63" s="16" t="n"/>
      <c r="Q63" s="16" t="n"/>
    </row>
    <row r="64" ht="32.05" customHeight="1" s="47">
      <c r="A64" s="8" t="inlineStr">
        <is>
          <t>Big Love</t>
        </is>
      </c>
      <c r="B64" s="9" t="inlineStr">
        <is>
          <t>Tech</t>
        </is>
      </c>
      <c r="C64" s="16" t="n">
        <v>0</v>
      </c>
      <c r="D64" s="16" t="n"/>
      <c r="E64" s="16" t="n"/>
      <c r="F64" s="16" t="n"/>
      <c r="G64" s="16" t="n">
        <v>4</v>
      </c>
      <c r="H64" s="17" t="inlineStr">
        <is>
          <t>Send a very big lovely emoticon bubble to foe</t>
        </is>
      </c>
      <c r="J64" s="16" t="n"/>
      <c r="K64" s="16" t="n"/>
      <c r="L64" s="16" t="n"/>
      <c r="M64" s="16" t="n"/>
      <c r="N64" s="16" t="n"/>
      <c r="O64" s="16" t="n"/>
      <c r="P64" s="16" t="n"/>
      <c r="Q64" s="16" t="n"/>
    </row>
    <row r="65" ht="56.05" customHeight="1" s="47">
      <c r="A65" s="8" t="inlineStr">
        <is>
          <t>Pretify</t>
        </is>
      </c>
      <c r="B65" s="9" t="inlineStr">
        <is>
          <t>Tech</t>
        </is>
      </c>
      <c r="C65" s="16" t="n">
        <v>1000</v>
      </c>
      <c r="D65" s="16" t="n"/>
      <c r="E65" s="16" t="n"/>
      <c r="F65" s="16" t="n"/>
      <c r="G65" s="16" t="n">
        <v>3</v>
      </c>
      <c r="H65" s="17" t="inlineStr">
        <is>
          <t>+20 DEF permanently to ally unit or foe’s Exposed unit. But its ATK becomes 0 permanently.</t>
        </is>
      </c>
      <c r="I65" t="inlineStr">
        <is>
          <t>wording polish</t>
        </is>
      </c>
      <c r="J65" s="16" t="n"/>
      <c r="K65" s="16" t="n"/>
      <c r="L65" s="16" t="n"/>
      <c r="M65" s="16" t="n"/>
      <c r="N65" s="16" t="n"/>
      <c r="O65" s="16" t="n"/>
      <c r="P65" s="16" t="n"/>
      <c r="Q65" s="16" t="n"/>
    </row>
    <row r="66" ht="44.05" customHeight="1" s="47">
      <c r="A66" s="8" t="inlineStr">
        <is>
          <t>Stone Skin</t>
        </is>
      </c>
      <c r="B66" s="9" t="inlineStr">
        <is>
          <t>Tech</t>
        </is>
      </c>
      <c r="C66" s="16" t="n">
        <v>800</v>
      </c>
      <c r="D66" s="16" t="n"/>
      <c r="E66" s="16" t="n"/>
      <c r="F66" s="16" t="n"/>
      <c r="G66" s="16" t="n">
        <v>2</v>
      </c>
      <c r="H66" s="17" t="inlineStr">
        <is>
          <t>+20 DEF permanently to ally unit. But its ATK becomes 0 permanently.</t>
        </is>
      </c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 ht="32.05" customHeight="1" s="47">
      <c r="A67" s="8" t="inlineStr">
        <is>
          <t>Battle Royale</t>
        </is>
      </c>
      <c r="B67" s="9" t="inlineStr">
        <is>
          <t>Tech</t>
        </is>
      </c>
      <c r="C67" s="16" t="n">
        <v>1000</v>
      </c>
      <c r="D67" s="16" t="n"/>
      <c r="E67" s="16" t="n"/>
      <c r="F67" s="16" t="n"/>
      <c r="G67" s="16" t="n">
        <v>5</v>
      </c>
      <c r="H67" s="17" t="inlineStr">
        <is>
          <t>Both players select 1 of their unit. They gain +30 ATK and DEF</t>
        </is>
      </c>
      <c r="I67" t="inlineStr">
        <is>
          <t>ATK&amp;DEF→ATK and DEF</t>
        </is>
      </c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 ht="56.05" customHeight="1" s="47">
      <c r="A68" s="8" t="inlineStr">
        <is>
          <t>Guerrilla Tactics</t>
        </is>
      </c>
      <c r="B68" s="9" t="inlineStr">
        <is>
          <t>Tech</t>
        </is>
      </c>
      <c r="C68" s="16" t="n">
        <v>1500</v>
      </c>
      <c r="D68" s="16" t="n"/>
      <c r="E68" s="16" t="n"/>
      <c r="F68" s="16" t="n"/>
      <c r="G68" s="16" t="n">
        <v>3</v>
      </c>
      <c r="H68" s="17" t="inlineStr">
        <is>
          <t>Until foe's turn ends: If they attack a non-unit card, flip a coin. Heads: destroy the attacking unit.</t>
        </is>
      </c>
      <c r="I68" t="inlineStr">
        <is>
          <t>Head→Heads</t>
        </is>
      </c>
      <c r="J68" s="16" t="n"/>
      <c r="K68" s="16" t="n"/>
      <c r="L68" s="16" t="n"/>
      <c r="M68" s="16" t="n"/>
      <c r="N68" s="16" t="n"/>
      <c r="O68" s="16" t="n"/>
      <c r="P68" s="16" t="n"/>
      <c r="Q68" s="16" t="n"/>
    </row>
    <row r="69" ht="44.05" customHeight="1" s="47">
      <c r="A69" s="8" t="inlineStr">
        <is>
          <t>Toll</t>
        </is>
      </c>
      <c r="B69" s="9" t="inlineStr">
        <is>
          <t>Tech</t>
        </is>
      </c>
      <c r="C69" s="16" t="n">
        <v>1000</v>
      </c>
      <c r="D69" s="16" t="n"/>
      <c r="E69" s="16" t="n"/>
      <c r="F69" s="16" t="n"/>
      <c r="G69" s="16" t="n">
        <v>2</v>
      </c>
      <c r="H69" s="17" t="inlineStr">
        <is>
          <t>Until foe's turn ends: they have to pay 500 Crystal tax to perform an attack.</t>
        </is>
      </c>
      <c r="I69" t="inlineStr">
        <is>
          <t>wording polish</t>
        </is>
      </c>
      <c r="J69" s="16" t="n"/>
      <c r="K69" s="16" t="n"/>
      <c r="L69" s="16" t="n"/>
      <c r="M69" s="16" t="n"/>
      <c r="N69" s="16" t="n"/>
      <c r="O69" s="16" t="n"/>
      <c r="P69" s="16" t="n"/>
      <c r="Q69" s="16" t="n"/>
    </row>
    <row r="70" ht="32.05" customHeight="1" s="47">
      <c r="A70" s="8" t="inlineStr">
        <is>
          <t>Skull Amulet</t>
        </is>
      </c>
      <c r="B70" s="9" t="inlineStr">
        <is>
          <t>Tech</t>
        </is>
      </c>
      <c r="C70" s="16" t="n">
        <v>300</v>
      </c>
      <c r="D70" s="16" t="n"/>
      <c r="E70" s="16" t="n"/>
      <c r="F70" s="16" t="n"/>
      <c r="G70" s="16" t="n">
        <v>1</v>
      </c>
      <c r="H70" s="17" t="inlineStr">
        <is>
          <t>+5 ATK permanently to 1 Chaos card.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</row>
    <row r="71" ht="32.05" customHeight="1" s="47">
      <c r="A71" s="8" t="inlineStr">
        <is>
          <t>Might</t>
        </is>
      </c>
      <c r="B71" s="9" t="inlineStr">
        <is>
          <t>Tech</t>
        </is>
      </c>
      <c r="C71" s="16" t="n">
        <v>300</v>
      </c>
      <c r="D71" s="16" t="n"/>
      <c r="E71" s="16" t="n"/>
      <c r="F71" s="16" t="n"/>
      <c r="G71" s="16" t="n">
        <v>1</v>
      </c>
      <c r="H71" s="17" t="inlineStr">
        <is>
          <t>+10 ATK to 1 ally Anima card until this turn ends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</row>
    <row r="72" ht="32.05" customHeight="1" s="47">
      <c r="A72" s="8" t="inlineStr">
        <is>
          <t>Arcane Knowledge</t>
        </is>
      </c>
      <c r="B72" s="9" t="inlineStr">
        <is>
          <t>Tech</t>
        </is>
      </c>
      <c r="C72" s="16" t="n">
        <v>500</v>
      </c>
      <c r="D72" s="16" t="n"/>
      <c r="E72" s="16" t="n"/>
      <c r="F72" s="16" t="n"/>
      <c r="G72" s="16" t="n">
        <v>2</v>
      </c>
      <c r="H72" s="17" t="inlineStr">
        <is>
          <t>+5 ATK and DEF to 1 ally Arcane unit until the end of foe’s turn.</t>
        </is>
      </c>
      <c r="I72" t="inlineStr">
        <is>
          <t>ATK&amp;DEF→ATK and DEF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</row>
    <row r="73" ht="44.05" customHeight="1" s="47">
      <c r="A73" s="8" t="inlineStr">
        <is>
          <t>Forest Fire</t>
        </is>
      </c>
      <c r="B73" s="9" t="inlineStr">
        <is>
          <t>Tech</t>
        </is>
      </c>
      <c r="C73" s="16" t="n">
        <v>2000</v>
      </c>
      <c r="D73" s="16" t="n"/>
      <c r="E73" s="16" t="n"/>
      <c r="F73" s="16" t="n"/>
      <c r="G73" s="16" t="n">
        <v>4</v>
      </c>
      <c r="H73" s="17" t="inlineStr">
        <is>
          <t>Destroy all Nature cards on foe’s field. Discard all of this player’s Tech cards.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</row>
    <row r="74" ht="44.05" customHeight="1" s="47">
      <c r="A74" s="8" t="inlineStr">
        <is>
          <t>Black Hole</t>
        </is>
      </c>
      <c r="B74" s="9" t="inlineStr">
        <is>
          <t>Tech</t>
        </is>
      </c>
      <c r="C74" s="16" t="n">
        <v>2000</v>
      </c>
      <c r="D74" s="16" t="n"/>
      <c r="E74" s="16" t="n"/>
      <c r="F74" s="16" t="n"/>
      <c r="G74" s="16" t="n">
        <v>5</v>
      </c>
      <c r="H74" s="17" t="inlineStr">
        <is>
          <t>Destroy all Cosmic cards on foe's field. Discard all your Tech cards.</t>
        </is>
      </c>
      <c r="I74" t="inlineStr">
        <is>
          <t>Cosmo→Cosmic typo; shorten.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</row>
    <row r="75" ht="44.05" customHeight="1" s="47">
      <c r="A75" s="8" t="inlineStr">
        <is>
          <t>Holy Arrival</t>
        </is>
      </c>
      <c r="B75" s="9" t="inlineStr">
        <is>
          <t>Tech</t>
        </is>
      </c>
      <c r="C75" s="16" t="n">
        <v>2000</v>
      </c>
      <c r="D75" s="16" t="n"/>
      <c r="E75" s="16" t="n"/>
      <c r="F75" s="16" t="n"/>
      <c r="G75" s="16" t="n">
        <v>5</v>
      </c>
      <c r="H75" s="17" t="inlineStr">
        <is>
          <t>Destroy all Chaos cards on foe’s field. Discard all of this player’s Tech cards.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 ht="44.05" customHeight="1" s="47">
      <c r="A76" s="8" t="inlineStr">
        <is>
          <t>Corrupted Heaven</t>
        </is>
      </c>
      <c r="B76" s="9" t="inlineStr">
        <is>
          <t>Tech</t>
        </is>
      </c>
      <c r="C76" s="16" t="n">
        <v>2000</v>
      </c>
      <c r="D76" s="16" t="n"/>
      <c r="E76" s="16" t="n"/>
      <c r="F76" s="16" t="n"/>
      <c r="G76" s="16" t="n">
        <v>5</v>
      </c>
      <c r="H76" s="17" t="inlineStr">
        <is>
          <t>Destroy all Divine cards on foe’s field. Discard all of this player’s Tech cards.</t>
        </is>
      </c>
      <c r="J76" s="16" t="n"/>
      <c r="K76" s="16" t="n"/>
      <c r="L76" s="16" t="n"/>
      <c r="M76" s="16" t="n"/>
      <c r="N76" s="16" t="n"/>
      <c r="O76" s="16" t="n"/>
      <c r="P76" s="16" t="n"/>
      <c r="Q76" s="16" t="n"/>
    </row>
    <row r="77" ht="44.05" customHeight="1" s="47">
      <c r="A77" s="8" t="inlineStr">
        <is>
          <t>Earthquake</t>
        </is>
      </c>
      <c r="B77" s="9" t="inlineStr">
        <is>
          <t>Tech</t>
        </is>
      </c>
      <c r="C77" s="16" t="n">
        <v>2000</v>
      </c>
      <c r="D77" s="16" t="n"/>
      <c r="E77" s="16" t="n"/>
      <c r="F77" s="16" t="n"/>
      <c r="G77" s="16" t="n">
        <v>5</v>
      </c>
      <c r="H77" s="17" t="inlineStr">
        <is>
          <t>Destroy all Anima cards on foe’s field. Discard all of this player’s Tech cards.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 ht="44.05" customHeight="1" s="47">
      <c r="A78" s="8" t="inlineStr">
        <is>
          <t>Lab Destruction</t>
        </is>
      </c>
      <c r="B78" s="9" t="inlineStr">
        <is>
          <t>Tech</t>
        </is>
      </c>
      <c r="C78" s="16" t="n">
        <v>2000</v>
      </c>
      <c r="D78" s="16" t="n"/>
      <c r="E78" s="16" t="n"/>
      <c r="F78" s="16" t="n"/>
      <c r="G78" s="16" t="n">
        <v>5</v>
      </c>
      <c r="H78" s="17" t="inlineStr">
        <is>
          <t>Destroy all Bio cards on foe’s field. Discard all of this player’s Tech cards.</t>
        </is>
      </c>
      <c r="J78" s="16" t="n"/>
      <c r="K78" s="16" t="n"/>
      <c r="L78" s="16" t="n"/>
      <c r="M78" s="16" t="n"/>
      <c r="N78" s="16" t="n"/>
      <c r="O78" s="16" t="n"/>
      <c r="P78" s="16" t="n"/>
      <c r="Q78" s="16" t="n"/>
    </row>
    <row r="79" ht="44.05" customHeight="1" s="47">
      <c r="A79" s="8" t="inlineStr">
        <is>
          <t>Anti-magic Field</t>
        </is>
      </c>
      <c r="B79" s="9" t="inlineStr">
        <is>
          <t>Tech</t>
        </is>
      </c>
      <c r="C79" s="16" t="n">
        <v>2000</v>
      </c>
      <c r="D79" s="16" t="n"/>
      <c r="E79" s="16" t="n"/>
      <c r="F79" s="16" t="n"/>
      <c r="G79" s="16" t="n">
        <v>5</v>
      </c>
      <c r="H79" s="17" t="inlineStr">
        <is>
          <t>Destroy all Arcane cards on foe’s field. Discard all of this player’s Tech cards.</t>
        </is>
      </c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 ht="20.05" customHeight="1" s="47">
      <c r="A80" s="8" t="inlineStr">
        <is>
          <t>Air Shower</t>
        </is>
      </c>
      <c r="B80" s="9" t="inlineStr">
        <is>
          <t>Tech</t>
        </is>
      </c>
      <c r="C80" s="16" t="n">
        <v>1200</v>
      </c>
      <c r="D80" s="16" t="n"/>
      <c r="E80" s="16" t="n"/>
      <c r="F80" s="16" t="n"/>
      <c r="G80" s="16" t="n">
        <v>4</v>
      </c>
      <c r="H80" s="17" t="inlineStr">
        <is>
          <t>Clear all flags on the field</t>
        </is>
      </c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 ht="44.05" customHeight="1" s="47">
      <c r="A81" s="8" t="inlineStr">
        <is>
          <t>Mining Tax</t>
        </is>
      </c>
      <c r="B81" s="9" t="inlineStr">
        <is>
          <t>Tech</t>
        </is>
      </c>
      <c r="C81" s="16" t="n">
        <v>2000</v>
      </c>
      <c r="D81" s="16" t="n"/>
      <c r="E81" s="16" t="n"/>
      <c r="F81" s="16" t="n"/>
      <c r="G81" s="16" t="n">
        <v>3</v>
      </c>
      <c r="H81" s="17" t="inlineStr">
        <is>
          <t>Until the end of foe’s turn, if any player attacks a Dead End, that player loses 200 Crystals</t>
        </is>
      </c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 ht="32.05" customHeight="1" s="47">
      <c r="A82" s="8" t="inlineStr">
        <is>
          <t>Ouija</t>
        </is>
      </c>
      <c r="B82" s="9" t="inlineStr">
        <is>
          <t>Tech</t>
        </is>
      </c>
      <c r="C82" s="16" t="n">
        <v>1000</v>
      </c>
      <c r="D82" s="16" t="n"/>
      <c r="E82" s="16" t="n"/>
      <c r="F82" s="16" t="n"/>
      <c r="G82" s="16" t="n">
        <v>3</v>
      </c>
      <c r="H82" s="17" t="inlineStr">
        <is>
          <t>Reveal foe’s cells up to number of this player’s unit in the void.</t>
        </is>
      </c>
      <c r="J82" s="16" t="n"/>
      <c r="K82" s="16" t="n"/>
      <c r="L82" s="16" t="n"/>
      <c r="M82" s="16" t="n"/>
      <c r="N82" s="16" t="n"/>
      <c r="O82" s="16" t="n"/>
      <c r="P82" s="16" t="n"/>
      <c r="Q82" s="16" t="n"/>
    </row>
    <row r="83" ht="32.05" customHeight="1" s="47">
      <c r="A83" s="8" t="inlineStr">
        <is>
          <t>Deep Mine</t>
        </is>
      </c>
      <c r="B83" s="9" t="inlineStr">
        <is>
          <t>Tech</t>
        </is>
      </c>
      <c r="C83" s="16" t="n">
        <v>500</v>
      </c>
      <c r="D83" s="16" t="n"/>
      <c r="E83" s="16" t="n"/>
      <c r="F83" s="16" t="n"/>
      <c r="G83" s="16" t="n">
        <v>2</v>
      </c>
      <c r="H83" s="17" t="inlineStr">
        <is>
          <t>Flip a coin. Heads: reveal 2 cell on foe's side of the field</t>
        </is>
      </c>
      <c r="I83" t="inlineStr">
        <is>
          <t>square→cell; Head→Heads</t>
        </is>
      </c>
      <c r="J83" s="16" t="n"/>
      <c r="K83" s="16" t="n"/>
      <c r="L83" s="16" t="n"/>
      <c r="M83" s="16" t="n"/>
      <c r="N83" s="16" t="n"/>
      <c r="O83" s="16" t="n"/>
      <c r="P83" s="16" t="n"/>
      <c r="Q83" s="16" t="n"/>
    </row>
    <row r="84" ht="32.05" customHeight="1" s="47">
      <c r="A84" s="8" t="inlineStr">
        <is>
          <t>Gold Panning</t>
        </is>
      </c>
      <c r="B84" s="9" t="inlineStr">
        <is>
          <t>Tech</t>
        </is>
      </c>
      <c r="C84" s="16" t="n">
        <v>250</v>
      </c>
      <c r="D84" s="16" t="n"/>
      <c r="E84" s="16" t="n"/>
      <c r="F84" s="16" t="n"/>
      <c r="G84" s="16" t="n">
        <v>1</v>
      </c>
      <c r="H84" s="17" t="inlineStr">
        <is>
          <t>Flip a coin. Heads: reveal 1 cell on foe's side of the field</t>
        </is>
      </c>
      <c r="I84" t="inlineStr">
        <is>
          <t>square→cell; Head→Heads</t>
        </is>
      </c>
      <c r="J84" s="16" t="n"/>
      <c r="K84" s="16" t="n"/>
      <c r="L84" s="16" t="n"/>
      <c r="M84" s="16" t="n"/>
      <c r="N84" s="16" t="n"/>
      <c r="O84" s="16" t="n"/>
      <c r="P84" s="16" t="n"/>
      <c r="Q84" s="16" t="n"/>
    </row>
    <row r="85" ht="56.05" customHeight="1" s="47">
      <c r="A85" s="8" t="inlineStr">
        <is>
          <t>Flashlight</t>
        </is>
      </c>
      <c r="B85" s="9" t="inlineStr">
        <is>
          <t>Tech</t>
        </is>
      </c>
      <c r="C85" s="16" t="n">
        <v>1500</v>
      </c>
      <c r="D85" s="16" t="n"/>
      <c r="E85" s="16" t="n"/>
      <c r="F85" s="16" t="n"/>
      <c r="G85" s="16" t="n">
        <v>4</v>
      </c>
      <c r="H85" s="17" t="inlineStr">
        <is>
          <t>Reveal 1 column on foe’s side. Cannot perform attack this turn. Cannot use this card if already attacked this turn.</t>
        </is>
      </c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 ht="32.05" customHeight="1" s="47">
      <c r="A86" s="8" t="inlineStr">
        <is>
          <t>Lantern</t>
        </is>
      </c>
      <c r="B86" s="9" t="inlineStr">
        <is>
          <t>Tech</t>
        </is>
      </c>
      <c r="C86" s="16" t="n">
        <v>1000</v>
      </c>
      <c r="D86" s="16" t="n"/>
      <c r="E86" s="16" t="n"/>
      <c r="F86" s="16" t="n"/>
      <c r="G86" s="16" t="n">
        <v>3</v>
      </c>
      <c r="H86" s="17" t="inlineStr">
        <is>
          <t>Reveal 2 adjacent cells on foe's side of the field.</t>
        </is>
      </c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 ht="44.05" customHeight="1" s="47">
      <c r="A87" s="8" t="inlineStr">
        <is>
          <t>GPS Tracker</t>
        </is>
      </c>
      <c r="B87" s="9" t="inlineStr">
        <is>
          <t>Tech</t>
        </is>
      </c>
      <c r="C87" s="16" t="n">
        <v>800</v>
      </c>
      <c r="D87" s="16" t="n"/>
      <c r="E87" s="16" t="n"/>
      <c r="F87" s="16" t="n"/>
      <c r="G87" s="16" t="n">
        <v>2</v>
      </c>
      <c r="H87" s="17" t="inlineStr">
        <is>
          <t>Reveal 2 adjacent cells next to Exposed unit on foe's side of the field.</t>
        </is>
      </c>
      <c r="I87" t="inlineStr">
        <is>
          <t>wording polish</t>
        </is>
      </c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 ht="20.05" customHeight="1" s="47">
      <c r="A88" s="8" t="inlineStr">
        <is>
          <t>Blessing</t>
        </is>
      </c>
      <c r="B88" s="9" t="inlineStr">
        <is>
          <t>Tech</t>
        </is>
      </c>
      <c r="C88" s="16" t="n">
        <v>200</v>
      </c>
      <c r="D88" s="16" t="n"/>
      <c r="E88" s="16" t="n"/>
      <c r="F88" s="16" t="n"/>
      <c r="G88" s="16" t="n">
        <v>2</v>
      </c>
      <c r="H88" s="17" t="inlineStr">
        <is>
          <t>Clear all flags from 1 ally unit</t>
        </is>
      </c>
      <c r="J88" s="16" t="n"/>
      <c r="K88" s="16" t="n"/>
      <c r="L88" s="16" t="n"/>
      <c r="M88" s="16" t="n"/>
      <c r="N88" s="16" t="n"/>
      <c r="O88" s="16" t="n"/>
      <c r="P88" s="16" t="n"/>
      <c r="Q88" s="16" t="n"/>
    </row>
    <row r="89" ht="32.05" customHeight="1" s="47">
      <c r="A89" s="8" t="inlineStr">
        <is>
          <t>Bright Sun</t>
        </is>
      </c>
      <c r="B89" s="9" t="inlineStr">
        <is>
          <t>Tech</t>
        </is>
      </c>
      <c r="C89" s="16" t="n">
        <v>1500</v>
      </c>
      <c r="D89" s="16" t="n"/>
      <c r="E89" s="16" t="n"/>
      <c r="F89" s="16" t="n"/>
      <c r="G89" s="16" t="n">
        <v>3</v>
      </c>
      <c r="H89" s="17" t="inlineStr">
        <is>
          <t>Clear all flags from all cards on the field</t>
        </is>
      </c>
      <c r="J89" s="16" t="n"/>
      <c r="K89" s="16" t="n"/>
      <c r="L89" s="16" t="n"/>
      <c r="M89" s="16" t="n"/>
      <c r="N89" s="16" t="n"/>
      <c r="O89" s="16" t="n"/>
      <c r="P89" s="16" t="n"/>
      <c r="Q89" s="16" t="n"/>
    </row>
    <row r="90" ht="44.05" customHeight="1" s="47">
      <c r="A90" s="8" t="inlineStr">
        <is>
          <t>Rugpull</t>
        </is>
      </c>
      <c r="B90" s="9" t="inlineStr">
        <is>
          <t>Tech</t>
        </is>
      </c>
      <c r="C90" s="16" t="n">
        <v>500</v>
      </c>
      <c r="D90" s="16" t="n"/>
      <c r="E90" s="16" t="n"/>
      <c r="F90" s="16" t="n"/>
      <c r="G90" s="16" t="n">
        <v>5</v>
      </c>
      <c r="H90" s="17" t="inlineStr">
        <is>
          <t>Both players lose 2000 Crystals. Discard all Tech in this player’s hands.</t>
        </is>
      </c>
      <c r="I90" t="inlineStr">
        <is>
          <t>wording polish</t>
        </is>
      </c>
      <c r="J90" s="16" t="n"/>
      <c r="K90" s="16" t="n"/>
      <c r="L90" s="16" t="n"/>
      <c r="M90" s="16" t="n"/>
      <c r="N90" s="16" t="n"/>
      <c r="O90" s="16" t="n"/>
      <c r="P90" s="16" t="n"/>
      <c r="Q90" s="16" t="n"/>
    </row>
    <row r="91" ht="56.05" customHeight="1" s="47">
      <c r="A91" s="8" t="inlineStr">
        <is>
          <t>Crack the Whip</t>
        </is>
      </c>
      <c r="B91" s="9" t="inlineStr">
        <is>
          <t>Tech</t>
        </is>
      </c>
      <c r="C91" s="16" t="n">
        <v>1000</v>
      </c>
      <c r="D91" s="16" t="n"/>
      <c r="E91" s="16" t="n"/>
      <c r="F91" s="16" t="n"/>
      <c r="G91" s="16" t="n">
        <v>2</v>
      </c>
      <c r="H91" s="17" t="inlineStr">
        <is>
          <t>Once: this player’s attacking unit can attack twice. But it cannot attack again until the end of this player’s next turn.</t>
        </is>
      </c>
      <c r="I91" t="inlineStr">
        <is>
          <t>wording polish</t>
        </is>
      </c>
      <c r="J91" s="16" t="n"/>
      <c r="K91" s="17" t="inlineStr">
        <is>
          <t>Need Revise</t>
        </is>
      </c>
      <c r="L91" s="16" t="n"/>
      <c r="M91" s="16" t="n"/>
      <c r="N91" s="16" t="n"/>
      <c r="O91" s="16" t="n"/>
      <c r="P91" s="16" t="n"/>
      <c r="Q91" s="16" t="n"/>
    </row>
    <row r="92" ht="32.05" customHeight="1" s="47">
      <c r="A92" s="8" t="inlineStr">
        <is>
          <t>Full open fire</t>
        </is>
      </c>
      <c r="B92" s="9" t="inlineStr">
        <is>
          <t>Tech</t>
        </is>
      </c>
      <c r="C92" s="16" t="n">
        <v>1500</v>
      </c>
      <c r="D92" s="16" t="n"/>
      <c r="E92" s="16" t="n"/>
      <c r="F92" s="16" t="n"/>
      <c r="G92" s="16" t="n">
        <v>4</v>
      </c>
      <c r="H92" s="17" t="inlineStr">
        <is>
          <t>Both players gain 2 additional attack for one of their turn.</t>
        </is>
      </c>
      <c r="J92" s="16" t="n"/>
      <c r="K92" s="16" t="n"/>
      <c r="L92" s="16" t="n"/>
      <c r="M92" s="16" t="n"/>
      <c r="N92" s="16" t="n"/>
      <c r="O92" s="16" t="n"/>
      <c r="P92" s="16" t="n"/>
      <c r="Q92" s="16" t="n"/>
    </row>
    <row r="93" ht="44.05" customHeight="1" s="47">
      <c r="A93" s="8" t="inlineStr">
        <is>
          <t>Service Charge</t>
        </is>
      </c>
      <c r="B93" s="9" t="inlineStr">
        <is>
          <t>Tech</t>
        </is>
      </c>
      <c r="C93" s="16" t="n">
        <v>300</v>
      </c>
      <c r="D93" s="16" t="n"/>
      <c r="E93" s="16" t="n"/>
      <c r="F93" s="16" t="n"/>
      <c r="G93" s="16" t="n">
        <v>1</v>
      </c>
      <c r="H93" s="17" t="inlineStr">
        <is>
          <t>Until the end of foe's turn. Foe have to pay 50 Crystal tax to perform an attack.</t>
        </is>
      </c>
      <c r="J93" s="16" t="n"/>
      <c r="K93" s="16" t="n"/>
      <c r="L93" s="16" t="n"/>
      <c r="M93" s="16" t="n"/>
      <c r="N93" s="16" t="n"/>
      <c r="O93" s="16" t="n"/>
      <c r="P93" s="16" t="n"/>
      <c r="Q93" s="16" t="n"/>
    </row>
    <row r="94" ht="56.05" customHeight="1" s="47">
      <c r="A94" s="8" t="inlineStr">
        <is>
          <t>Lazy Scout</t>
        </is>
      </c>
      <c r="B94" s="9" t="inlineStr">
        <is>
          <t>Tech</t>
        </is>
      </c>
      <c r="C94" s="16" t="n">
        <v>200</v>
      </c>
      <c r="D94" s="16" t="n"/>
      <c r="E94" s="16" t="n"/>
      <c r="F94" s="16" t="n"/>
      <c r="G94" s="16" t="n">
        <v>1</v>
      </c>
      <c r="H94" s="17" t="inlineStr">
        <is>
          <t>Reveal 1 foe’s cell. This player cannot perform any attack. Cannot use this card if already attacked.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</row>
    <row r="95" ht="44.05" customHeight="1" s="47">
      <c r="A95" s="8" t="inlineStr">
        <is>
          <t>Last Gambit</t>
        </is>
      </c>
      <c r="B95" s="9" t="inlineStr">
        <is>
          <t>Tech</t>
        </is>
      </c>
      <c r="C95" s="16" t="n">
        <v>0</v>
      </c>
      <c r="D95" s="16" t="n"/>
      <c r="E95" s="16" t="n"/>
      <c r="F95" s="16" t="n"/>
      <c r="G95" s="16" t="n">
        <v>1</v>
      </c>
      <c r="H95" s="17" t="inlineStr">
        <is>
          <t>If this player have 5 or less card on the field, destroy 1 foe’s card.</t>
        </is>
      </c>
      <c r="J95" s="16" t="n"/>
      <c r="K95" s="16" t="n"/>
      <c r="L95" s="16" t="n"/>
      <c r="M95" s="16" t="n"/>
      <c r="N95" s="16" t="n"/>
      <c r="O95" s="16" t="n"/>
      <c r="P95" s="16" t="n"/>
      <c r="Q95" s="16" t="n"/>
    </row>
    <row r="96" ht="32.05" customHeight="1" s="47">
      <c r="A96" s="8" t="inlineStr">
        <is>
          <t>Trash Penalty</t>
        </is>
      </c>
      <c r="B96" s="9" t="inlineStr">
        <is>
          <t>Tech</t>
        </is>
      </c>
      <c r="C96" s="16" t="n">
        <v>0</v>
      </c>
      <c r="D96" s="16" t="n"/>
      <c r="E96" s="16" t="n"/>
      <c r="F96" s="16" t="n"/>
      <c r="G96" s="16" t="n">
        <v>1</v>
      </c>
      <c r="H96" s="17" t="inlineStr">
        <is>
          <t>Foe choose either clearing all of their bluffs or take 500 damage</t>
        </is>
      </c>
      <c r="J96" s="16" t="n"/>
      <c r="K96" s="16" t="n"/>
      <c r="L96" s="16" t="n"/>
      <c r="M96" s="16" t="n"/>
      <c r="N96" s="16" t="n"/>
      <c r="O96" s="16" t="n"/>
      <c r="P96" s="16" t="n"/>
      <c r="Q96" s="16" t="n"/>
    </row>
    <row r="97" ht="44.05" customHeight="1" s="47">
      <c r="A97" s="8" t="inlineStr">
        <is>
          <t>Silence Zone</t>
        </is>
      </c>
      <c r="B97" s="9" t="inlineStr">
        <is>
          <t>Tech</t>
        </is>
      </c>
      <c r="C97" s="16" t="n">
        <v>1000</v>
      </c>
      <c r="D97" s="16" t="n"/>
      <c r="E97" s="16" t="n"/>
      <c r="F97" s="16" t="n"/>
      <c r="G97" s="16" t="n">
        <v>1</v>
      </c>
      <c r="H97" s="17" t="inlineStr">
        <is>
          <t>Clear all bluffs from both players. No one can use bluff ever again during this duel.</t>
        </is>
      </c>
      <c r="J97" s="16" t="n"/>
      <c r="K97" s="16" t="n"/>
      <c r="L97" s="16" t="n"/>
      <c r="M97" s="16" t="n"/>
      <c r="N97" s="16" t="n"/>
      <c r="O97" s="16" t="n"/>
      <c r="P97" s="16" t="n"/>
      <c r="Q97" s="16" t="n"/>
    </row>
    <row r="98" ht="32.05" customHeight="1" s="47">
      <c r="A98" s="8" t="inlineStr">
        <is>
          <t>Big Mouth</t>
        </is>
      </c>
      <c r="B98" s="9" t="inlineStr">
        <is>
          <t>Tech</t>
        </is>
      </c>
      <c r="C98" s="16" t="n">
        <v>0</v>
      </c>
      <c r="D98" s="16" t="n"/>
      <c r="E98" s="16" t="n"/>
      <c r="F98" s="16" t="n"/>
      <c r="G98" s="16" t="n">
        <v>1</v>
      </c>
      <c r="H98" s="17" t="inlineStr">
        <is>
          <t>Select 1 cell. Bluff on that cell becomes large permanently</t>
        </is>
      </c>
      <c r="J98" s="16" t="n"/>
      <c r="K98" s="16" t="n"/>
      <c r="L98" s="16" t="n"/>
      <c r="M98" s="16" t="n"/>
      <c r="N98" s="16" t="n"/>
      <c r="O98" s="16" t="n"/>
      <c r="P98" s="16" t="n"/>
      <c r="Q98" s="16" t="n"/>
    </row>
    <row r="99" ht="32.05" customHeight="1" s="47">
      <c r="A99" s="8" t="inlineStr">
        <is>
          <t>Bare Fist Fight</t>
        </is>
      </c>
      <c r="B99" s="9" t="inlineStr">
        <is>
          <t>Tech</t>
        </is>
      </c>
      <c r="C99" s="16" t="n">
        <v>0</v>
      </c>
      <c r="D99" s="16" t="n"/>
      <c r="E99" s="16" t="n"/>
      <c r="F99" s="16" t="n"/>
      <c r="G99" s="16" t="n">
        <v>1</v>
      </c>
      <c r="H99" s="17" t="inlineStr">
        <is>
          <t>Both players select and discard 1 Tech card from their hand.</t>
        </is>
      </c>
      <c r="I99" t="inlineStr">
        <is>
          <t>wording polish</t>
        </is>
      </c>
      <c r="J99" s="16" t="n"/>
      <c r="K99" s="16" t="n"/>
      <c r="L99" s="16" t="n"/>
      <c r="M99" s="16" t="n"/>
      <c r="N99" s="16" t="n"/>
      <c r="O99" s="16" t="n"/>
      <c r="P99" s="16" t="n"/>
      <c r="Q99" s="16" t="n"/>
    </row>
    <row r="100" ht="44.05" customHeight="1" s="47">
      <c r="A100" s="8" t="inlineStr">
        <is>
          <t>Mine Detector</t>
        </is>
      </c>
      <c r="B100" s="9" t="inlineStr">
        <is>
          <t>Tech</t>
        </is>
      </c>
      <c r="C100" s="16" t="n">
        <v>500</v>
      </c>
      <c r="D100" s="16" t="n"/>
      <c r="E100" s="16" t="n"/>
      <c r="F100" s="16" t="n"/>
      <c r="G100" s="16" t="n">
        <v>2</v>
      </c>
      <c r="H100" s="17" t="inlineStr">
        <is>
          <t>Reveal 1 card on foe’s field. If it’s a trap, destroy it and gain 200 Crystals</t>
        </is>
      </c>
      <c r="J100" s="16" t="n"/>
      <c r="K100" s="16" t="n"/>
      <c r="L100" s="16" t="n"/>
      <c r="M100" s="16" t="n"/>
      <c r="N100" s="16" t="n"/>
      <c r="O100" s="16" t="n"/>
      <c r="P100" s="16" t="n"/>
      <c r="Q100" s="16" t="n"/>
    </row>
    <row r="101" ht="44.05" customHeight="1" s="47">
      <c r="A101" s="8" t="inlineStr">
        <is>
          <t>Natural Healing</t>
        </is>
      </c>
      <c r="B101" s="9" t="inlineStr">
        <is>
          <t>Tech</t>
        </is>
      </c>
      <c r="C101" s="16" t="n">
        <v>0</v>
      </c>
      <c r="D101" s="16" t="n"/>
      <c r="E101" s="16" t="n"/>
      <c r="F101" s="16" t="n"/>
      <c r="G101" s="16" t="n">
        <v>2</v>
      </c>
      <c r="H101" s="17" t="inlineStr">
        <is>
          <t>If all Exposed ally units are Nature card, gain 40 Crystals for each of them</t>
        </is>
      </c>
      <c r="I101" t="inlineStr">
        <is>
          <t>wording polish</t>
        </is>
      </c>
      <c r="J101" s="16" t="n"/>
      <c r="K101" s="16" t="n"/>
      <c r="L101" s="16" t="n"/>
      <c r="M101" s="16" t="n"/>
      <c r="N101" s="16" t="n"/>
      <c r="O101" s="16" t="n"/>
      <c r="P101" s="16" t="n"/>
      <c r="Q101" s="16" t="n"/>
    </row>
    <row r="102" ht="44.05" customHeight="1" s="47">
      <c r="A102" s="8" t="inlineStr">
        <is>
          <t>Third Eye</t>
        </is>
      </c>
      <c r="B102" s="9" t="inlineStr">
        <is>
          <t>Tech</t>
        </is>
      </c>
      <c r="C102" s="16" t="n">
        <v>600</v>
      </c>
      <c r="D102" s="16" t="n"/>
      <c r="E102" s="16" t="n"/>
      <c r="F102" s="16" t="n"/>
      <c r="G102" s="16" t="n">
        <v>2</v>
      </c>
      <c r="H102" s="17" t="inlineStr">
        <is>
          <t>If this is the last Tech card on this player’s hand, reveal 3 cards on foe’s field</t>
        </is>
      </c>
      <c r="I102" t="inlineStr">
        <is>
          <t>wording polish</t>
        </is>
      </c>
      <c r="J102" s="16" t="n"/>
      <c r="K102" s="16" t="n"/>
      <c r="L102" s="16" t="n"/>
      <c r="M102" s="16" t="n"/>
      <c r="N102" s="16" t="n"/>
      <c r="O102" s="16" t="n"/>
      <c r="P102" s="16" t="n"/>
      <c r="Q102" s="16" t="n"/>
    </row>
    <row r="103" ht="56.05" customHeight="1" s="47">
      <c r="A103" s="8" t="inlineStr">
        <is>
          <t>Punching Bag</t>
        </is>
      </c>
      <c r="B103" s="9" t="inlineStr">
        <is>
          <t>Tech</t>
        </is>
      </c>
      <c r="C103" s="16" t="n">
        <v>500</v>
      </c>
      <c r="D103" s="16" t="n"/>
      <c r="E103" s="16" t="n"/>
      <c r="F103" s="16" t="n"/>
      <c r="G103" s="16" t="n">
        <v>2</v>
      </c>
      <c r="H103" s="17" t="inlineStr">
        <is>
          <t>1 ally unit’s ATK and DEF becomes 0 permanently. It cannot be destroyed until the end of foe’s turn.</t>
        </is>
      </c>
      <c r="I103" t="inlineStr">
        <is>
          <t>ATK&amp;DEF→ATK and DEF</t>
        </is>
      </c>
      <c r="J103" s="16" t="n"/>
      <c r="K103" s="16" t="n"/>
      <c r="L103" s="16" t="n"/>
      <c r="M103" s="16" t="n"/>
      <c r="N103" s="16" t="n"/>
      <c r="O103" s="16" t="n"/>
      <c r="P103" s="16" t="n"/>
      <c r="Q103" s="16" t="n"/>
    </row>
    <row r="104" ht="44.05" customHeight="1" s="47">
      <c r="A104" s="8" t="inlineStr">
        <is>
          <t>Scattered Shot</t>
        </is>
      </c>
      <c r="B104" s="9" t="inlineStr">
        <is>
          <t>Tech</t>
        </is>
      </c>
      <c r="C104" s="16" t="n">
        <v>2000</v>
      </c>
      <c r="D104" s="16" t="n"/>
      <c r="E104" s="16" t="n"/>
      <c r="F104" s="16" t="n"/>
      <c r="G104" s="16" t="n">
        <v>4</v>
      </c>
      <c r="H104" s="17" t="inlineStr">
        <is>
          <t>Flip 3 coins. Destroy foe’s Exposed unit equal to number of heads. Foe pay no Crystal cost.</t>
        </is>
      </c>
      <c r="I104" t="inlineStr">
        <is>
          <t>wording polish</t>
        </is>
      </c>
      <c r="J104" s="16" t="n"/>
      <c r="K104" s="17" t="inlineStr">
        <is>
          <t>Yes</t>
        </is>
      </c>
      <c r="L104" s="16" t="n"/>
      <c r="M104" s="16" t="n"/>
      <c r="N104" s="16" t="n"/>
      <c r="O104" s="16" t="n"/>
      <c r="P104" s="16" t="n"/>
      <c r="Q104" s="16" t="n"/>
    </row>
    <row r="105" ht="32.05" customHeight="1" s="47">
      <c r="A105" s="8" t="inlineStr">
        <is>
          <t>Spotlight</t>
        </is>
      </c>
      <c r="B105" s="9" t="inlineStr">
        <is>
          <t>Tech</t>
        </is>
      </c>
      <c r="C105" s="16" t="n">
        <v>1500</v>
      </c>
      <c r="D105" s="16" t="n"/>
      <c r="E105" s="16" t="n"/>
      <c r="F105" s="16" t="n"/>
      <c r="G105" s="16" t="n">
        <v>4</v>
      </c>
      <c r="H105" s="17" t="inlineStr">
        <is>
          <t>Flip 5 coins. Reveal foe’s cell equal to number of heads</t>
        </is>
      </c>
      <c r="J105" s="16" t="n"/>
      <c r="K105" s="16" t="n"/>
      <c r="L105" s="16" t="n"/>
      <c r="M105" s="16" t="n"/>
      <c r="N105" s="16" t="n"/>
      <c r="O105" s="16" t="n"/>
      <c r="P105" s="16" t="n"/>
      <c r="Q105" s="16" t="n"/>
    </row>
    <row r="106" ht="32.05" customHeight="1" s="47">
      <c r="A106" s="8" t="inlineStr">
        <is>
          <t>Tight Door</t>
        </is>
      </c>
      <c r="B106" s="9" t="inlineStr">
        <is>
          <t>Tech</t>
        </is>
      </c>
      <c r="C106" s="16" t="n">
        <v>0</v>
      </c>
      <c r="D106" s="16" t="n"/>
      <c r="E106" s="16" t="n"/>
      <c r="F106" s="16" t="n"/>
      <c r="G106" s="16" t="n">
        <v>1</v>
      </c>
      <c r="H106" s="17" t="inlineStr">
        <is>
          <t>Next turn, foe can attack only once</t>
        </is>
      </c>
      <c r="J106" s="16" t="n"/>
      <c r="K106" s="16" t="n"/>
      <c r="L106" s="16" t="n"/>
      <c r="M106" s="16" t="n"/>
      <c r="N106" s="16" t="n"/>
      <c r="O106" s="16" t="n"/>
      <c r="P106" s="16" t="n"/>
      <c r="Q106" s="16" t="n"/>
    </row>
    <row r="107" ht="68.05" customHeight="1" s="47">
      <c r="A107" s="8" t="inlineStr">
        <is>
          <t>Katana Strike</t>
        </is>
      </c>
      <c r="B107" s="9" t="inlineStr">
        <is>
          <t>Tech</t>
        </is>
      </c>
      <c r="C107" s="16" t="n">
        <v>2000</v>
      </c>
      <c r="D107" s="16" t="n"/>
      <c r="E107" s="16" t="n"/>
      <c r="F107" s="16" t="n"/>
      <c r="G107" s="16" t="n">
        <v>3</v>
      </c>
      <c r="H107" s="17" t="inlineStr">
        <is>
          <t>Choose 1 Exposed foe unit. Destroy other Exposed units in its column. Foe pays no Crystal cost.</t>
        </is>
      </c>
      <c r="I107" t="inlineStr">
        <is>
          <t>Shortened; Exposed/cell/Crystal cost.</t>
        </is>
      </c>
      <c r="J107" s="16" t="n"/>
      <c r="K107" s="16" t="n"/>
      <c r="L107" s="16" t="n"/>
      <c r="M107" s="16" t="n"/>
      <c r="N107" s="16" t="n"/>
      <c r="O107" s="16" t="n"/>
      <c r="P107" s="16" t="n"/>
      <c r="Q107" s="16" t="n"/>
    </row>
    <row r="108" ht="44.05" customHeight="1" s="47">
      <c r="A108" s="8" t="inlineStr">
        <is>
          <t>Mining Season</t>
        </is>
      </c>
      <c r="B108" s="9" t="inlineStr">
        <is>
          <t>Tech</t>
        </is>
      </c>
      <c r="C108" s="16" t="n">
        <v>300</v>
      </c>
      <c r="D108" s="16" t="n"/>
      <c r="E108" s="16" t="n"/>
      <c r="F108" s="16" t="n"/>
      <c r="G108" s="16" t="n"/>
      <c r="H108" s="17" t="inlineStr">
        <is>
          <t>Until foe’s turn ends, both players can only target face-down unit</t>
        </is>
      </c>
      <c r="I108" t="inlineStr">
        <is>
          <t>wording polish</t>
        </is>
      </c>
      <c r="J108" s="16" t="n"/>
      <c r="K108" s="16" t="n"/>
      <c r="L108" s="16" t="n"/>
      <c r="M108" s="16" t="n"/>
      <c r="N108" s="16" t="n"/>
      <c r="O108" s="16" t="n"/>
      <c r="P108" s="16" t="n"/>
      <c r="Q108" s="16" t="n"/>
    </row>
    <row r="109" ht="56.05" customHeight="1" s="47">
      <c r="A109" s="8" t="inlineStr">
        <is>
          <t>Throne Duel</t>
        </is>
      </c>
      <c r="B109" s="9" t="inlineStr">
        <is>
          <t>Tech</t>
        </is>
      </c>
      <c r="C109" s="16" t="n">
        <v>800</v>
      </c>
      <c r="D109" s="16" t="n"/>
      <c r="E109" s="16" t="n"/>
      <c r="F109" s="16" t="n"/>
      <c r="G109" s="16" t="n"/>
      <c r="H109" s="17" t="inlineStr">
        <is>
          <t>Until foe’s turn ends, both players can only attack with units costing 800 or more cost. Cannot use if already attacked.</t>
        </is>
      </c>
      <c r="I109" t="inlineStr">
        <is>
          <t>wording polish</t>
        </is>
      </c>
      <c r="J109" s="16" t="n"/>
      <c r="K109" s="16" t="n"/>
      <c r="L109" s="16" t="n"/>
      <c r="M109" s="16" t="n"/>
      <c r="N109" s="16" t="n"/>
      <c r="O109" s="16" t="n"/>
      <c r="P109" s="16" t="n"/>
      <c r="Q109" s="16" t="n"/>
    </row>
    <row r="110" ht="56.05" customHeight="1" s="47">
      <c r="A110" s="8" t="inlineStr">
        <is>
          <t>Joint Maneuver</t>
        </is>
      </c>
      <c r="B110" s="9" t="inlineStr">
        <is>
          <t>Tech</t>
        </is>
      </c>
      <c r="C110" s="16" t="n">
        <v>600</v>
      </c>
      <c r="D110" s="16" t="n"/>
      <c r="E110" s="16" t="n"/>
      <c r="F110" s="16" t="n"/>
      <c r="G110" s="16" t="n"/>
      <c r="H110" s="17" t="inlineStr">
        <is>
          <t>Until foe’s turn ends, both players can only attack with units costing 600 or less cost. Cannot use if already attacked.</t>
        </is>
      </c>
      <c r="I110" t="inlineStr">
        <is>
          <t>wording polish</t>
        </is>
      </c>
      <c r="J110" s="16" t="n"/>
      <c r="K110" s="16" t="n"/>
      <c r="L110" s="16" t="n"/>
      <c r="M110" s="16" t="n"/>
      <c r="N110" s="16" t="n"/>
      <c r="O110" s="16" t="n"/>
      <c r="P110" s="16" t="n"/>
      <c r="Q110" s="16" t="n"/>
    </row>
    <row r="111" ht="56.05" customHeight="1" s="47">
      <c r="A111" s="8" t="inlineStr">
        <is>
          <t>Pillow Fight</t>
        </is>
      </c>
      <c r="B111" s="9" t="inlineStr">
        <is>
          <t>Tech</t>
        </is>
      </c>
      <c r="C111" s="16" t="n">
        <v>300</v>
      </c>
      <c r="D111" s="16" t="n"/>
      <c r="E111" s="16" t="n"/>
      <c r="F111" s="16" t="n"/>
      <c r="G111" s="16" t="n"/>
      <c r="H111" s="17" t="inlineStr">
        <is>
          <t>Until foe’s turn ends, both players can only attack with units costing 300 or less cost. Cannot use if already attacked.</t>
        </is>
      </c>
      <c r="I111" t="inlineStr">
        <is>
          <t>wording polish</t>
        </is>
      </c>
      <c r="J111" s="16" t="n"/>
      <c r="K111" s="16" t="n"/>
      <c r="L111" s="16" t="n"/>
      <c r="M111" s="16" t="n"/>
      <c r="N111" s="16" t="n"/>
      <c r="O111" s="16" t="n"/>
      <c r="P111" s="16" t="n"/>
      <c r="Q111" s="16" t="n"/>
    </row>
    <row r="112" ht="32.05" customHeight="1" s="47">
      <c r="A112" s="8" t="inlineStr">
        <is>
          <t>Army Reformation</t>
        </is>
      </c>
      <c r="B112" s="9" t="inlineStr">
        <is>
          <t>Tech</t>
        </is>
      </c>
      <c r="C112" s="16" t="n">
        <v>500</v>
      </c>
      <c r="D112" s="16" t="n"/>
      <c r="E112" s="16" t="n"/>
      <c r="F112" s="16" t="n"/>
      <c r="G112" s="16" t="n"/>
      <c r="H112" s="17" t="inlineStr">
        <is>
          <t xml:space="preserve">Swap or relocate 1 unit to any cell. </t>
        </is>
      </c>
      <c r="J112" s="16" t="n"/>
      <c r="K112" s="16" t="n"/>
      <c r="L112" s="16" t="n"/>
      <c r="M112" s="16" t="n"/>
      <c r="N112" s="16" t="n"/>
      <c r="O112" s="16" t="n"/>
      <c r="P112" s="16" t="n"/>
      <c r="Q112" s="16" t="n"/>
    </row>
    <row r="113" ht="44.05" customHeight="1" s="47">
      <c r="A113" s="8" t="inlineStr">
        <is>
          <t>Institutionalization</t>
        </is>
      </c>
      <c r="B113" s="9" t="inlineStr">
        <is>
          <t>Tech</t>
        </is>
      </c>
      <c r="C113" s="16" t="n">
        <v>1000</v>
      </c>
      <c r="D113" s="16" t="n"/>
      <c r="E113" s="16" t="n"/>
      <c r="F113" s="16" t="n"/>
      <c r="G113" s="16" t="n"/>
      <c r="H113" s="17" t="inlineStr">
        <is>
          <t>Target 1 foe’s unit. Its ability becomes None until foe’s next turn ends</t>
        </is>
      </c>
      <c r="J113" s="16" t="n"/>
      <c r="K113" s="16" t="n"/>
      <c r="L113" s="16" t="n"/>
      <c r="M113" s="16" t="n"/>
      <c r="N113" s="16" t="n"/>
      <c r="O113" s="16" t="n"/>
      <c r="P113" s="16" t="n"/>
      <c r="Q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21.3281" customWidth="1" style="44" min="1" max="1"/>
    <col width="16.3516" customWidth="1" style="44" min="2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30.55" customHeight="1" s="47">
      <c r="A2" s="22" t="inlineStr">
        <is>
          <t>Rarity</t>
        </is>
      </c>
      <c r="B2" s="22" t="inlineStr">
        <is>
          <t>Expected</t>
        </is>
      </c>
      <c r="C2" s="22" t="inlineStr">
        <is>
          <t>Percentage of Pool</t>
        </is>
      </c>
      <c r="D2" s="22" t="inlineStr">
        <is>
          <t>Notes</t>
        </is>
      </c>
      <c r="E2" s="22" t="inlineStr">
        <is>
          <t>Actual</t>
        </is>
      </c>
    </row>
    <row r="3" ht="16.55" customHeight="1" s="47">
      <c r="A3" s="23" t="inlineStr">
        <is>
          <t>Common</t>
        </is>
      </c>
      <c r="B3" s="24" t="n">
        <v>52</v>
      </c>
      <c r="C3" s="48" t="n">
        <v>0.347</v>
      </c>
      <c r="D3" s="26" t="inlineStr">
        <is>
          <t>Filler / staple cards</t>
        </is>
      </c>
      <c r="E3" s="27">
        <f>_xlfn.COUNTIFS('Unit'!$L$3:$L$568,"Yes",'Unit'!$G$3:$G$568,1)+_xlfn.COUNTIFS('Trap'!$L$3:$L$545,"Yes",'Trap'!$G$3:$G$545,1)+_xlfn.COUNTIFS('Tech'!$L$3:$L$556,"Yes",'Tech'!$G$3:$G$556,1)</f>
        <v/>
      </c>
    </row>
    <row r="4" ht="16.35" customHeight="1" s="47">
      <c r="A4" s="28" t="inlineStr">
        <is>
          <t>Uncommon</t>
        </is>
      </c>
      <c r="B4" s="29" t="n">
        <v>48</v>
      </c>
      <c r="C4" s="49" t="n">
        <v>0.337</v>
      </c>
      <c r="D4" s="31" t="inlineStr">
        <is>
          <t>-</t>
        </is>
      </c>
      <c r="E4" s="39">
        <f>_xlfn.COUNTIFS('Unit'!$L$3:$L$568,"Yes",'Unit'!$G$3:$G$568,2)+_xlfn.COUNTIFS('Trap'!$L$3:$L$545,"Yes",'Trap'!$G$3:$G$545,2)+_xlfn.COUNTIFS('Tech'!$L$3:$L$556,"Yes",'Tech'!$G$3:$G$556,2)</f>
        <v/>
      </c>
    </row>
    <row r="5" ht="16.35" customHeight="1" s="47">
      <c r="A5" s="28" t="inlineStr">
        <is>
          <t>Rare</t>
        </is>
      </c>
      <c r="B5" s="29" t="n">
        <v>27</v>
      </c>
      <c r="C5" s="49" t="n">
        <v>0.167</v>
      </c>
      <c r="D5" s="31" t="inlineStr">
        <is>
          <t>-</t>
        </is>
      </c>
      <c r="E5" s="39">
        <f>_xlfn.COUNTIFS('Unit'!$L$3:$L$568,"Yes",'Unit'!$G$3:$G$568,3)+_xlfn.COUNTIFS('Trap'!$L$3:$L$545,"Yes",'Trap'!$G$3:$G$545,3)+_xlfn.COUNTIFS('Tech'!$L$3:$L$556,"Yes",'Tech'!$G$3:$G$556,3)</f>
        <v/>
      </c>
    </row>
    <row r="6" ht="30.35" customHeight="1" s="47">
      <c r="A6" s="28" t="inlineStr">
        <is>
          <t>Legendary</t>
        </is>
      </c>
      <c r="B6" s="29" t="n">
        <v>16</v>
      </c>
      <c r="C6" s="49" t="n">
        <v>0.1</v>
      </c>
      <c r="D6" s="31" t="inlineStr">
        <is>
          <t>Strong but not broken</t>
        </is>
      </c>
      <c r="E6" s="39">
        <f>_xlfn.COUNTIFS('Unit'!$L$3:$L$568,"Yes",'Unit'!$G$3:$G$568,4)+_xlfn.COUNTIFS('Trap'!$L$3:$L$545,"Yes",'Trap'!$G$3:$G$545,4)+_xlfn.COUNTIFS('Tech'!$L$3:$L$556,"Yes",'Tech'!$G$3:$G$556,4)</f>
        <v/>
      </c>
    </row>
    <row r="7" ht="16.35" customHeight="1" s="47">
      <c r="A7" s="33" t="inlineStr">
        <is>
          <t>Exotic</t>
        </is>
      </c>
      <c r="B7" s="37" t="n">
        <v>9</v>
      </c>
      <c r="C7" s="50" t="n">
        <v>0.053</v>
      </c>
      <c r="D7" s="31" t="inlineStr">
        <is>
          <t>Very desirable</t>
        </is>
      </c>
      <c r="E7" s="39">
        <f>_xlfn.COUNTIFS('Unit'!$L$3:$L$568,"Yes",'Unit'!$G$3:$G$568,5)+_xlfn.COUNTIFS('Trap'!$L$3:$L$545,"Yes",'Trap'!$G$3:$G$545,5)+_xlfn.COUNTIFS('Tech'!$L$3:$L$556,"Yes",'Tech'!$G$3:$G$556,5)</f>
        <v/>
      </c>
    </row>
    <row r="8" ht="16.35" customHeight="1" s="47">
      <c r="A8" s="36" t="n"/>
      <c r="B8" s="37" t="n"/>
      <c r="C8" s="38" t="n"/>
      <c r="D8" s="39" t="n"/>
      <c r="E8" s="39" t="n"/>
    </row>
    <row r="9" ht="16.35" customHeight="1" s="47">
      <c r="A9" s="36" t="n"/>
      <c r="B9" s="37" t="n"/>
      <c r="C9" s="38" t="n"/>
      <c r="D9" s="39" t="n"/>
      <c r="E9" s="39" t="n"/>
    </row>
    <row r="10" ht="16.35" customHeight="1" s="47">
      <c r="A10" s="36" t="n"/>
      <c r="B10" s="37" t="n"/>
      <c r="C10" s="38" t="n"/>
      <c r="D10" s="39" t="n"/>
      <c r="E10" s="39" t="n"/>
    </row>
    <row r="11" ht="16.35" customHeight="1" s="47">
      <c r="A11" s="40" t="inlineStr">
        <is>
          <t>Rarity</t>
        </is>
      </c>
      <c r="B11" s="41" t="inlineStr">
        <is>
          <t>Expected</t>
        </is>
      </c>
      <c r="C11" s="42" t="n"/>
      <c r="D11" s="42" t="n"/>
      <c r="E11" s="43" t="inlineStr">
        <is>
          <t>Actual</t>
        </is>
      </c>
    </row>
    <row r="12" ht="16.35" customHeight="1" s="47">
      <c r="A12" s="28" t="inlineStr">
        <is>
          <t>Blightsilver</t>
        </is>
      </c>
      <c r="B12" s="29" t="n">
        <v>60</v>
      </c>
      <c r="C12" s="39" t="n"/>
      <c r="D12" s="39" t="n"/>
      <c r="E12" s="39">
        <f>_xlfn.COUNTIFS('Unit'!$N$3:$N$568,"Yes")+_xlfn.COUNTIFS('Trap'!$N$3:$N$545,"Yes")+_xlfn.COUNTIFS('Tech'!$N$3:$N$556,"Yes")</f>
        <v/>
      </c>
    </row>
    <row r="13" ht="16.35" customHeight="1" s="47">
      <c r="A13" s="28" t="inlineStr">
        <is>
          <t>Unseen Presence</t>
        </is>
      </c>
      <c r="B13" s="29" t="n">
        <v>60</v>
      </c>
      <c r="C13" s="39" t="n"/>
      <c r="D13" s="39" t="n"/>
      <c r="E13" s="39">
        <f>_xlfn.COUNTIFS('Unit'!$O$3:$O$568,"Yes")+_xlfn.COUNTIFS('Trap'!$O$3:$O$545,"Yes")+_xlfn.COUNTIFS('Tech'!$O$3:$O$556,"Yes")</f>
        <v/>
      </c>
    </row>
    <row r="14" ht="16.35" customHeight="1" s="47">
      <c r="A14" s="28" t="inlineStr">
        <is>
          <t>Wind of Dominance</t>
        </is>
      </c>
      <c r="B14" s="29" t="n">
        <v>60</v>
      </c>
      <c r="C14" s="39" t="n"/>
      <c r="D14" s="39" t="n"/>
      <c r="E14" s="39">
        <f>_xlfn.COUNTIFS('Unit'!$P$3:$P$568,"Yes")+_xlfn.COUNTIFS('Trap'!$P$3:$P$545,"Yes")+_xlfn.COUNTIFS('Tech'!$P$3:$P$556,"Yes")</f>
        <v/>
      </c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4" t="n"/>
      <c r="B2" s="3" t="inlineStr">
        <is>
          <t>Old</t>
        </is>
      </c>
      <c r="C2" s="3" t="inlineStr">
        <is>
          <t>New</t>
        </is>
      </c>
      <c r="D2" s="4" t="n"/>
      <c r="E2" s="4" t="n"/>
    </row>
    <row r="3" ht="20.25" customHeight="1" s="47">
      <c r="A3" s="45" t="n">
        <v>1</v>
      </c>
      <c r="B3" s="6" t="inlineStr">
        <is>
          <t>Foe</t>
        </is>
      </c>
      <c r="C3" s="15" t="inlineStr">
        <is>
          <t>foe</t>
        </is>
      </c>
      <c r="D3" s="14" t="n"/>
      <c r="E3" s="14" t="n"/>
    </row>
    <row r="4" ht="20.05" customHeight="1" s="47">
      <c r="A4" s="46" t="n">
        <v>2</v>
      </c>
      <c r="B4" s="9" t="inlineStr">
        <is>
          <t>Battle calculation</t>
        </is>
      </c>
      <c r="C4" s="17" t="inlineStr">
        <is>
          <t>Reckoning</t>
        </is>
      </c>
      <c r="D4" s="16" t="n"/>
      <c r="E4" s="16" t="n"/>
    </row>
    <row r="5" ht="20.05" customHeight="1" s="47">
      <c r="A5" s="46" t="n">
        <v>3</v>
      </c>
      <c r="B5" s="9" t="inlineStr">
        <is>
          <t>Cannot attack</t>
        </is>
      </c>
      <c r="C5" s="17" t="inlineStr">
        <is>
          <t>wait</t>
        </is>
      </c>
      <c r="D5" s="16" t="n"/>
      <c r="E5" s="16" t="n"/>
    </row>
    <row r="6" ht="20.05" customHeight="1" s="47">
      <c r="A6" s="46" t="n">
        <v>4</v>
      </c>
      <c r="B6" s="9" t="inlineStr">
        <is>
          <t>ATK&amp;DEF</t>
        </is>
      </c>
      <c r="C6" s="17" t="inlineStr">
        <is>
          <t>ATK&amp;DEF</t>
        </is>
      </c>
      <c r="D6" s="16" t="n"/>
      <c r="E6" s="16" t="n"/>
    </row>
    <row r="7" ht="20.05" customHeight="1" s="47">
      <c r="A7" s="46" t="n">
        <v>5</v>
      </c>
      <c r="B7" s="9" t="inlineStr">
        <is>
          <t>If head</t>
        </is>
      </c>
      <c r="C7" s="17" t="inlineStr">
        <is>
          <t>Head:</t>
        </is>
      </c>
      <c r="D7" s="16" t="n"/>
      <c r="E7" s="16" t="n"/>
    </row>
    <row r="8" ht="20.05" customHeight="1" s="47">
      <c r="A8" s="46" t="n">
        <v>6</v>
      </c>
      <c r="B8" s="9" t="inlineStr">
        <is>
          <t>If tail</t>
        </is>
      </c>
      <c r="C8" s="17" t="inlineStr">
        <is>
          <t>Tail:</t>
        </is>
      </c>
      <c r="D8" s="16" t="n"/>
      <c r="E8" s="16" t="n"/>
    </row>
    <row r="9" ht="20.05" customHeight="1" s="47">
      <c r="A9" s="46" t="n">
        <v>7</v>
      </c>
      <c r="B9" s="9" t="inlineStr">
        <is>
          <t>Square, grid</t>
        </is>
      </c>
      <c r="C9" s="17" t="inlineStr">
        <is>
          <t>cell</t>
        </is>
      </c>
      <c r="D9" s="16" t="n"/>
      <c r="E9" s="16" t="n"/>
    </row>
    <row r="10" ht="20.05" customHeight="1" s="47">
      <c r="A10" s="46" t="n">
        <v>8</v>
      </c>
      <c r="B10" s="9" t="inlineStr">
        <is>
          <t>exposed</t>
        </is>
      </c>
      <c r="C10" s="17" t="inlineStr">
        <is>
          <t>Exposed</t>
        </is>
      </c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2026-06-14T13:01:26Z</dcterms:created>
  <dcterms:modified xsi:type="dcterms:W3CDTF">2026-06-14T13:01:26Z</dcterms:modified>
</cp:coreProperties>
</file>