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ffinity" sheetId="1" state="visible" r:id="rId1"/>
    <sheet name="Unit" sheetId="2" state="visible" r:id="rId2"/>
    <sheet name="Union" sheetId="3" state="visible" r:id="rId3"/>
    <sheet name="Trap" sheetId="4" state="visible" r:id="rId4"/>
    <sheet name="Tech" sheetId="5" state="visible" r:id="rId5"/>
    <sheet name="Count" sheetId="6" state="visible" r:id="rId6"/>
    <sheet name="Rule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"&amp;COUNTIF(N3:N568,"Yes")</f>
        <v/>
      </c>
      <c r="P2" s="3">
        <f>"Booster Pack - Unseen Presence / "&amp;COUNTIF(O3:O568,"Yes")</f>
        <v/>
      </c>
      <c r="Q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dropped redundant Affinity</t>
        </is>
      </c>
      <c r="J3" s="14" t="n"/>
      <c r="K3" s="15" t="inlineStr">
        <is>
          <t>Yes</t>
        </is>
      </c>
      <c r="L3" s="14">
        <f>(D3*6)+(E3*4)</f>
        <v/>
      </c>
      <c r="M3" s="15" t="inlineStr">
        <is>
          <t>Yes</t>
        </is>
      </c>
      <c r="N3" s="14" t="n"/>
      <c r="O3" s="14" t="n"/>
      <c r="P3" s="14" t="n"/>
      <c r="Q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dropped redundant Affinity</t>
        </is>
      </c>
      <c r="J4" s="16" t="n"/>
      <c r="K4" s="17" t="inlineStr">
        <is>
          <t>Yes</t>
        </is>
      </c>
      <c r="L4" s="16">
        <f>(D4*6)+(E4*4)</f>
        <v/>
      </c>
      <c r="M4" s="17" t="inlineStr">
        <is>
          <t>Yes</t>
        </is>
      </c>
      <c r="N4" s="16" t="n"/>
      <c r="O4" s="17" t="inlineStr">
        <is>
          <t>Yes</t>
        </is>
      </c>
      <c r="P4" s="16" t="n"/>
      <c r="Q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J5" s="16" t="n"/>
      <c r="K5" s="17" t="inlineStr">
        <is>
          <t>Yes</t>
        </is>
      </c>
      <c r="L5" s="16">
        <f>(D5*6)+(E5*4)</f>
        <v/>
      </c>
      <c r="M5" s="17" t="inlineStr">
        <is>
          <t>Yes</t>
        </is>
      </c>
      <c r="N5" s="16" t="n"/>
      <c r="O5" s="17" t="inlineStr">
        <is>
          <t>Yes</t>
        </is>
      </c>
      <c r="P5" s="16" t="n"/>
      <c r="Q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wording polish</t>
        </is>
      </c>
      <c r="J6" s="16" t="n"/>
      <c r="K6" s="17" t="inlineStr">
        <is>
          <t>Yes</t>
        </is>
      </c>
      <c r="L6" s="16">
        <f>(D6*6)+(E6*4)</f>
        <v/>
      </c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J7" s="16" t="n"/>
      <c r="K7" s="17" t="inlineStr">
        <is>
          <t>Yes</t>
        </is>
      </c>
      <c r="L7" s="16">
        <f>(D7*6)+(E7*4)</f>
        <v/>
      </c>
      <c r="M7" s="16" t="n"/>
      <c r="N7" s="16" t="n"/>
      <c r="O7" s="16" t="n"/>
      <c r="P7" s="16" t="n"/>
      <c r="Q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J8" s="16" t="n"/>
      <c r="K8" s="17" t="inlineStr">
        <is>
          <t>Yes</t>
        </is>
      </c>
      <c r="L8" s="16">
        <f>(D8*6)+(E8*4)</f>
        <v/>
      </c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J9" s="16" t="n"/>
      <c r="K9" s="17" t="inlineStr">
        <is>
          <t>Yes</t>
        </is>
      </c>
      <c r="L9" s="16">
        <f>(D9*6)+(E9*4)</f>
        <v/>
      </c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J10" s="16" t="n"/>
      <c r="K10" s="17" t="inlineStr">
        <is>
          <t>Yes</t>
        </is>
      </c>
      <c r="L10" s="16">
        <f>(D10*6)+(E10*4)</f>
        <v/>
      </c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dropped redundant Affinity</t>
        </is>
      </c>
      <c r="J11" s="16" t="n"/>
      <c r="K11" s="17" t="inlineStr">
        <is>
          <t>Yes</t>
        </is>
      </c>
      <c r="L11" s="16">
        <f>(D11*6)+(E11*4)</f>
        <v/>
      </c>
      <c r="M11" s="16" t="n"/>
      <c r="N11" s="16" t="n"/>
      <c r="O11" s="16" t="n"/>
      <c r="P11" s="16" t="n"/>
      <c r="Q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J12" s="16" t="n"/>
      <c r="K12" s="17" t="inlineStr">
        <is>
          <t>Yes</t>
        </is>
      </c>
      <c r="L12" s="16">
        <f>(D12*6)+(E12*4)</f>
        <v/>
      </c>
      <c r="M12" s="17" t="inlineStr">
        <is>
          <t>Yes</t>
        </is>
      </c>
      <c r="N12" s="16" t="n"/>
      <c r="O12" s="17" t="inlineStr">
        <is>
          <t>Yes</t>
        </is>
      </c>
      <c r="P12" s="16" t="n"/>
      <c r="Q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J13" s="16" t="n"/>
      <c r="K13" s="17" t="inlineStr">
        <is>
          <t>Yes</t>
        </is>
      </c>
      <c r="L13" s="16">
        <f>(D13*6)+(E13*4)</f>
        <v/>
      </c>
      <c r="M13" s="17" t="inlineStr">
        <is>
          <t>Yes</t>
        </is>
      </c>
      <c r="N13" s="16" t="n"/>
      <c r="O13" s="17" t="inlineStr">
        <is>
          <t>Yes</t>
        </is>
      </c>
      <c r="P13" s="16" t="n"/>
      <c r="Q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J14" s="16" t="n"/>
      <c r="K14" s="17" t="inlineStr">
        <is>
          <t>Yes</t>
        </is>
      </c>
      <c r="L14" s="16">
        <f>(D14*6)+(E14*4)</f>
        <v/>
      </c>
      <c r="M14" s="17" t="inlineStr">
        <is>
          <t>Yes</t>
        </is>
      </c>
      <c r="N14" s="16" t="n"/>
      <c r="O14" s="17" t="inlineStr">
        <is>
          <t>Yes</t>
        </is>
      </c>
      <c r="P14" s="16" t="n"/>
      <c r="Q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 and DEF for each exposed ‘wisp’ card on its side</t>
        </is>
      </c>
      <c r="I15" t="inlineStr">
        <is>
          <t>ATK&amp;DEF→ATK and DEF</t>
        </is>
      </c>
      <c r="J15" s="16" t="n"/>
      <c r="K15" s="17" t="inlineStr">
        <is>
          <t>Yes</t>
        </is>
      </c>
      <c r="L15" s="16">
        <f>(D15*6)+(E15*4)</f>
        <v/>
      </c>
      <c r="M15" s="17" t="inlineStr">
        <is>
          <t>Yes</t>
        </is>
      </c>
      <c r="N15" s="16" t="n"/>
      <c r="O15" s="16" t="n"/>
      <c r="P15" s="17" t="inlineStr">
        <is>
          <t>Yes</t>
        </is>
      </c>
      <c r="Q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>+20 ATK and DEF for each other exposed Anima card on its side</t>
        </is>
      </c>
      <c r="I16" t="inlineStr">
        <is>
          <t>ATK&amp;DEF→ATK and DEF</t>
        </is>
      </c>
      <c r="J16" s="16" t="n"/>
      <c r="K16" s="17" t="inlineStr">
        <is>
          <t>Yes</t>
        </is>
      </c>
      <c r="L16" s="16">
        <f>(D16*6)+(E16*4)</f>
        <v/>
      </c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J17" s="16" t="n"/>
      <c r="K17" s="17" t="inlineStr">
        <is>
          <t>Yes</t>
        </is>
      </c>
      <c r="L17" s="16">
        <f>(D17*6)+(E17*4)</f>
        <v/>
      </c>
      <c r="M17" s="16" t="n"/>
      <c r="N17" s="16" t="n"/>
      <c r="O17" s="16" t="n"/>
      <c r="P17" s="16" t="n"/>
      <c r="Q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wording polish</t>
        </is>
      </c>
      <c r="J18" s="16" t="n"/>
      <c r="K18" s="17" t="inlineStr">
        <is>
          <t>Yes</t>
        </is>
      </c>
      <c r="L18" s="16">
        <f>(D18*6)+(E18*4)</f>
        <v/>
      </c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 and DEF for each other exposed Nature card on its side</t>
        </is>
      </c>
      <c r="I19" t="inlineStr">
        <is>
          <t>ATK&amp;DEF→ATK and DEF</t>
        </is>
      </c>
      <c r="J19" s="16" t="n"/>
      <c r="K19" s="17" t="inlineStr">
        <is>
          <t>Yes</t>
        </is>
      </c>
      <c r="L19" s="16">
        <f>(D19*6)+(E19*4)</f>
        <v/>
      </c>
      <c r="M19" s="17" t="inlineStr">
        <is>
          <t>Yes</t>
        </is>
      </c>
      <c r="N19" s="16" t="n"/>
      <c r="O19" s="17" t="inlineStr">
        <is>
          <t>Yes</t>
        </is>
      </c>
      <c r="P19" s="16" t="n"/>
      <c r="Q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Shortened immunity wording.</t>
        </is>
      </c>
      <c r="J20" s="16" t="n"/>
      <c r="K20" s="17" t="inlineStr">
        <is>
          <t>Yes</t>
        </is>
      </c>
      <c r="L20" s="16">
        <f>(D20*6)+(E20*4)</f>
        <v/>
      </c>
      <c r="M20" s="16" t="n"/>
      <c r="N20" s="16" t="n"/>
      <c r="O20" s="16" t="n"/>
      <c r="P20" s="16" t="n"/>
      <c r="Q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Shortened immunity wording.</t>
        </is>
      </c>
      <c r="J21" s="16" t="n"/>
      <c r="K21" s="17" t="inlineStr">
        <is>
          <t>Yes</t>
        </is>
      </c>
      <c r="L21" s="16">
        <f>(D21*6)+(E21*4)</f>
        <v/>
      </c>
      <c r="M21" s="17" t="inlineStr">
        <is>
          <t>Yes</t>
        </is>
      </c>
      <c r="N21" s="16" t="n"/>
      <c r="O21" s="16" t="n"/>
      <c r="P21" s="16" t="n"/>
      <c r="Q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square→cell</t>
        </is>
      </c>
      <c r="J22" s="16" t="n"/>
      <c r="K22" s="17" t="inlineStr">
        <is>
          <t>Yes</t>
        </is>
      </c>
      <c r="L22" s="16">
        <f>(D22*6)+(E22*4)</f>
        <v/>
      </c>
      <c r="M22" s="17" t="inlineStr">
        <is>
          <t>Yes</t>
        </is>
      </c>
      <c r="N22" s="16" t="n"/>
      <c r="O22" s="17" t="inlineStr">
        <is>
          <t>Yes</t>
        </is>
      </c>
      <c r="P22" s="16" t="n"/>
      <c r="Q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wording polish</t>
        </is>
      </c>
      <c r="J23" s="16" t="n"/>
      <c r="K23" s="17" t="inlineStr">
        <is>
          <t>Yes</t>
        </is>
      </c>
      <c r="L23" s="16">
        <f>(D23*6)+(E23*4)</f>
        <v/>
      </c>
      <c r="M23" s="17" t="inlineStr">
        <is>
          <t>Yes</t>
        </is>
      </c>
      <c r="N23" s="16" t="n"/>
      <c r="O23" s="16" t="n"/>
      <c r="P23" s="17" t="inlineStr">
        <is>
          <t>Yes</t>
        </is>
      </c>
      <c r="Q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>
        <f>(D24*6)+(E24*4)</f>
        <v/>
      </c>
      <c r="M24" s="17" t="inlineStr">
        <is>
          <t>Yes</t>
        </is>
      </c>
      <c r="N24" s="16" t="n"/>
      <c r="O24" s="16" t="n"/>
      <c r="P24" s="17" t="inlineStr">
        <is>
          <t>Yes</t>
        </is>
      </c>
      <c r="Q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wording polish</t>
        </is>
      </c>
      <c r="J25" s="16" t="n"/>
      <c r="K25" s="17" t="inlineStr">
        <is>
          <t>Yes</t>
        </is>
      </c>
      <c r="L25" s="16">
        <f>(D25*6)+(E25*4)</f>
        <v/>
      </c>
      <c r="M25" s="17" t="inlineStr">
        <is>
          <t>Yes</t>
        </is>
      </c>
      <c r="N25" s="16" t="n"/>
      <c r="O25" s="17" t="inlineStr">
        <is>
          <t>Yes</t>
        </is>
      </c>
      <c r="P25" s="16" t="n"/>
      <c r="Q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 and DEF permanently</t>
        </is>
      </c>
      <c r="I26" t="inlineStr">
        <is>
          <t>ATK&amp;DEF→ATK and DEF</t>
        </is>
      </c>
      <c r="J26" s="16" t="n"/>
      <c r="K26" s="17" t="inlineStr">
        <is>
          <t>Yes</t>
        </is>
      </c>
      <c r="L26" s="16">
        <f>(D26*6)+(E26*4)</f>
        <v/>
      </c>
      <c r="M26" s="17" t="inlineStr">
        <is>
          <t>Yes</t>
        </is>
      </c>
      <c r="N26" s="16" t="n"/>
      <c r="O26" s="16" t="n"/>
      <c r="P26" s="17" t="inlineStr">
        <is>
          <t>Yes</t>
        </is>
      </c>
      <c r="Q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Shortened immunity wording.</t>
        </is>
      </c>
      <c r="J27" s="16" t="n"/>
      <c r="K27" s="17" t="inlineStr">
        <is>
          <t>Yes</t>
        </is>
      </c>
      <c r="L27" s="16">
        <f>(D27*6)+(E27*4)</f>
        <v/>
      </c>
      <c r="M27" s="16" t="n"/>
      <c r="N27" s="16" t="n"/>
      <c r="O27" s="16" t="n"/>
      <c r="P27" s="16" t="n"/>
      <c r="Q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 and DEF by 10 at the end of each of their turn</t>
        </is>
      </c>
      <c r="I28" t="inlineStr">
        <is>
          <t>ATK&amp;DEF→ATK and DEF</t>
        </is>
      </c>
      <c r="J28" s="16" t="n"/>
      <c r="K28" s="17" t="inlineStr">
        <is>
          <t>Yes</t>
        </is>
      </c>
      <c r="L28" s="16">
        <f>(D28*6)+(E28*4)</f>
        <v/>
      </c>
      <c r="M28" s="16" t="n"/>
      <c r="N28" s="16" t="n"/>
      <c r="O28" s="16" t="n"/>
      <c r="P28" s="16" t="n"/>
      <c r="Q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J29" s="16" t="n"/>
      <c r="K29" s="17" t="inlineStr">
        <is>
          <t>Yes</t>
        </is>
      </c>
      <c r="L29" s="16">
        <f>(D29*6)+(E29*4)</f>
        <v/>
      </c>
      <c r="M29" s="16" t="n"/>
      <c r="N29" s="16" t="n"/>
      <c r="O29" s="16" t="n"/>
      <c r="P29" s="16" t="n"/>
      <c r="Q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J30" s="16" t="n"/>
      <c r="K30" s="17" t="inlineStr">
        <is>
          <t>Yes</t>
        </is>
      </c>
      <c r="L30" s="16">
        <f>(D30*6)+(E30*4)</f>
        <v/>
      </c>
      <c r="M30" s="17" t="inlineStr">
        <is>
          <t>Yes</t>
        </is>
      </c>
      <c r="N30" s="16" t="n"/>
      <c r="O30" s="16" t="n"/>
      <c r="P30" s="16" t="n"/>
      <c r="Q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 and DEF until this turn’s end</t>
        </is>
      </c>
      <c r="I31" t="inlineStr">
        <is>
          <t>ATK&amp;DEF→ATK and DEF; Head→Heads</t>
        </is>
      </c>
      <c r="J31" s="16" t="n"/>
      <c r="K31" s="17" t="inlineStr">
        <is>
          <t>Yes</t>
        </is>
      </c>
      <c r="L31" s="16">
        <f>(D31*6)+(E31*4)</f>
        <v/>
      </c>
      <c r="M31" s="16" t="n"/>
      <c r="N31" s="16" t="n"/>
      <c r="O31" s="16" t="n"/>
      <c r="P31" s="16" t="n"/>
      <c r="Q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J32" s="16" t="n"/>
      <c r="K32" s="17" t="inlineStr">
        <is>
          <t>Yes</t>
        </is>
      </c>
      <c r="L32" s="16">
        <f>(D32*6)+(E32*4)</f>
        <v/>
      </c>
      <c r="M32" s="17" t="inlineStr">
        <is>
          <t>Yes</t>
        </is>
      </c>
      <c r="N32" s="16" t="n"/>
      <c r="O32" s="16" t="n"/>
      <c r="P32" s="16" t="n"/>
      <c r="Q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J33" s="16" t="n"/>
      <c r="K33" s="17" t="inlineStr">
        <is>
          <t>Yes</t>
        </is>
      </c>
      <c r="L33" s="16">
        <f>(D33*6)+(E33*4)</f>
        <v/>
      </c>
      <c r="M33" s="17" t="inlineStr">
        <is>
          <t>Yes</t>
        </is>
      </c>
      <c r="N33" s="16" t="n"/>
      <c r="O33" s="16" t="n"/>
      <c r="P33" s="17" t="inlineStr">
        <is>
          <t>Yes</t>
        </is>
      </c>
      <c r="Q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 and DEF if 10 or more cells on its side is revealed</t>
        </is>
      </c>
      <c r="I34" t="inlineStr">
        <is>
          <t>ATK&amp;DEF→ATK and DEF</t>
        </is>
      </c>
      <c r="J34" s="16" t="n"/>
      <c r="K34" s="17" t="inlineStr">
        <is>
          <t>Yes</t>
        </is>
      </c>
      <c r="L34" s="16">
        <f>(D34*6)+(E34*4)</f>
        <v/>
      </c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equal to number of head.</t>
        </is>
      </c>
      <c r="J35" s="16" t="n"/>
      <c r="K35" s="17" t="inlineStr">
        <is>
          <t>Yes</t>
        </is>
      </c>
      <c r="L35" s="16">
        <f>(D35*6)+(E35*4)</f>
        <v/>
      </c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J36" s="16" t="n"/>
      <c r="K36" s="17" t="inlineStr">
        <is>
          <t>Yes</t>
        </is>
      </c>
      <c r="L36" s="16">
        <f>(D36*6)+(E36*4)</f>
        <v/>
      </c>
      <c r="M36" s="16" t="n"/>
      <c r="N36" s="16" t="n"/>
      <c r="O36" s="16" t="n"/>
      <c r="P36" s="16" t="n"/>
      <c r="Q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Tail→Tails</t>
        </is>
      </c>
      <c r="J37" s="16" t="n"/>
      <c r="K37" s="17" t="inlineStr">
        <is>
          <t>Yes</t>
        </is>
      </c>
      <c r="L37" s="16">
        <f>(D37*6)+(E37*4)</f>
        <v/>
      </c>
      <c r="M37" s="17" t="inlineStr">
        <is>
          <t>Yes</t>
        </is>
      </c>
      <c r="N37" s="16" t="n"/>
      <c r="O37" s="17" t="inlineStr">
        <is>
          <t>Yes</t>
        </is>
      </c>
      <c r="P37" s="16" t="n"/>
      <c r="Q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J38" s="16" t="n"/>
      <c r="K38" s="17" t="inlineStr">
        <is>
          <t>Yes</t>
        </is>
      </c>
      <c r="L38" s="16">
        <f>(D38*6)+(E38*4)</f>
        <v/>
      </c>
      <c r="M38" s="17" t="inlineStr">
        <is>
          <t>Yes</t>
        </is>
      </c>
      <c r="N38" s="16" t="n"/>
      <c r="O38" s="16" t="n"/>
      <c r="P38" s="17" t="inlineStr">
        <is>
          <t>Yes</t>
        </is>
      </c>
      <c r="Q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J39" s="16" t="n"/>
      <c r="K39" s="17" t="inlineStr">
        <is>
          <t>Yes</t>
        </is>
      </c>
      <c r="L39" s="16">
        <f>(D39*6)+(E39*4)</f>
        <v/>
      </c>
      <c r="M39" s="17" t="inlineStr">
        <is>
          <t>Yes</t>
        </is>
      </c>
      <c r="N39" s="16" t="n"/>
      <c r="O39" s="17" t="inlineStr">
        <is>
          <t>Yes</t>
        </is>
      </c>
      <c r="P39" s="17" t="inlineStr">
        <is>
          <t>Yes</t>
        </is>
      </c>
      <c r="Q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J40" s="16" t="n"/>
      <c r="K40" s="17" t="inlineStr">
        <is>
          <t>Yes</t>
        </is>
      </c>
      <c r="L40" s="16">
        <f>(D40*6)+(E40*4)</f>
        <v/>
      </c>
      <c r="M40" s="17" t="inlineStr">
        <is>
          <t>Yes</t>
        </is>
      </c>
      <c r="N40" s="16" t="n"/>
      <c r="O40" s="16" t="n"/>
      <c r="P40" s="17" t="inlineStr">
        <is>
          <t>Yes</t>
        </is>
      </c>
      <c r="Q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J41" s="16" t="n"/>
      <c r="K41" s="17" t="inlineStr">
        <is>
          <t>Yes</t>
        </is>
      </c>
      <c r="L41" s="16">
        <f>(D41*6)+(E41*4)</f>
        <v/>
      </c>
      <c r="M41" s="17" t="inlineStr">
        <is>
          <t>Yes</t>
        </is>
      </c>
      <c r="N41" s="16" t="n"/>
      <c r="O41" s="17" t="inlineStr">
        <is>
          <t>Yes</t>
        </is>
      </c>
      <c r="P41" s="16" t="n"/>
      <c r="Q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 and DEF</t>
        </is>
      </c>
      <c r="I42" t="inlineStr">
        <is>
          <t>ATK&amp;DEF→ATK and DEF</t>
        </is>
      </c>
      <c r="J42" s="16" t="n"/>
      <c r="K42" s="17" t="inlineStr">
        <is>
          <t>Yes</t>
        </is>
      </c>
      <c r="L42" s="16">
        <f>(D42*6)+(E42*4)</f>
        <v/>
      </c>
      <c r="M42" s="17" t="inlineStr">
        <is>
          <t>Yes</t>
        </is>
      </c>
      <c r="N42" s="16" t="n"/>
      <c r="O42" s="17" t="inlineStr">
        <is>
          <t>Yes</t>
        </is>
      </c>
      <c r="P42" s="16" t="n"/>
      <c r="Q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equal to half of target’s ATK until the end of this turn</t>
        </is>
      </c>
      <c r="J43" s="16" t="n"/>
      <c r="K43" s="17" t="inlineStr">
        <is>
          <t>Yes</t>
        </is>
      </c>
      <c r="L43" s="16">
        <f>(D43*6)+(E43*4)</f>
        <v/>
      </c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J44" s="16" t="n"/>
      <c r="K44" s="17" t="inlineStr">
        <is>
          <t>Yes</t>
        </is>
      </c>
      <c r="L44" s="16">
        <f>(D44*6)+(E44*4)</f>
        <v/>
      </c>
      <c r="M44" s="17" t="inlineStr">
        <is>
          <t>Yes</t>
        </is>
      </c>
      <c r="N44" s="16" t="n"/>
      <c r="O44" s="17" t="inlineStr">
        <is>
          <t>Yes</t>
        </is>
      </c>
      <c r="P44" s="16" t="n"/>
      <c r="Q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J45" s="16" t="n"/>
      <c r="K45" s="17" t="inlineStr">
        <is>
          <t>Yes</t>
        </is>
      </c>
      <c r="L45" s="16">
        <f>(D45*6)+(E45*4)</f>
        <v/>
      </c>
      <c r="M45" s="17" t="inlineStr">
        <is>
          <t>Yes</t>
        </is>
      </c>
      <c r="N45" s="16" t="n"/>
      <c r="O45" s="17" t="inlineStr">
        <is>
          <t>Yes</t>
        </is>
      </c>
      <c r="P45" s="16" t="n"/>
      <c r="Q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J46" s="16" t="n"/>
      <c r="K46" s="17" t="inlineStr">
        <is>
          <t>Yes</t>
        </is>
      </c>
      <c r="L46" s="16">
        <f>(D46*6)+(E46*4)</f>
        <v/>
      </c>
      <c r="M46" s="17" t="inlineStr">
        <is>
          <t>Yes</t>
        </is>
      </c>
      <c r="N46" s="16" t="n"/>
      <c r="O46" s="16" t="n"/>
      <c r="P46" s="16" t="n"/>
      <c r="Q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User confirmed repeat same battle once; grammar.</t>
        </is>
      </c>
      <c r="J47" s="16" t="n"/>
      <c r="K47" s="17" t="inlineStr">
        <is>
          <t>Yes</t>
        </is>
      </c>
      <c r="L47" s="16">
        <f>(D47*6)+(E47*4)</f>
        <v/>
      </c>
      <c r="M47" s="16" t="n"/>
      <c r="N47" s="16" t="n"/>
      <c r="O47" s="16" t="n"/>
      <c r="P47" s="16" t="n"/>
      <c r="Q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J48" s="16" t="n"/>
      <c r="K48" s="17" t="inlineStr">
        <is>
          <t>Yes</t>
        </is>
      </c>
      <c r="L48" s="16">
        <f>(D48*6)+(E48*4)</f>
        <v/>
      </c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wording polish</t>
        </is>
      </c>
      <c r="J49" s="16" t="n"/>
      <c r="K49" s="17" t="inlineStr">
        <is>
          <t>Yes</t>
        </is>
      </c>
      <c r="L49" s="16">
        <f>(D49*6)+(E49*4)</f>
        <v/>
      </c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J50" s="16" t="n"/>
      <c r="K50" s="17" t="inlineStr">
        <is>
          <t>Yes</t>
        </is>
      </c>
      <c r="L50" s="16">
        <f>(D50*6)+(E50*4)</f>
        <v/>
      </c>
      <c r="M50" s="17" t="inlineStr">
        <is>
          <t>Yes</t>
        </is>
      </c>
      <c r="N50" s="16" t="n"/>
      <c r="O50" s="17" t="inlineStr">
        <is>
          <t>Yes</t>
        </is>
      </c>
      <c r="P50" s="16" t="n"/>
      <c r="Q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J51" s="16" t="n"/>
      <c r="K51" s="17" t="inlineStr">
        <is>
          <t>Yes</t>
        </is>
      </c>
      <c r="L51" s="16">
        <f>(D51*6)+(E51*4)</f>
        <v/>
      </c>
      <c r="M51" s="17" t="inlineStr">
        <is>
          <t>Yes</t>
        </is>
      </c>
      <c r="N51" s="16" t="n"/>
      <c r="O51" s="16" t="n"/>
      <c r="P51" s="17" t="inlineStr">
        <is>
          <t>Yes</t>
        </is>
      </c>
      <c r="Q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J52" s="16" t="n"/>
      <c r="K52" s="17" t="inlineStr">
        <is>
          <t>Yes</t>
        </is>
      </c>
      <c r="L52" s="16">
        <f>(D52*6)+(E52*4)</f>
        <v/>
      </c>
      <c r="M52" s="17" t="inlineStr">
        <is>
          <t>Yes</t>
        </is>
      </c>
      <c r="N52" s="16" t="n"/>
      <c r="O52" s="16" t="n"/>
      <c r="P52" s="16" t="n"/>
      <c r="Q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J53" s="16" t="n"/>
      <c r="K53" s="17" t="inlineStr">
        <is>
          <t>Yes</t>
        </is>
      </c>
      <c r="L53" s="16">
        <f>(D53*6)+(E53*4)</f>
        <v/>
      </c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 and DEF per revealed cell on its side</t>
        </is>
      </c>
      <c r="I54" t="inlineStr">
        <is>
          <t>ATK/DEF→ATK and DEF</t>
        </is>
      </c>
      <c r="J54" s="16" t="n"/>
      <c r="K54" s="17" t="inlineStr">
        <is>
          <t>Yes</t>
        </is>
      </c>
      <c r="L54" s="16">
        <f>(D54*6)+(E54*4)</f>
        <v/>
      </c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J55" s="16" t="n"/>
      <c r="K55" s="17" t="inlineStr">
        <is>
          <t>Yes</t>
        </is>
      </c>
      <c r="L55" s="16">
        <f>(D55*6)+(E55*4)</f>
        <v/>
      </c>
      <c r="M55" s="17" t="inlineStr">
        <is>
          <t>Yes</t>
        </is>
      </c>
      <c r="N55" s="16" t="n"/>
      <c r="O55" s="16" t="n"/>
      <c r="P55" s="16" t="n"/>
      <c r="Q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J56" s="16" t="n"/>
      <c r="K56" s="17" t="inlineStr">
        <is>
          <t>Yes</t>
        </is>
      </c>
      <c r="L56" s="16">
        <f>(D56*6)+(E56*4)</f>
        <v/>
      </c>
      <c r="M56" s="16" t="n"/>
      <c r="N56" s="16" t="n"/>
      <c r="O56" s="16" t="n"/>
      <c r="P56" s="16" t="n"/>
      <c r="Q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J57" s="16" t="n"/>
      <c r="K57" s="17" t="inlineStr">
        <is>
          <t>Yes</t>
        </is>
      </c>
      <c r="L57" s="16">
        <f>(D57*6)+(E57*4)</f>
        <v/>
      </c>
      <c r="M57" s="16" t="n"/>
      <c r="N57" s="16" t="n"/>
      <c r="O57" s="16" t="n"/>
      <c r="P57" s="16" t="n"/>
      <c r="Q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J58" s="16" t="n"/>
      <c r="K58" s="17" t="inlineStr">
        <is>
          <t>Yes</t>
        </is>
      </c>
      <c r="L58" s="16">
        <f>(D58*6)+(E58*4)</f>
        <v/>
      </c>
      <c r="M58" s="16" t="n"/>
      <c r="N58" s="16" t="n"/>
      <c r="O58" s="16" t="n"/>
      <c r="P58" s="16" t="n"/>
      <c r="Q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 and DEF. Tails: -20 ATK and DEF</t>
        </is>
      </c>
      <c r="I59" t="inlineStr">
        <is>
          <t>ATK&amp;DEF→ATK and DEF; Head→Heads</t>
        </is>
      </c>
      <c r="J59" s="16" t="n"/>
      <c r="K59" s="17" t="inlineStr">
        <is>
          <t>Yes</t>
        </is>
      </c>
      <c r="L59" s="16">
        <f>(D59*6)+(E59*4)</f>
        <v/>
      </c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User confirmed -50 ATK was typo for -50 DEF.</t>
        </is>
      </c>
      <c r="J60" s="16" t="n"/>
      <c r="K60" s="17" t="inlineStr">
        <is>
          <t>Yes</t>
        </is>
      </c>
      <c r="L60" s="16">
        <f>(D60*6)+(E60*4)</f>
        <v/>
      </c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wording polish</t>
        </is>
      </c>
      <c r="J61" s="16" t="n"/>
      <c r="K61" s="17" t="inlineStr">
        <is>
          <t>Yes</t>
        </is>
      </c>
      <c r="L61" s="16">
        <f>(D61*6)+(E61*4)</f>
        <v/>
      </c>
      <c r="M61" s="16" t="n"/>
      <c r="N61" s="16" t="n"/>
      <c r="O61" s="16" t="n"/>
      <c r="P61" s="16" t="n"/>
      <c r="Q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J62" s="16" t="n"/>
      <c r="K62" s="17" t="inlineStr">
        <is>
          <t>Yes</t>
        </is>
      </c>
      <c r="L62" s="16">
        <f>(D62*6)+(E62*4)</f>
        <v/>
      </c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J63" s="16" t="n"/>
      <c r="K63" s="16" t="n"/>
      <c r="L63" s="16">
        <f>(D63*6)+(E63*4)</f>
        <v/>
      </c>
      <c r="M63" s="16" t="n"/>
      <c r="N63" s="16" t="n"/>
      <c r="O63" s="16" t="n"/>
      <c r="P63" s="16" t="n"/>
      <c r="Q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J64" s="16" t="n"/>
      <c r="K64" s="16" t="n"/>
      <c r="L64" s="16">
        <f>(D64*6)+(E64*4)</f>
        <v/>
      </c>
      <c r="M64" s="16" t="n"/>
      <c r="N64" s="16" t="n"/>
      <c r="O64" s="16" t="n"/>
      <c r="P64" s="16" t="n"/>
      <c r="Q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J65" s="16" t="n"/>
      <c r="K65" s="17" t="inlineStr">
        <is>
          <t>Yes</t>
        </is>
      </c>
      <c r="L65" s="16">
        <f>(D65*6)+(E65*4)</f>
        <v/>
      </c>
      <c r="M65" s="17" t="inlineStr">
        <is>
          <t>Yes</t>
        </is>
      </c>
      <c r="N65" s="16" t="n"/>
      <c r="O65" s="16" t="n"/>
      <c r="P65" s="17" t="inlineStr">
        <is>
          <t>Yes</t>
        </is>
      </c>
      <c r="Q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J66" s="16" t="n"/>
      <c r="K66" s="16" t="n"/>
      <c r="L66" s="16">
        <f>(D66*6)+(E66*4)</f>
        <v/>
      </c>
      <c r="M66" s="16" t="n"/>
      <c r="N66" s="16" t="n"/>
      <c r="O66" s="16" t="n"/>
      <c r="P66" s="16" t="n"/>
      <c r="Q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 and DEF equal to half of that foe’s card</t>
        </is>
      </c>
      <c r="I67" t="inlineStr">
        <is>
          <t>ATK&amp;DEF→ATK and DEF</t>
        </is>
      </c>
      <c r="J67" s="16" t="n"/>
      <c r="K67" s="17" t="inlineStr">
        <is>
          <t>Yes</t>
        </is>
      </c>
      <c r="L67" s="16">
        <f>(D67*6)+(E67*4)</f>
        <v/>
      </c>
      <c r="M67" s="17" t="inlineStr">
        <is>
          <t>Yes</t>
        </is>
      </c>
      <c r="N67" s="16" t="n"/>
      <c r="O67" s="16" t="n"/>
      <c r="P67" s="17" t="inlineStr">
        <is>
          <t>Yes</t>
        </is>
      </c>
      <c r="Q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J68" s="16" t="n"/>
      <c r="K68" s="16" t="n"/>
      <c r="L68" s="16">
        <f>(D68*6)+(E68*4)</f>
        <v/>
      </c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Heads:, swap position with any of own unit. Repeat Reckoning.</t>
        </is>
      </c>
      <c r="I69" t="inlineStr">
        <is>
          <t>Head→Heads</t>
        </is>
      </c>
      <c r="J69" s="16" t="n"/>
      <c r="K69" s="17" t="inlineStr">
        <is>
          <t>Yes</t>
        </is>
      </c>
      <c r="L69" s="16">
        <f>(D69*6)+(E69*4)</f>
        <v/>
      </c>
      <c r="M69" s="17" t="inlineStr">
        <is>
          <t>Yes</t>
        </is>
      </c>
      <c r="N69" s="16" t="n"/>
      <c r="O69" s="16" t="n"/>
      <c r="P69" s="16" t="n"/>
      <c r="Q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wording polish</t>
        </is>
      </c>
      <c r="J70" s="16" t="n"/>
      <c r="K70" s="17" t="inlineStr">
        <is>
          <t>Yes</t>
        </is>
      </c>
      <c r="L70" s="16">
        <f>(D70*6)+(E70*4)</f>
        <v/>
      </c>
      <c r="M70" s="17" t="inlineStr">
        <is>
          <t>Yes</t>
        </is>
      </c>
      <c r="N70" s="16" t="n"/>
      <c r="O70" s="17" t="inlineStr">
        <is>
          <t>Yes</t>
        </is>
      </c>
      <c r="P70" s="16" t="n"/>
      <c r="Q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500 or more Crystals, they recover 300 Crystals</t>
        </is>
      </c>
      <c r="J71" s="16" t="n"/>
      <c r="K71" s="17" t="inlineStr">
        <is>
          <t>Yes</t>
        </is>
      </c>
      <c r="L71" s="16">
        <f>(D71*6)+(E71*4)</f>
        <v/>
      </c>
      <c r="M71" s="17" t="inlineStr">
        <is>
          <t>Yes</t>
        </is>
      </c>
      <c r="N71" s="16" t="n"/>
      <c r="O71" s="17" t="inlineStr">
        <is>
          <t>Yes</t>
        </is>
      </c>
      <c r="P71" s="16" t="n"/>
      <c r="Q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J72" s="16" t="n"/>
      <c r="K72" s="17" t="inlineStr">
        <is>
          <t>Yes</t>
        </is>
      </c>
      <c r="L72" s="16">
        <f>(D72*6)+(E72*4)</f>
        <v/>
      </c>
      <c r="M72" s="17" t="inlineStr">
        <is>
          <t>Yes</t>
        </is>
      </c>
      <c r="N72" s="16" t="n"/>
      <c r="O72" s="16" t="n"/>
      <c r="P72" s="16" t="n"/>
      <c r="Q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J73" s="16" t="n"/>
      <c r="K73" s="16" t="n"/>
      <c r="L73" s="16">
        <f>(D73*6)+(E73*4)</f>
        <v/>
      </c>
      <c r="M73" s="16" t="n"/>
      <c r="N73" s="16" t="n"/>
      <c r="O73" s="16" t="n"/>
      <c r="P73" s="16" t="n"/>
      <c r="Q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J74" s="16" t="n"/>
      <c r="K74" s="16" t="n"/>
      <c r="L74" s="16">
        <f>(D74*6)+(E74*4)</f>
        <v/>
      </c>
      <c r="M74" s="16" t="n"/>
      <c r="N74" s="16" t="n"/>
      <c r="O74" s="16" t="n"/>
      <c r="P74" s="16" t="n"/>
      <c r="Q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J75" s="16" t="n"/>
      <c r="K75" s="16" t="n"/>
      <c r="L75" s="16">
        <f>(D75*6)+(E75*4)</f>
        <v/>
      </c>
      <c r="M75" s="16" t="n"/>
      <c r="N75" s="16" t="n"/>
      <c r="O75" s="16" t="n"/>
      <c r="P75" s="16" t="n"/>
      <c r="Q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J76" s="16" t="n"/>
      <c r="K76" s="17" t="inlineStr">
        <is>
          <t>Yes</t>
        </is>
      </c>
      <c r="L76" s="16">
        <f>(D76*6)+(E76*4)</f>
        <v/>
      </c>
      <c r="M76" s="17" t="inlineStr">
        <is>
          <t>Yes</t>
        </is>
      </c>
      <c r="N76" s="16" t="n"/>
      <c r="O76" s="17" t="inlineStr">
        <is>
          <t>Yes</t>
        </is>
      </c>
      <c r="P76" s="16" t="n"/>
      <c r="Q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 and DEF vs Chaos card</t>
        </is>
      </c>
      <c r="I77" t="inlineStr">
        <is>
          <t>ATK&amp;DEF→ATK and DEF</t>
        </is>
      </c>
      <c r="J77" s="16" t="n"/>
      <c r="K77" s="16" t="n"/>
      <c r="L77" s="16">
        <f>(D77*6)+(E77*4)</f>
        <v/>
      </c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at least 1 exposed Divine unit is on the field, this card gain 35 DEF</t>
        </is>
      </c>
      <c r="J78" s="16" t="n"/>
      <c r="K78" s="17" t="inlineStr">
        <is>
          <t>Yes</t>
        </is>
      </c>
      <c r="L78" s="16">
        <f>(D78*6)+(E78*4)</f>
        <v/>
      </c>
      <c r="M78" s="17" t="inlineStr">
        <is>
          <t>Yes</t>
        </is>
      </c>
      <c r="N78" s="16" t="n"/>
      <c r="O78" s="16" t="n"/>
      <c r="P78" s="17" t="inlineStr">
        <is>
          <t>Yes</t>
        </is>
      </c>
      <c r="Q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J79" s="16" t="n"/>
      <c r="K79" s="17" t="inlineStr">
        <is>
          <t>Yes</t>
        </is>
      </c>
      <c r="L79" s="16">
        <f>(D79*6)+(E79*4)</f>
        <v/>
      </c>
      <c r="M79" s="17" t="inlineStr">
        <is>
          <t>Yes</t>
        </is>
      </c>
      <c r="N79" s="16" t="n"/>
      <c r="O79" s="16" t="n"/>
      <c r="P79" s="17" t="inlineStr">
        <is>
          <t>Yes</t>
        </is>
      </c>
      <c r="Q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J80" s="16" t="n"/>
      <c r="K80" s="17" t="inlineStr">
        <is>
          <t>Yes</t>
        </is>
      </c>
      <c r="L80" s="16">
        <f>(D80*6)+(E80*4)</f>
        <v/>
      </c>
      <c r="M80" s="17" t="inlineStr">
        <is>
          <t>Yes</t>
        </is>
      </c>
      <c r="N80" s="16" t="n"/>
      <c r="O80" s="16" t="n"/>
      <c r="P80" s="17" t="inlineStr">
        <is>
          <t>Yes</t>
        </is>
      </c>
      <c r="Q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J81" s="16" t="n"/>
      <c r="K81" s="17" t="inlineStr">
        <is>
          <t>Yes</t>
        </is>
      </c>
      <c r="L81" s="16">
        <f>(D81*6)+(E81*4)</f>
        <v/>
      </c>
      <c r="M81" s="17" t="inlineStr">
        <is>
          <t>Yes</t>
        </is>
      </c>
      <c r="N81" s="16" t="n"/>
      <c r="O81" s="16" t="n"/>
      <c r="P81" s="17" t="inlineStr">
        <is>
          <t>Yes</t>
        </is>
      </c>
      <c r="Q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J82" s="16" t="n"/>
      <c r="K82" s="17" t="inlineStr">
        <is>
          <t>Yes</t>
        </is>
      </c>
      <c r="L82" s="16">
        <f>(D82*6)+(E82*4)</f>
        <v/>
      </c>
      <c r="M82" s="17" t="inlineStr">
        <is>
          <t>Yes</t>
        </is>
      </c>
      <c r="N82" s="16" t="n"/>
      <c r="O82" s="16" t="n"/>
      <c r="P82" s="16" t="n"/>
      <c r="Q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J83" s="16" t="n"/>
      <c r="K83" s="17" t="inlineStr">
        <is>
          <t>Yes</t>
        </is>
      </c>
      <c r="L83" s="16">
        <f>(D83*6)+(E83*4)</f>
        <v/>
      </c>
      <c r="M83" s="17" t="inlineStr">
        <is>
          <t>Yes</t>
        </is>
      </c>
      <c r="N83" s="16" t="n"/>
      <c r="O83" s="17" t="inlineStr">
        <is>
          <t>Yes</t>
        </is>
      </c>
      <c r="P83" s="16" t="n"/>
      <c r="Q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wording polish</t>
        </is>
      </c>
      <c r="J84" s="16" t="n"/>
      <c r="K84" s="17" t="inlineStr">
        <is>
          <t>Yes</t>
        </is>
      </c>
      <c r="L84" s="16">
        <f>(D84*6)+(E84*4)</f>
        <v/>
      </c>
      <c r="M84" s="17" t="inlineStr">
        <is>
          <t>Yes</t>
        </is>
      </c>
      <c r="N84" s="16" t="n"/>
      <c r="O84" s="17" t="inlineStr">
        <is>
          <t>Yes</t>
        </is>
      </c>
      <c r="P84" s="16" t="n"/>
      <c r="Q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J85" s="16" t="n"/>
      <c r="K85" s="16" t="n"/>
      <c r="L85" s="16">
        <f>(D85*6)+(E85*4)</f>
        <v/>
      </c>
      <c r="M85" s="16" t="n"/>
      <c r="N85" s="16" t="n"/>
      <c r="O85" s="16" t="n"/>
      <c r="P85" s="16" t="n"/>
      <c r="Q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wording polish</t>
        </is>
      </c>
      <c r="J86" s="16" t="n"/>
      <c r="K86" s="17" t="inlineStr">
        <is>
          <t>Yes</t>
        </is>
      </c>
      <c r="L86" s="16">
        <f>(D86*6)+(E86*4)</f>
        <v/>
      </c>
      <c r="M86" s="17" t="inlineStr">
        <is>
          <t>Yes</t>
        </is>
      </c>
      <c r="N86" s="16" t="n"/>
      <c r="O86" s="16" t="n"/>
      <c r="P86" s="17" t="inlineStr">
        <is>
          <t>Yes</t>
        </is>
      </c>
      <c r="Q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wording polish</t>
        </is>
      </c>
      <c r="J87" s="16" t="n"/>
      <c r="K87" s="16" t="n"/>
      <c r="L87" s="16">
        <f>(D87*6)+(E87*4)</f>
        <v/>
      </c>
      <c r="M87" s="16" t="n"/>
      <c r="N87" s="16" t="n"/>
      <c r="O87" s="16" t="n"/>
      <c r="P87" s="16" t="n"/>
      <c r="Q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Head→Heads</t>
        </is>
      </c>
      <c r="J88" s="16" t="n"/>
      <c r="K88" s="16" t="n"/>
      <c r="L88" s="16">
        <f>(D88*6)+(E88*4)</f>
        <v/>
      </c>
      <c r="M88" s="16" t="n"/>
      <c r="N88" s="16" t="n"/>
      <c r="O88" s="16" t="n"/>
      <c r="P88" s="16" t="n"/>
      <c r="Q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Head→Heads</t>
        </is>
      </c>
      <c r="J89" s="16" t="n"/>
      <c r="K89" s="16" t="n"/>
      <c r="L89" s="16">
        <f>(D89*6)+(E89*4)</f>
        <v/>
      </c>
      <c r="M89" s="16" t="n"/>
      <c r="N89" s="16" t="n"/>
      <c r="O89" s="16" t="n"/>
      <c r="P89" s="16" t="n"/>
      <c r="Q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J90" s="16" t="n"/>
      <c r="K90" s="16" t="n"/>
      <c r="L90" s="16">
        <f>(D90*6)+(E90*4)</f>
        <v/>
      </c>
      <c r="M90" s="16" t="n"/>
      <c r="N90" s="16" t="n"/>
      <c r="O90" s="16" t="n"/>
      <c r="P90" s="16" t="n"/>
      <c r="Q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J91" s="16" t="n"/>
      <c r="K91" s="17" t="inlineStr">
        <is>
          <t>Yes</t>
        </is>
      </c>
      <c r="L91" s="16">
        <f>(D91*6)+(E91*4)</f>
        <v/>
      </c>
      <c r="M91" s="17" t="inlineStr">
        <is>
          <t>Yes</t>
        </is>
      </c>
      <c r="N91" s="16" t="n"/>
      <c r="O91" s="16" t="n"/>
      <c r="P91" s="16" t="n"/>
      <c r="Q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J92" s="16" t="n"/>
      <c r="K92" s="16" t="n"/>
      <c r="L92" s="16">
        <f>(D92*6)+(E92*4)</f>
        <v/>
      </c>
      <c r="M92" s="16" t="n"/>
      <c r="N92" s="16" t="n"/>
      <c r="O92" s="16" t="n"/>
      <c r="P92" s="16" t="n"/>
      <c r="Q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J93" s="16" t="n"/>
      <c r="K93" s="17" t="inlineStr">
        <is>
          <t>Yes</t>
        </is>
      </c>
      <c r="L93" s="16">
        <f>(D93*6)+(E93*4)</f>
        <v/>
      </c>
      <c r="M93" s="17" t="inlineStr">
        <is>
          <t>Yes</t>
        </is>
      </c>
      <c r="N93" s="16" t="n"/>
      <c r="O93" s="16" t="n"/>
      <c r="P93" s="17" t="inlineStr">
        <is>
          <t>Yes</t>
        </is>
      </c>
      <c r="Q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 and DEF for each exposed Chaos unit on foe’s field</t>
        </is>
      </c>
      <c r="I94" t="inlineStr">
        <is>
          <t>ATK&amp;DEF→ATK and DEF</t>
        </is>
      </c>
      <c r="J94" s="16" t="n"/>
      <c r="K94" s="16" t="n"/>
      <c r="L94" s="16">
        <f>(D94*6)+(E94*4)</f>
        <v/>
      </c>
      <c r="M94" s="16" t="n"/>
      <c r="N94" s="16" t="n"/>
      <c r="O94" s="16" t="n"/>
      <c r="P94" s="16" t="n"/>
      <c r="Q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 and DEF to other Divine card on its side</t>
        </is>
      </c>
      <c r="I95" t="inlineStr">
        <is>
          <t>ATK&amp;DEF→ATK and DEF</t>
        </is>
      </c>
      <c r="J95" s="16" t="n"/>
      <c r="K95" s="16" t="n"/>
      <c r="L95" s="16">
        <f>(D95*6)+(E95*4)</f>
        <v/>
      </c>
      <c r="M95" s="16" t="n"/>
      <c r="N95" s="16" t="n"/>
      <c r="O95" s="16" t="n"/>
      <c r="P95" s="16" t="n"/>
      <c r="Q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J96" s="16" t="n"/>
      <c r="K96" s="17" t="inlineStr">
        <is>
          <t>Yes</t>
        </is>
      </c>
      <c r="L96" s="16">
        <f>(D96*6)+(E96*4)</f>
        <v/>
      </c>
      <c r="M96" s="17" t="inlineStr">
        <is>
          <t>Yes</t>
        </is>
      </c>
      <c r="N96" s="16" t="n"/>
      <c r="O96" s="17" t="inlineStr">
        <is>
          <t>Yes</t>
        </is>
      </c>
      <c r="P96" s="16" t="n"/>
      <c r="Q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J97" s="16" t="n"/>
      <c r="K97" s="17" t="inlineStr">
        <is>
          <t>Yes</t>
        </is>
      </c>
      <c r="L97" s="16">
        <f>(D97*6)+(E97*4)</f>
        <v/>
      </c>
      <c r="M97" s="17" t="inlineStr">
        <is>
          <t>Yes</t>
        </is>
      </c>
      <c r="N97" s="16" t="n"/>
      <c r="O97" s="16" t="n"/>
      <c r="P97" s="16" t="n"/>
      <c r="Q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J98" s="16" t="n"/>
      <c r="K98" s="17" t="inlineStr">
        <is>
          <t>Yes</t>
        </is>
      </c>
      <c r="L98" s="16">
        <f>(D98*6)+(E98*4)</f>
        <v/>
      </c>
      <c r="M98" s="17" t="inlineStr">
        <is>
          <t>Yes</t>
        </is>
      </c>
      <c r="N98" s="16" t="n"/>
      <c r="O98" s="17" t="inlineStr">
        <is>
          <t>Yes</t>
        </is>
      </c>
      <c r="P98" s="16" t="n"/>
      <c r="Q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J99" s="16" t="n"/>
      <c r="K99" s="16" t="n"/>
      <c r="L99" s="16">
        <f>(D99*6)+(E99*4)</f>
        <v/>
      </c>
      <c r="M99" s="16" t="n"/>
      <c r="N99" s="16" t="n"/>
      <c r="O99" s="16" t="n"/>
      <c r="P99" s="16" t="n"/>
      <c r="Q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J100" s="16" t="n"/>
      <c r="K100" s="16" t="n"/>
      <c r="L100" s="16">
        <f>(D100*6)+(E100*4)</f>
        <v/>
      </c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J101" s="16" t="n"/>
      <c r="K101" s="16" t="n"/>
      <c r="L101" s="16">
        <f>(D101*6)+(E101*4)</f>
        <v/>
      </c>
      <c r="M101" s="16" t="n"/>
      <c r="N101" s="16" t="n"/>
      <c r="O101" s="16" t="n"/>
      <c r="P101" s="16" t="n"/>
      <c r="Q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wording polish</t>
        </is>
      </c>
      <c r="J102" s="16" t="n"/>
      <c r="K102" s="16" t="n"/>
      <c r="L102" s="16">
        <f>(D102*6)+(E102*4)</f>
        <v/>
      </c>
      <c r="M102" s="16" t="n"/>
      <c r="N102" s="16" t="n"/>
      <c r="O102" s="16" t="n"/>
      <c r="P102" s="16" t="n"/>
      <c r="Q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 and DEF if performs attack on Chaos</t>
        </is>
      </c>
      <c r="I103" t="inlineStr">
        <is>
          <t>ATK&amp;DEF→ATK and DEF</t>
        </is>
      </c>
      <c r="J103" s="16" t="n"/>
      <c r="K103" s="16" t="n"/>
      <c r="L103" s="16">
        <f>(D103*6)+(E103*4)</f>
        <v/>
      </c>
      <c r="M103" s="16" t="n"/>
      <c r="N103" s="16" t="n"/>
      <c r="O103" s="16" t="n"/>
      <c r="P103" s="16" t="n"/>
      <c r="Q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 and DEF to Anima unit</t>
        </is>
      </c>
      <c r="I104" t="inlineStr">
        <is>
          <t>ATK&amp;DEF→ATK and DEF</t>
        </is>
      </c>
      <c r="J104" s="16" t="n"/>
      <c r="K104" s="16" t="n"/>
      <c r="L104" s="16">
        <f>(D104*6)+(E104*4)</f>
        <v/>
      </c>
      <c r="M104" s="16" t="n"/>
      <c r="N104" s="16" t="n"/>
      <c r="O104" s="16" t="n"/>
      <c r="P104" s="16" t="n"/>
      <c r="Q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J105" s="16" t="n"/>
      <c r="K105" s="16" t="n"/>
      <c r="L105" s="16">
        <f>(D105*6)+(E105*4)</f>
        <v/>
      </c>
      <c r="M105" s="16" t="n"/>
      <c r="N105" s="16" t="n"/>
      <c r="O105" s="16" t="n"/>
      <c r="P105" s="16" t="n"/>
      <c r="Q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 and DEF for each exposed Divine cards on its side</t>
        </is>
      </c>
      <c r="I106" t="inlineStr">
        <is>
          <t>ATK&amp;DEF→ATK and DEF</t>
        </is>
      </c>
      <c r="J106" s="16" t="n"/>
      <c r="K106" s="16" t="n"/>
      <c r="L106" s="16">
        <f>(D106*6)+(E106*4)</f>
        <v/>
      </c>
      <c r="M106" s="16" t="n"/>
      <c r="N106" s="16" t="n"/>
      <c r="O106" s="16" t="n"/>
      <c r="P106" s="16" t="n"/>
      <c r="Q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 becomes 0 permanently</t>
        </is>
      </c>
      <c r="J107" s="16" t="n"/>
      <c r="K107" s="17" t="inlineStr">
        <is>
          <t>Yes</t>
        </is>
      </c>
      <c r="L107" s="16">
        <f>(D107*6)+(E107*4)</f>
        <v/>
      </c>
      <c r="M107" s="17" t="inlineStr">
        <is>
          <t>Yes</t>
        </is>
      </c>
      <c r="N107" s="16" t="n"/>
      <c r="O107" s="16" t="n"/>
      <c r="P107" s="17" t="inlineStr">
        <is>
          <t>Yes</t>
        </is>
      </c>
      <c r="Q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Heads:, +10 ATK</t>
        </is>
      </c>
      <c r="I108" t="inlineStr">
        <is>
          <t>Head→Heads</t>
        </is>
      </c>
      <c r="J108" s="16" t="n"/>
      <c r="K108" s="17" t="inlineStr">
        <is>
          <t>Yes</t>
        </is>
      </c>
      <c r="L108" s="16">
        <f>(D108*6)+(E108*4)</f>
        <v/>
      </c>
      <c r="M108" s="17" t="inlineStr">
        <is>
          <t>Yes</t>
        </is>
      </c>
      <c r="N108" s="16" t="n"/>
      <c r="O108" s="16" t="n"/>
      <c r="P108" s="17" t="inlineStr">
        <is>
          <t>Yes</t>
        </is>
      </c>
      <c r="Q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J109" s="16" t="n"/>
      <c r="K109" s="17" t="inlineStr">
        <is>
          <t>Yes</t>
        </is>
      </c>
      <c r="L109" s="16">
        <f>(D109*6)+(E109*4)</f>
        <v/>
      </c>
      <c r="M109" s="17" t="inlineStr">
        <is>
          <t>Yes</t>
        </is>
      </c>
      <c r="N109" s="16" t="n"/>
      <c r="O109" s="16" t="n"/>
      <c r="P109" s="17" t="inlineStr">
        <is>
          <t>Yes</t>
        </is>
      </c>
      <c r="Q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 and DEF vs Arcane and Cosmic</t>
        </is>
      </c>
      <c r="I110" t="inlineStr">
        <is>
          <t>ATK&amp;DEF→ATK and DEF</t>
        </is>
      </c>
      <c r="J110" s="16" t="n"/>
      <c r="K110" s="16" t="n"/>
      <c r="L110" s="16">
        <f>(D110*6)+(E110*4)</f>
        <v/>
      </c>
      <c r="M110" s="16" t="n"/>
      <c r="N110" s="16" t="n"/>
      <c r="O110" s="16" t="n"/>
      <c r="P110" s="16" t="n"/>
      <c r="Q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J111" s="16" t="n"/>
      <c r="K111" s="16" t="n"/>
      <c r="L111" s="16">
        <f>(D111*6)+(E111*4)</f>
        <v/>
      </c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J112" s="16" t="n"/>
      <c r="K112" s="16" t="n"/>
      <c r="L112" s="16">
        <f>(D112*6)+(E112*4)</f>
        <v/>
      </c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wording polish</t>
        </is>
      </c>
      <c r="J113" s="16" t="n"/>
      <c r="K113" s="16" t="n"/>
      <c r="L113" s="16">
        <f>(D113*6)+(E113*4)</f>
        <v/>
      </c>
      <c r="M113" s="16" t="n"/>
      <c r="N113" s="16" t="n"/>
      <c r="O113" s="16" t="n"/>
      <c r="P113" s="16" t="n"/>
      <c r="Q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J114" s="16" t="n"/>
      <c r="K114" s="16" t="n"/>
      <c r="L114" s="16">
        <f>(D114*6)+(E114*4)</f>
        <v/>
      </c>
      <c r="M114" s="16" t="n"/>
      <c r="N114" s="16" t="n"/>
      <c r="O114" s="16" t="n"/>
      <c r="P114" s="16" t="n"/>
      <c r="Q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J115" s="16" t="n"/>
      <c r="K115" s="16" t="n"/>
      <c r="L115" s="16">
        <f>(D115*6)+(E115*4)</f>
        <v/>
      </c>
      <c r="M115" s="16" t="n"/>
      <c r="N115" s="16" t="n"/>
      <c r="O115" s="16" t="n"/>
      <c r="P115" s="16" t="n"/>
      <c r="Q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wording polish</t>
        </is>
      </c>
      <c r="J116" s="16" t="n"/>
      <c r="K116" s="16" t="n"/>
      <c r="L116" s="16">
        <f>(D116*6)+(E116*4)</f>
        <v/>
      </c>
      <c r="M116" s="16" t="n"/>
      <c r="N116" s="16" t="n"/>
      <c r="O116" s="16" t="n"/>
      <c r="P116" s="16" t="n"/>
      <c r="Q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J117" s="16" t="n"/>
      <c r="K117" s="16" t="n"/>
      <c r="L117" s="16">
        <f>(D117*6)+(E117*4)</f>
        <v/>
      </c>
      <c r="M117" s="16" t="n"/>
      <c r="N117" s="16" t="n"/>
      <c r="O117" s="16" t="n"/>
      <c r="P117" s="16" t="n"/>
      <c r="Q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wording polish</t>
        </is>
      </c>
      <c r="J118" s="16" t="n"/>
      <c r="K118" s="16" t="n"/>
      <c r="L118" s="16">
        <f>(D118*6)+(E118*4)</f>
        <v/>
      </c>
      <c r="M118" s="16" t="n"/>
      <c r="N118" s="16" t="n"/>
      <c r="O118" s="16" t="n"/>
      <c r="P118" s="16" t="n"/>
      <c r="Q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J119" s="16" t="n"/>
      <c r="K119" s="16" t="n"/>
      <c r="L119" s="16">
        <f>(D119*6)+(E119*4)</f>
        <v/>
      </c>
      <c r="M119" s="16" t="n"/>
      <c r="N119" s="16" t="n"/>
      <c r="O119" s="16" t="n"/>
      <c r="P119" s="16" t="n"/>
      <c r="Q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J120" s="16" t="n"/>
      <c r="K120" s="16" t="n"/>
      <c r="L120" s="16">
        <f>(D120*6)+(E120*4)</f>
        <v/>
      </c>
      <c r="M120" s="16" t="n"/>
      <c r="N120" s="16" t="n"/>
      <c r="O120" s="16" t="n"/>
      <c r="P120" s="16" t="n"/>
      <c r="Q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wording polish</t>
        </is>
      </c>
      <c r="J121" s="16" t="n"/>
      <c r="K121" s="17" t="inlineStr">
        <is>
          <t>Yes</t>
        </is>
      </c>
      <c r="L121" s="16">
        <f>(D121*6)+(E121*4)</f>
        <v/>
      </c>
      <c r="M121" s="17" t="inlineStr">
        <is>
          <t>Yes</t>
        </is>
      </c>
      <c r="N121" s="16" t="n"/>
      <c r="O121" s="16" t="n"/>
      <c r="P121" s="16" t="n"/>
      <c r="Q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wording polish</t>
        </is>
      </c>
      <c r="J122" s="16" t="n"/>
      <c r="K122" s="16" t="n"/>
      <c r="L122" s="16">
        <f>(D122*6)+(E122*4)</f>
        <v/>
      </c>
      <c r="M122" s="16" t="n"/>
      <c r="N122" s="16" t="n"/>
      <c r="O122" s="16" t="n"/>
      <c r="P122" s="16" t="n"/>
      <c r="Q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 and DEF</t>
        </is>
      </c>
      <c r="I123" t="inlineStr">
        <is>
          <t>ATK&amp;DEF→ATK and DEF</t>
        </is>
      </c>
      <c r="J123" s="16" t="n"/>
      <c r="K123" s="16" t="n"/>
      <c r="L123" s="16">
        <f>(D123*6)+(E123*4)</f>
        <v/>
      </c>
      <c r="M123" s="16" t="n"/>
      <c r="N123" s="16" t="n"/>
      <c r="O123" s="16" t="n"/>
      <c r="P123" s="16" t="n"/>
      <c r="Q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J124" s="16" t="n"/>
      <c r="K124" s="17" t="inlineStr">
        <is>
          <t>Yes</t>
        </is>
      </c>
      <c r="L124" s="16">
        <f>(D124*6)+(E124*4)</f>
        <v/>
      </c>
      <c r="M124" s="17" t="inlineStr">
        <is>
          <t>Yes</t>
        </is>
      </c>
      <c r="N124" s="16" t="n"/>
      <c r="O124" s="17" t="inlineStr">
        <is>
          <t>Yes</t>
        </is>
      </c>
      <c r="P124" s="16" t="n"/>
      <c r="Q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J125" s="16" t="n"/>
      <c r="K125" s="17" t="inlineStr">
        <is>
          <t>Yes</t>
        </is>
      </c>
      <c r="L125" s="16">
        <f>(D125*6)+(E125*4)</f>
        <v/>
      </c>
      <c r="M125" s="17" t="inlineStr">
        <is>
          <t>Yes</t>
        </is>
      </c>
      <c r="N125" s="16" t="n"/>
      <c r="O125" s="17" t="inlineStr">
        <is>
          <t>Yes</t>
        </is>
      </c>
      <c r="P125" s="16" t="n"/>
      <c r="Q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J126" s="16" t="n"/>
      <c r="K126" s="16" t="n"/>
      <c r="L126" s="16">
        <f>(D126*6)+(E126*4)</f>
        <v/>
      </c>
      <c r="M126" s="16" t="n"/>
      <c r="N126" s="16" t="n"/>
      <c r="O126" s="16" t="n"/>
      <c r="P126" s="16" t="n"/>
      <c r="Q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J127" s="16" t="n"/>
      <c r="K127" s="17" t="inlineStr">
        <is>
          <t>Yes</t>
        </is>
      </c>
      <c r="L127" s="16">
        <f>(D127*6)+(E127*4)</f>
        <v/>
      </c>
      <c r="M127" s="17" t="inlineStr">
        <is>
          <t>Yes</t>
        </is>
      </c>
      <c r="N127" s="16" t="n"/>
      <c r="O127" s="17" t="inlineStr">
        <is>
          <t>Yes</t>
        </is>
      </c>
      <c r="P127" s="16" t="n"/>
      <c r="Q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J128" s="16" t="n"/>
      <c r="K128" s="17" t="inlineStr">
        <is>
          <t>Yes</t>
        </is>
      </c>
      <c r="L128" s="16">
        <f>(D128*6)+(E128*4)</f>
        <v/>
      </c>
      <c r="M128" s="17" t="inlineStr">
        <is>
          <t>Yes</t>
        </is>
      </c>
      <c r="N128" s="16" t="n"/>
      <c r="O128" s="17" t="inlineStr">
        <is>
          <t>Yes</t>
        </is>
      </c>
      <c r="P128" s="16" t="n"/>
      <c r="Q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J129" s="16" t="n"/>
      <c r="K129" s="17" t="inlineStr">
        <is>
          <t>Yes</t>
        </is>
      </c>
      <c r="L129" s="16">
        <f>(D129*6)+(E129*4)</f>
        <v/>
      </c>
      <c r="M129" s="17" t="inlineStr">
        <is>
          <t>Yes</t>
        </is>
      </c>
      <c r="N129" s="16" t="n"/>
      <c r="O129" s="16" t="n"/>
      <c r="P129" s="17" t="inlineStr">
        <is>
          <t>Yes</t>
        </is>
      </c>
      <c r="Q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J130" s="16" t="n"/>
      <c r="K130" s="16" t="n"/>
      <c r="L130" s="16">
        <f>(D130*6)+(E130*4)</f>
        <v/>
      </c>
      <c r="M130" s="16" t="n"/>
      <c r="N130" s="16" t="n"/>
      <c r="O130" s="16" t="n"/>
      <c r="P130" s="16" t="n"/>
      <c r="Q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J131" s="16" t="n"/>
      <c r="K131" s="16" t="n"/>
      <c r="L131" s="16">
        <f>(D131*6)+(E131*4)</f>
        <v/>
      </c>
      <c r="M131" s="16" t="n"/>
      <c r="N131" s="16" t="n"/>
      <c r="O131" s="16" t="n"/>
      <c r="P131" s="16" t="n"/>
      <c r="Q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J132" s="16" t="n"/>
      <c r="K132" s="17" t="inlineStr">
        <is>
          <t>Yes</t>
        </is>
      </c>
      <c r="L132" s="16">
        <f>(D132*6)+(E132*4)</f>
        <v/>
      </c>
      <c r="M132" s="17" t="inlineStr">
        <is>
          <t>Yes</t>
        </is>
      </c>
      <c r="N132" s="16" t="n"/>
      <c r="O132" s="17" t="inlineStr">
        <is>
          <t>Yes</t>
        </is>
      </c>
      <c r="P132" s="16" t="n"/>
      <c r="Q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J133" s="16" t="n"/>
      <c r="K133" s="16" t="n"/>
      <c r="L133" s="16">
        <f>(D133*6)+(E133*4)</f>
        <v/>
      </c>
      <c r="M133" s="16" t="n"/>
      <c r="N133" s="16" t="n"/>
      <c r="O133" s="16" t="n"/>
      <c r="P133" s="16" t="n"/>
      <c r="Q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J134" s="16" t="n"/>
      <c r="K134" s="16" t="n"/>
      <c r="L134" s="16">
        <f>(D134*6)+(E134*4)</f>
        <v/>
      </c>
      <c r="M134" s="16" t="n"/>
      <c r="N134" s="16" t="n"/>
      <c r="O134" s="16" t="n"/>
      <c r="P134" s="16" t="n"/>
      <c r="Q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J135" s="16" t="n"/>
      <c r="K135" s="16" t="n"/>
      <c r="L135" s="16">
        <f>(D135*6)+(E135*4)</f>
        <v/>
      </c>
      <c r="M135" s="16" t="n"/>
      <c r="N135" s="16" t="n"/>
      <c r="O135" s="16" t="n"/>
      <c r="P135" s="16" t="n"/>
      <c r="Q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J136" s="16" t="n"/>
      <c r="K136" s="17" t="inlineStr">
        <is>
          <t>Yes</t>
        </is>
      </c>
      <c r="L136" s="16">
        <f>(D136*6)+(E136*4)</f>
        <v/>
      </c>
      <c r="M136" s="17" t="inlineStr">
        <is>
          <t>Yes</t>
        </is>
      </c>
      <c r="N136" s="16" t="n"/>
      <c r="O136" s="17" t="inlineStr">
        <is>
          <t>Yes</t>
        </is>
      </c>
      <c r="P136" s="16" t="n"/>
      <c r="Q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J137" s="16" t="n"/>
      <c r="K137" s="16" t="n"/>
      <c r="L137" s="16">
        <f>(D137*6)+(E137*4)</f>
        <v/>
      </c>
      <c r="M137" s="16" t="n"/>
      <c r="N137" s="16" t="n"/>
      <c r="O137" s="16" t="n"/>
      <c r="P137" s="16" t="n"/>
      <c r="Q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Shortened immunity wording.</t>
        </is>
      </c>
      <c r="J138" s="16" t="n"/>
      <c r="K138" s="16" t="n"/>
      <c r="L138" s="16">
        <f>(D138*6)+(E138*4)</f>
        <v/>
      </c>
      <c r="M138" s="16" t="n"/>
      <c r="N138" s="16" t="n"/>
      <c r="O138" s="16" t="n"/>
      <c r="P138" s="16" t="n"/>
      <c r="Q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Shortened immunity wording.</t>
        </is>
      </c>
      <c r="J139" s="16" t="n"/>
      <c r="K139" s="17" t="inlineStr">
        <is>
          <t>Yes</t>
        </is>
      </c>
      <c r="L139" s="16">
        <f>(D139*6)+(E139*4)</f>
        <v/>
      </c>
      <c r="M139" s="17" t="inlineStr">
        <is>
          <t>Yes</t>
        </is>
      </c>
      <c r="N139" s="16" t="n"/>
      <c r="O139" s="16" t="n"/>
      <c r="P139" s="16" t="n"/>
      <c r="Q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J140" s="16" t="n"/>
      <c r="K140" s="17" t="inlineStr">
        <is>
          <t>Yes</t>
        </is>
      </c>
      <c r="L140" s="16">
        <f>(D140*6)+(E140*4)</f>
        <v/>
      </c>
      <c r="M140" s="17" t="inlineStr">
        <is>
          <t>Yes</t>
        </is>
      </c>
      <c r="N140" s="16" t="n"/>
      <c r="O140" s="17" t="inlineStr">
        <is>
          <t>Yes</t>
        </is>
      </c>
      <c r="P140" s="16" t="n"/>
      <c r="Q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wording polish</t>
        </is>
      </c>
      <c r="J141" s="16" t="n"/>
      <c r="K141" s="17" t="inlineStr">
        <is>
          <t>Yes</t>
        </is>
      </c>
      <c r="L141" s="16">
        <f>(D141*6)+(E141*4)</f>
        <v/>
      </c>
      <c r="M141" s="17" t="inlineStr">
        <is>
          <t>Yes</t>
        </is>
      </c>
      <c r="N141" s="16" t="n"/>
      <c r="O141" s="17" t="inlineStr">
        <is>
          <t>Yes</t>
        </is>
      </c>
      <c r="P141" s="16" t="n"/>
      <c r="Q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J142" s="16" t="n"/>
      <c r="K142" s="16" t="n"/>
      <c r="L142" s="16">
        <f>(D142*6)+(E142*4)</f>
        <v/>
      </c>
      <c r="M142" s="16" t="n"/>
      <c r="N142" s="16" t="n"/>
      <c r="O142" s="16" t="n"/>
      <c r="P142" s="16" t="n"/>
      <c r="Q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J143" s="16" t="n"/>
      <c r="K143" s="16" t="n"/>
      <c r="L143" s="16">
        <f>(D143*6)+(E143*4)</f>
        <v/>
      </c>
      <c r="M143" s="16" t="n"/>
      <c r="N143" s="16" t="n"/>
      <c r="O143" s="16" t="n"/>
      <c r="P143" s="16" t="n"/>
      <c r="Q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J144" s="16" t="n"/>
      <c r="K144" s="16" t="n"/>
      <c r="L144" s="16">
        <f>(D144*6)+(E144*4)</f>
        <v/>
      </c>
      <c r="M144" s="16" t="n"/>
      <c r="N144" s="16" t="n"/>
      <c r="O144" s="16" t="n"/>
      <c r="P144" s="16" t="n"/>
      <c r="Q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 and DEF for each exposed Anima or Nature cards on foe’s side</t>
        </is>
      </c>
      <c r="I145" t="inlineStr">
        <is>
          <t>ATK&amp;DEF→ATK and DEF</t>
        </is>
      </c>
      <c r="J145" s="16" t="n"/>
      <c r="K145" s="16" t="n"/>
      <c r="L145" s="16">
        <f>(D145*6)+(E145*4)</f>
        <v/>
      </c>
      <c r="M145" s="16" t="n"/>
      <c r="N145" s="16" t="n"/>
      <c r="O145" s="16" t="n"/>
      <c r="P145" s="16" t="n"/>
      <c r="Q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J146" s="16" t="n"/>
      <c r="K146" s="17" t="inlineStr">
        <is>
          <t>Yes</t>
        </is>
      </c>
      <c r="L146" s="16">
        <f>(D146*6)+(E146*4)</f>
        <v/>
      </c>
      <c r="M146" s="17" t="inlineStr">
        <is>
          <t>Yes</t>
        </is>
      </c>
      <c r="N146" s="16" t="n"/>
      <c r="O146" s="16" t="n"/>
      <c r="P146" s="17" t="inlineStr">
        <is>
          <t>Yes</t>
        </is>
      </c>
      <c r="Q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J147" s="16" t="n"/>
      <c r="K147" s="17" t="inlineStr">
        <is>
          <t>Yes</t>
        </is>
      </c>
      <c r="L147" s="16">
        <f>(D147*6)+(E147*4)</f>
        <v/>
      </c>
      <c r="M147" s="17" t="inlineStr">
        <is>
          <t>Yes</t>
        </is>
      </c>
      <c r="N147" s="16" t="n"/>
      <c r="O147" s="16" t="n"/>
      <c r="P147" s="16" t="n"/>
      <c r="Q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J148" s="16" t="n"/>
      <c r="K148" s="17" t="inlineStr">
        <is>
          <t>Yes</t>
        </is>
      </c>
      <c r="L148" s="16">
        <f>(D148*6)+(E148*4)</f>
        <v/>
      </c>
      <c r="M148" s="17" t="inlineStr">
        <is>
          <t>Yes</t>
        </is>
      </c>
      <c r="N148" s="16" t="n"/>
      <c r="O148" s="16" t="n"/>
      <c r="P148" s="17" t="inlineStr">
        <is>
          <t>Yes</t>
        </is>
      </c>
      <c r="Q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J149" s="16" t="n"/>
      <c r="K149" s="17" t="inlineStr">
        <is>
          <t>Yes</t>
        </is>
      </c>
      <c r="L149" s="16">
        <f>(D149*6)+(E149*4)</f>
        <v/>
      </c>
      <c r="M149" s="17" t="inlineStr">
        <is>
          <t>Yes</t>
        </is>
      </c>
      <c r="N149" s="16" t="n"/>
      <c r="O149" s="17" t="inlineStr">
        <is>
          <t>Yes</t>
        </is>
      </c>
      <c r="P149" s="16" t="n"/>
      <c r="Q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J150" s="16" t="n"/>
      <c r="K150" s="17" t="inlineStr">
        <is>
          <t>Yes</t>
        </is>
      </c>
      <c r="L150" s="16">
        <f>(D150*6)+(E150*4)</f>
        <v/>
      </c>
      <c r="M150" s="17" t="inlineStr">
        <is>
          <t>Yes</t>
        </is>
      </c>
      <c r="N150" s="16" t="n"/>
      <c r="O150" s="17" t="inlineStr">
        <is>
          <t>Yes</t>
        </is>
      </c>
      <c r="P150" s="16" t="n"/>
      <c r="Q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J151" s="16" t="n"/>
      <c r="K151" s="17" t="inlineStr">
        <is>
          <t>Yes</t>
        </is>
      </c>
      <c r="L151" s="16">
        <f>(D151*6)+(E151*4)</f>
        <v/>
      </c>
      <c r="M151" s="17" t="inlineStr">
        <is>
          <t>Yes</t>
        </is>
      </c>
      <c r="N151" s="16" t="n"/>
      <c r="O151" s="16" t="n"/>
      <c r="P151" s="17" t="inlineStr">
        <is>
          <t>Yes</t>
        </is>
      </c>
      <c r="Q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J152" s="16" t="n"/>
      <c r="K152" s="16" t="n"/>
      <c r="L152" s="16">
        <f>(D152*6)+(E152*4)</f>
        <v/>
      </c>
      <c r="M152" s="16" t="n"/>
      <c r="N152" s="16" t="n"/>
      <c r="O152" s="16" t="n"/>
      <c r="P152" s="16" t="n"/>
      <c r="Q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wording polish</t>
        </is>
      </c>
      <c r="J153" s="16" t="n"/>
      <c r="K153" s="17" t="inlineStr">
        <is>
          <t>Yes</t>
        </is>
      </c>
      <c r="L153" s="16">
        <f>(D153*6)+(E153*4)</f>
        <v/>
      </c>
      <c r="M153" s="17" t="inlineStr">
        <is>
          <t>Yes</t>
        </is>
      </c>
      <c r="N153" s="16" t="n"/>
      <c r="O153" s="16" t="n"/>
      <c r="P153" s="17" t="inlineStr">
        <is>
          <t>Yes</t>
        </is>
      </c>
      <c r="Q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J154" s="16" t="n"/>
      <c r="K154" s="16" t="n"/>
      <c r="L154" s="16">
        <f>(D154*6)+(E154*4)</f>
        <v/>
      </c>
      <c r="M154" s="16" t="n"/>
      <c r="N154" s="16" t="n"/>
      <c r="O154" s="16" t="n"/>
      <c r="P154" s="16" t="n"/>
      <c r="Q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J155" s="16" t="n"/>
      <c r="K155" s="17" t="inlineStr">
        <is>
          <t>Yes</t>
        </is>
      </c>
      <c r="L155" s="16">
        <f>(D155*6)+(E155*4)</f>
        <v/>
      </c>
      <c r="M155" s="17" t="inlineStr">
        <is>
          <t>Yes</t>
        </is>
      </c>
      <c r="N155" s="16" t="n"/>
      <c r="O155" s="16" t="n"/>
      <c r="P155" s="16" t="n"/>
      <c r="Q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J156" s="16" t="n"/>
      <c r="K156" s="17" t="inlineStr">
        <is>
          <t>Yes</t>
        </is>
      </c>
      <c r="L156" s="16">
        <f>(D156*6)+(E156*4)</f>
        <v/>
      </c>
      <c r="M156" s="17" t="inlineStr">
        <is>
          <t>Yes</t>
        </is>
      </c>
      <c r="N156" s="16" t="n"/>
      <c r="O156" s="16" t="n"/>
      <c r="P156" s="17" t="inlineStr">
        <is>
          <t>Yes</t>
        </is>
      </c>
      <c r="Q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J157" s="16" t="n"/>
      <c r="K157" s="17" t="inlineStr">
        <is>
          <t>Yes</t>
        </is>
      </c>
      <c r="L157" s="16">
        <f>(D157*6)+(E157*4)</f>
        <v/>
      </c>
      <c r="M157" s="17" t="inlineStr">
        <is>
          <t>Yes</t>
        </is>
      </c>
      <c r="N157" s="16" t="n"/>
      <c r="O157" s="16" t="n"/>
      <c r="P157" s="17" t="inlineStr">
        <is>
          <t>Yes</t>
        </is>
      </c>
      <c r="Q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J158" s="16" t="n"/>
      <c r="K158" s="17" t="inlineStr">
        <is>
          <t>Yes</t>
        </is>
      </c>
      <c r="L158" s="16">
        <f>(D158*6)+(E158*4)</f>
        <v/>
      </c>
      <c r="M158" s="17" t="inlineStr">
        <is>
          <t>Yes</t>
        </is>
      </c>
      <c r="N158" s="16" t="n"/>
      <c r="O158" s="17" t="inlineStr">
        <is>
          <t>Yes</t>
        </is>
      </c>
      <c r="P158" s="16" t="n"/>
      <c r="Q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wording polish</t>
        </is>
      </c>
      <c r="J159" s="16" t="n"/>
      <c r="K159" s="16" t="n"/>
      <c r="L159" s="16">
        <f>(D159*6)+(E159*4)</f>
        <v/>
      </c>
      <c r="M159" s="16" t="n"/>
      <c r="N159" s="16" t="n"/>
      <c r="O159" s="16" t="n"/>
      <c r="P159" s="16" t="n"/>
      <c r="Q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0 cost→0-cost</t>
        </is>
      </c>
      <c r="J160" s="16" t="n"/>
      <c r="K160" s="16" t="n"/>
      <c r="L160" s="16">
        <f>(D160*6)+(E160*4)</f>
        <v/>
      </c>
      <c r="M160" s="16" t="n"/>
      <c r="N160" s="16" t="n"/>
      <c r="O160" s="16" t="n"/>
      <c r="P160" s="16" t="n"/>
      <c r="Q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J161" s="16" t="n"/>
      <c r="K161" s="16" t="n"/>
      <c r="L161" s="16">
        <f>(D161*6)+(E161*4)</f>
        <v/>
      </c>
      <c r="M161" s="16" t="n"/>
      <c r="N161" s="16" t="n"/>
      <c r="O161" s="16" t="n"/>
      <c r="P161" s="16" t="n"/>
      <c r="Q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wording polish</t>
        </is>
      </c>
      <c r="J162" s="16" t="n"/>
      <c r="K162" s="16" t="n"/>
      <c r="L162" s="16">
        <f>(D162*6)+(E162*4)</f>
        <v/>
      </c>
      <c r="M162" s="16" t="n"/>
      <c r="N162" s="16" t="n"/>
      <c r="O162" s="16" t="n"/>
      <c r="P162" s="16" t="n"/>
      <c r="Q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J163" s="16" t="n"/>
      <c r="K163" s="16" t="n"/>
      <c r="L163" s="16">
        <f>(D163*6)+(E163*4)</f>
        <v/>
      </c>
      <c r="M163" s="16" t="n"/>
      <c r="N163" s="16" t="n"/>
      <c r="O163" s="16" t="n"/>
      <c r="P163" s="16" t="n"/>
      <c r="Q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J164" s="16" t="n"/>
      <c r="K164" s="16" t="n"/>
      <c r="L164" s="16">
        <f>(D164*6)+(E164*4)</f>
        <v/>
      </c>
      <c r="M164" s="16" t="n"/>
      <c r="N164" s="16" t="n"/>
      <c r="O164" s="16" t="n"/>
      <c r="P164" s="16" t="n"/>
      <c r="Q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 and DEF permanently</t>
        </is>
      </c>
      <c r="I165" t="inlineStr">
        <is>
          <t>ATK&amp;DEF→ATK and DEF</t>
        </is>
      </c>
      <c r="J165" s="16" t="n"/>
      <c r="K165" s="17" t="inlineStr">
        <is>
          <t>Yes</t>
        </is>
      </c>
      <c r="L165" s="16">
        <f>(D165*6)+(E165*4)</f>
        <v/>
      </c>
      <c r="M165" s="17" t="inlineStr">
        <is>
          <t>Yes</t>
        </is>
      </c>
      <c r="N165" s="16" t="n"/>
      <c r="O165" s="16" t="n"/>
      <c r="P165" s="16" t="n"/>
      <c r="Q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1000 or less Crystals, this card can attack twice.</t>
        </is>
      </c>
      <c r="I166" t="inlineStr">
        <is>
          <t>subject-verb grammar</t>
        </is>
      </c>
      <c r="J166" s="16" t="n"/>
      <c r="K166" s="16" t="n"/>
      <c r="L166" s="16">
        <f>(D166*6)+(E166*4)</f>
        <v/>
      </c>
      <c r="M166" s="16" t="n"/>
      <c r="N166" s="16" t="n"/>
      <c r="O166" s="16" t="n"/>
      <c r="P166" s="16" t="n"/>
      <c r="Q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J167" s="16" t="n"/>
      <c r="K167" s="16" t="n"/>
      <c r="L167" s="16">
        <f>(D167*6)+(E167*4)</f>
        <v/>
      </c>
      <c r="M167" s="16" t="n"/>
      <c r="N167" s="16" t="n"/>
      <c r="O167" s="16" t="n"/>
      <c r="P167" s="16" t="n"/>
      <c r="Q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J168" s="16" t="n"/>
      <c r="K168" s="16" t="n"/>
      <c r="L168" s="16">
        <f>(D168*6)+(E168*4)</f>
        <v/>
      </c>
      <c r="M168" s="16" t="n"/>
      <c r="N168" s="16" t="n"/>
      <c r="O168" s="16" t="n"/>
      <c r="P168" s="16" t="n"/>
      <c r="Q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Shortened immunity wording.</t>
        </is>
      </c>
      <c r="J169" s="16" t="n"/>
      <c r="K169" s="16" t="n"/>
      <c r="L169" s="16">
        <f>(D169*6)+(E169*4)</f>
        <v/>
      </c>
      <c r="M169" s="16" t="n"/>
      <c r="N169" s="16" t="n"/>
      <c r="O169" s="16" t="n"/>
      <c r="P169" s="16" t="n"/>
      <c r="Q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J170" s="16" t="n"/>
      <c r="K170" s="17" t="inlineStr">
        <is>
          <t>Yes</t>
        </is>
      </c>
      <c r="L170" s="16">
        <f>(D170*6)+(E170*4)</f>
        <v/>
      </c>
      <c r="M170" s="17" t="inlineStr">
        <is>
          <t>Yes</t>
        </is>
      </c>
      <c r="N170" s="16" t="n"/>
      <c r="O170" s="17" t="inlineStr">
        <is>
          <t>Yes</t>
        </is>
      </c>
      <c r="P170" s="16" t="n"/>
      <c r="Q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J171" s="16" t="n"/>
      <c r="K171" s="16" t="n"/>
      <c r="L171" s="16">
        <f>(D171*6)+(E171*4)</f>
        <v/>
      </c>
      <c r="M171" s="16" t="n"/>
      <c r="N171" s="16" t="n"/>
      <c r="O171" s="16" t="n"/>
      <c r="P171" s="16" t="n"/>
      <c r="Q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wording polish</t>
        </is>
      </c>
      <c r="J172" s="16" t="n"/>
      <c r="K172" s="16" t="n"/>
      <c r="L172" s="16">
        <f>(D172*6)+(E172*4)</f>
        <v/>
      </c>
      <c r="M172" s="16" t="n"/>
      <c r="N172" s="16" t="n"/>
      <c r="O172" s="16" t="n"/>
      <c r="P172" s="16" t="n"/>
      <c r="Q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Grammar fix; final design.</t>
        </is>
      </c>
      <c r="J173" s="16" t="n"/>
      <c r="K173" s="16" t="n"/>
      <c r="L173" s="16">
        <f>(D173*6)+(E173*4)</f>
        <v/>
      </c>
      <c r="M173" s="16" t="n"/>
      <c r="N173" s="16" t="n"/>
      <c r="O173" s="16" t="n"/>
      <c r="P173" s="16" t="n"/>
      <c r="Q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wording polish</t>
        </is>
      </c>
      <c r="J174" s="16" t="n"/>
      <c r="K174" s="16" t="n"/>
      <c r="L174" s="16">
        <f>(D174*6)+(E174*4)</f>
        <v/>
      </c>
      <c r="M174" s="16" t="n"/>
      <c r="N174" s="16" t="n"/>
      <c r="O174" s="16" t="n"/>
      <c r="P174" s="16" t="n"/>
      <c r="Q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 and DEF for each Arcane card on its side.</t>
        </is>
      </c>
      <c r="I175" t="inlineStr">
        <is>
          <t>ATK&amp;DEF→ATK and DEF</t>
        </is>
      </c>
      <c r="J175" s="16" t="n"/>
      <c r="K175" s="16" t="n"/>
      <c r="L175" s="16">
        <f>(D175*6)+(E175*4)</f>
        <v/>
      </c>
      <c r="M175" s="16" t="n"/>
      <c r="N175" s="16" t="n"/>
      <c r="O175" s="16" t="n"/>
      <c r="P175" s="16" t="n"/>
      <c r="Q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J176" s="16" t="n"/>
      <c r="K176" s="16" t="n"/>
      <c r="L176" s="16">
        <f>(D176*6)+(E176*4)</f>
        <v/>
      </c>
      <c r="M176" s="16" t="n"/>
      <c r="N176" s="16" t="n"/>
      <c r="O176" s="16" t="n"/>
      <c r="P176" s="16" t="n"/>
      <c r="Q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wording polish</t>
        </is>
      </c>
      <c r="J177" s="16" t="n"/>
      <c r="K177" s="16" t="n"/>
      <c r="L177" s="16">
        <f>(D177*6)+(E177*4)</f>
        <v/>
      </c>
      <c r="M177" s="16" t="n"/>
      <c r="N177" s="16" t="n"/>
      <c r="O177" s="16" t="n"/>
      <c r="P177" s="16" t="n"/>
      <c r="Q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J178" s="16" t="n"/>
      <c r="K178" s="16" t="n"/>
      <c r="L178" s="16">
        <f>(D178*6)+(E178*4)</f>
        <v/>
      </c>
      <c r="M178" s="16" t="n"/>
      <c r="N178" s="16" t="n"/>
      <c r="O178" s="16" t="n"/>
      <c r="P178" s="16" t="n"/>
      <c r="Q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 with 600 or less cost is destroyed, revive that unit. Usable face-down</t>
        </is>
      </c>
      <c r="I179" t="inlineStr">
        <is>
          <t>wording polish</t>
        </is>
      </c>
      <c r="J179" s="16" t="n"/>
      <c r="K179" s="16" t="n"/>
      <c r="L179" s="16">
        <f>(D179*6)+(E179*4)</f>
        <v/>
      </c>
      <c r="M179" s="16" t="n"/>
      <c r="N179" s="16" t="n"/>
      <c r="O179" s="16" t="n"/>
      <c r="P179" s="16" t="n"/>
      <c r="Q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Heads:, revive it.</t>
        </is>
      </c>
      <c r="I180" t="inlineStr">
        <is>
          <t>Head→Heads</t>
        </is>
      </c>
      <c r="J180" s="16" t="n"/>
      <c r="K180" s="16" t="n"/>
      <c r="L180" s="16">
        <f>(D180*6)+(E180*4)</f>
        <v/>
      </c>
      <c r="M180" s="16" t="n"/>
      <c r="N180" s="16" t="n"/>
      <c r="O180" s="16" t="n"/>
      <c r="P180" s="16" t="n"/>
      <c r="Q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J181" s="16" t="n"/>
      <c r="K181" s="16" t="n"/>
      <c r="L181" s="16">
        <f>(D181*6)+(E181*4)</f>
        <v/>
      </c>
      <c r="M181" s="16" t="n"/>
      <c r="N181" s="16" t="n"/>
      <c r="O181" s="16" t="n"/>
      <c r="P181" s="16" t="n"/>
      <c r="Q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 and DEF for each Chaos card on its side.</t>
        </is>
      </c>
      <c r="I182" t="inlineStr">
        <is>
          <t>ATK&amp;DEF→ATK and DEF</t>
        </is>
      </c>
      <c r="J182" s="16" t="n"/>
      <c r="K182" s="16" t="n"/>
      <c r="L182" s="16">
        <f>(D182*6)+(E182*4)</f>
        <v/>
      </c>
      <c r="M182" s="16" t="n"/>
      <c r="N182" s="16" t="n"/>
      <c r="O182" s="16" t="n"/>
      <c r="P182" s="16" t="n"/>
      <c r="Q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wording polish</t>
        </is>
      </c>
      <c r="J183" s="16" t="n"/>
      <c r="K183" s="16" t="n"/>
      <c r="L183" s="16">
        <f>(D183*6)+(E183*4)</f>
        <v/>
      </c>
      <c r="M183" s="16" t="n"/>
      <c r="N183" s="16" t="n"/>
      <c r="O183" s="16" t="n"/>
      <c r="P183" s="16" t="n"/>
      <c r="Q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wording polish</t>
        </is>
      </c>
      <c r="J184" s="16" t="n"/>
      <c r="K184" s="16" t="n"/>
      <c r="L184" s="16">
        <f>(D184*6)+(E184*4)</f>
        <v/>
      </c>
      <c r="M184" s="16" t="n"/>
      <c r="N184" s="16" t="n"/>
      <c r="O184" s="16" t="n"/>
      <c r="P184" s="16" t="n"/>
      <c r="Q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J185" s="16" t="n"/>
      <c r="K185" s="16" t="n"/>
      <c r="L185" s="16">
        <f>(D185*6)+(E185*4)</f>
        <v/>
      </c>
      <c r="M185" s="16" t="n"/>
      <c r="N185" s="16" t="n"/>
      <c r="O185" s="16" t="n"/>
      <c r="P185" s="16" t="n"/>
      <c r="Q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J186" s="16" t="n"/>
      <c r="K186" s="16" t="n"/>
      <c r="L186" s="16">
        <f>(D186*6)+(E186*4)</f>
        <v/>
      </c>
      <c r="M186" s="16" t="n"/>
      <c r="N186" s="16" t="n"/>
      <c r="O186" s="16" t="n"/>
      <c r="P186" s="16" t="n"/>
      <c r="Q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J187" s="16" t="n"/>
      <c r="K187" s="16" t="n"/>
      <c r="L187" s="16">
        <f>(D187*6)+(E187*4)</f>
        <v/>
      </c>
      <c r="M187" s="16" t="n"/>
      <c r="N187" s="16" t="n"/>
      <c r="O187" s="16" t="n"/>
      <c r="P187" s="16" t="n"/>
      <c r="Q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J188" s="16" t="n"/>
      <c r="K188" s="16" t="n"/>
      <c r="L188" s="16">
        <f>(D188*6)+(E188*4)</f>
        <v/>
      </c>
      <c r="M188" s="16" t="n"/>
      <c r="N188" s="16" t="n"/>
      <c r="O188" s="16" t="n"/>
      <c r="P188" s="16" t="n"/>
      <c r="Q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wording polish</t>
        </is>
      </c>
      <c r="J189" s="16" t="n"/>
      <c r="K189" s="17" t="inlineStr">
        <is>
          <t>Yes</t>
        </is>
      </c>
      <c r="L189" s="16">
        <f>(D189*6)+(E189*4)</f>
        <v/>
      </c>
      <c r="M189" s="16" t="n"/>
      <c r="N189" s="16" t="n"/>
      <c r="O189" s="16" t="n"/>
      <c r="P189" s="16" t="n"/>
      <c r="Q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J190" s="16" t="n"/>
      <c r="K190" s="17" t="inlineStr">
        <is>
          <t>Yes</t>
        </is>
      </c>
      <c r="L190" s="16">
        <f>(D190*6)+(E190*4)</f>
        <v/>
      </c>
      <c r="M190" s="17" t="inlineStr">
        <is>
          <t>Yes</t>
        </is>
      </c>
      <c r="N190" s="16" t="n"/>
      <c r="O190" s="17" t="inlineStr">
        <is>
          <t>Yes</t>
        </is>
      </c>
      <c r="P190" s="16" t="n"/>
      <c r="Q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J191" s="16" t="n"/>
      <c r="K191" s="17" t="inlineStr">
        <is>
          <t>Yes</t>
        </is>
      </c>
      <c r="L191" s="16">
        <f>(D191*6)+(E191*4)</f>
        <v/>
      </c>
      <c r="M191" s="17" t="inlineStr">
        <is>
          <t>Yes</t>
        </is>
      </c>
      <c r="N191" s="16" t="n"/>
      <c r="O191" s="17" t="inlineStr">
        <is>
          <t>Yes</t>
        </is>
      </c>
      <c r="P191" s="16" t="n"/>
      <c r="Q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J192" s="16" t="n"/>
      <c r="K192" s="17" t="inlineStr">
        <is>
          <t>Yes</t>
        </is>
      </c>
      <c r="L192" s="16">
        <f>(D192*6)+(E192*4)</f>
        <v/>
      </c>
      <c r="M192" s="17" t="inlineStr">
        <is>
          <t>Yes</t>
        </is>
      </c>
      <c r="N192" s="16" t="n"/>
      <c r="O192" s="17" t="inlineStr">
        <is>
          <t>Yes</t>
        </is>
      </c>
      <c r="P192" s="16" t="n"/>
      <c r="Q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 and DEF permanently. Usable face-down</t>
        </is>
      </c>
      <c r="I193" t="inlineStr">
        <is>
          <t>ATK&amp;DEF→ATK and DEF</t>
        </is>
      </c>
      <c r="J193" s="16" t="n"/>
      <c r="K193" s="17" t="inlineStr">
        <is>
          <t>Yes</t>
        </is>
      </c>
      <c r="L193" s="16">
        <f>(D193*6)+(E193*4)</f>
        <v/>
      </c>
      <c r="M193" s="17" t="inlineStr">
        <is>
          <t>Yes</t>
        </is>
      </c>
      <c r="N193" s="16" t="n"/>
      <c r="O193" s="16" t="n"/>
      <c r="P193" s="17" t="inlineStr">
        <is>
          <t>Yes</t>
        </is>
      </c>
      <c r="Q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J194" s="16" t="n"/>
      <c r="K194" s="17" t="inlineStr">
        <is>
          <t>Yes</t>
        </is>
      </c>
      <c r="L194" s="16">
        <f>(D194*6)+(E194*4)</f>
        <v/>
      </c>
      <c r="M194" s="17" t="inlineStr">
        <is>
          <t>Yes</t>
        </is>
      </c>
      <c r="N194" s="16" t="n"/>
      <c r="O194" s="17" t="inlineStr">
        <is>
          <t>Yes</t>
        </is>
      </c>
      <c r="P194" s="17" t="inlineStr">
        <is>
          <t>Yes</t>
        </is>
      </c>
      <c r="Q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wording polish</t>
        </is>
      </c>
      <c r="J195" s="16" t="n"/>
      <c r="K195" s="17" t="inlineStr">
        <is>
          <t>Yes</t>
        </is>
      </c>
      <c r="L195" s="16">
        <f>(D195*6)+(E195*4)</f>
        <v/>
      </c>
      <c r="M195" s="17" t="inlineStr">
        <is>
          <t>Yes</t>
        </is>
      </c>
      <c r="N195" s="16" t="n"/>
      <c r="O195" s="16" t="n"/>
      <c r="P195" s="16" t="n"/>
      <c r="Q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Grammar fix.</t>
        </is>
      </c>
      <c r="J196" s="16" t="n"/>
      <c r="K196" s="16" t="n"/>
      <c r="L196" s="16">
        <f>(D196*6)+(E196*4)</f>
        <v/>
      </c>
      <c r="M196" s="16" t="n"/>
      <c r="N196" s="16" t="n"/>
      <c r="O196" s="16" t="n"/>
      <c r="P196" s="16" t="n"/>
      <c r="Q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J197" s="16" t="n"/>
      <c r="K197" s="17" t="inlineStr">
        <is>
          <t>Yes</t>
        </is>
      </c>
      <c r="L197" s="16">
        <f>(D197*6)+(E197*4)</f>
        <v/>
      </c>
      <c r="M197" s="17" t="inlineStr">
        <is>
          <t>Yes</t>
        </is>
      </c>
      <c r="N197" s="16" t="n"/>
      <c r="O197" s="16" t="n"/>
      <c r="P197" s="17" t="inlineStr">
        <is>
          <t>Yes</t>
        </is>
      </c>
      <c r="Q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J198" s="16" t="n"/>
      <c r="K198" s="17" t="inlineStr">
        <is>
          <t>Yes</t>
        </is>
      </c>
      <c r="L198" s="16">
        <f>(D198*6)+(E198*4)</f>
        <v/>
      </c>
      <c r="M198" s="17" t="inlineStr">
        <is>
          <t>Yes</t>
        </is>
      </c>
      <c r="N198" s="16" t="n"/>
      <c r="O198" s="16" t="n"/>
      <c r="P198" s="16" t="n"/>
      <c r="Q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>Once upon revealed +20 ATK and DEF to Arcane card.</t>
        </is>
      </c>
      <c r="I199" t="inlineStr">
        <is>
          <t>ATK&amp;DEF→ATK and DEF</t>
        </is>
      </c>
      <c r="J199" s="16" t="n"/>
      <c r="K199" s="16" t="n"/>
      <c r="L199" s="16">
        <f>(D199*6)+(E199*4)</f>
        <v/>
      </c>
      <c r="M199" s="16" t="n"/>
      <c r="N199" s="16" t="n"/>
      <c r="O199" s="16" t="n"/>
      <c r="P199" s="16" t="n"/>
      <c r="Q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J200" s="16" t="n"/>
      <c r="K200" s="17" t="inlineStr">
        <is>
          <t>Yes</t>
        </is>
      </c>
      <c r="L200" s="16">
        <f>(D200*6)+(E200*4)</f>
        <v/>
      </c>
      <c r="M200" s="17" t="inlineStr">
        <is>
          <t>Yes</t>
        </is>
      </c>
      <c r="N200" s="16" t="n"/>
      <c r="O200" s="16" t="n"/>
      <c r="P200" s="17" t="inlineStr">
        <is>
          <t>Yes</t>
        </is>
      </c>
      <c r="Q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J201" s="16" t="n"/>
      <c r="K201" s="17" t="inlineStr">
        <is>
          <t>Yes</t>
        </is>
      </c>
      <c r="L201" s="16">
        <f>(D201*6)+(E201*4)</f>
        <v/>
      </c>
      <c r="M201" s="17" t="inlineStr">
        <is>
          <t>Yes</t>
        </is>
      </c>
      <c r="N201" s="16" t="n"/>
      <c r="O201" s="16" t="n"/>
      <c r="P201" s="16" t="n"/>
      <c r="Q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J202" s="16" t="n"/>
      <c r="K202" s="17" t="inlineStr">
        <is>
          <t>Yes</t>
        </is>
      </c>
      <c r="L202" s="16">
        <f>(D202*6)+(E202*4)</f>
        <v/>
      </c>
      <c r="M202" s="17" t="inlineStr">
        <is>
          <t>Yes</t>
        </is>
      </c>
      <c r="N202" s="16" t="n"/>
      <c r="O202" s="16" t="n"/>
      <c r="P202" s="17" t="inlineStr">
        <is>
          <t>Yes</t>
        </is>
      </c>
      <c r="Q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you may set this unit's ATK to 0 to revive it at end of turn. Usable face-down.</t>
        </is>
      </c>
      <c r="I203" t="inlineStr">
        <is>
          <t>Grammar shorten; final design.</t>
        </is>
      </c>
      <c r="J203" s="16" t="n"/>
      <c r="K203" s="16" t="n"/>
      <c r="L203" s="16">
        <f>(D203*6)+(E203*4)</f>
        <v/>
      </c>
      <c r="M203" s="16" t="n"/>
      <c r="N203" s="16" t="n"/>
      <c r="O203" s="16" t="n"/>
      <c r="P203" s="16" t="n"/>
      <c r="Q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wording polish</t>
        </is>
      </c>
      <c r="J204" s="16" t="n"/>
      <c r="K204" s="17" t="inlineStr">
        <is>
          <t>Yes</t>
        </is>
      </c>
      <c r="L204" s="16">
        <f>(D204*6)+(E204*4)</f>
        <v/>
      </c>
      <c r="M204" s="17" t="inlineStr">
        <is>
          <t>Yes</t>
        </is>
      </c>
      <c r="N204" s="16" t="n"/>
      <c r="O204" s="16" t="n"/>
      <c r="P204" s="16" t="n"/>
      <c r="Q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J205" s="16" t="n"/>
      <c r="K205" s="16" t="n"/>
      <c r="L205" s="16">
        <f>(D205*6)+(E205*4)</f>
        <v/>
      </c>
      <c r="M205" s="16" t="n"/>
      <c r="N205" s="16" t="n"/>
      <c r="O205" s="16" t="n"/>
      <c r="P205" s="16" t="n"/>
      <c r="Q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 and DEF vs Nature</t>
        </is>
      </c>
      <c r="I206" t="inlineStr">
        <is>
          <t>ATK&amp;DEF→ATK and DEF</t>
        </is>
      </c>
      <c r="J206" s="16" t="n"/>
      <c r="K206" s="17" t="inlineStr">
        <is>
          <t>Yes</t>
        </is>
      </c>
      <c r="L206" s="16">
        <f>(D206*6)+(E206*4)</f>
        <v/>
      </c>
      <c r="M206" s="17" t="inlineStr">
        <is>
          <t>Yes</t>
        </is>
      </c>
      <c r="N206" s="16" t="n"/>
      <c r="O206" s="16" t="n"/>
      <c r="P206" s="17" t="inlineStr">
        <is>
          <t>Yes</t>
        </is>
      </c>
      <c r="Q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J207" s="16" t="n"/>
      <c r="K207" s="17" t="inlineStr">
        <is>
          <t>Yes</t>
        </is>
      </c>
      <c r="L207" s="16">
        <f>(D207*6)+(E207*4)</f>
        <v/>
      </c>
      <c r="M207" s="17" t="inlineStr">
        <is>
          <t>Yes</t>
        </is>
      </c>
      <c r="N207" s="16" t="n"/>
      <c r="O207" s="16" t="n"/>
      <c r="P207" s="16" t="n"/>
      <c r="Q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J208" s="16" t="n"/>
      <c r="K208" s="17" t="inlineStr">
        <is>
          <t>Yes</t>
        </is>
      </c>
      <c r="L208" s="16">
        <f>(D208*6)+(E208*4)</f>
        <v/>
      </c>
      <c r="M208" s="17" t="inlineStr">
        <is>
          <t>Yes</t>
        </is>
      </c>
      <c r="N208" s="16" t="n"/>
      <c r="O208" s="16" t="n"/>
      <c r="P208" s="16" t="n"/>
      <c r="Q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J209" s="16" t="n"/>
      <c r="K209" s="16" t="n"/>
      <c r="L209" s="16">
        <f>(D209*6)+(E209*4)</f>
        <v/>
      </c>
      <c r="M209" s="16" t="n"/>
      <c r="N209" s="16" t="n"/>
      <c r="O209" s="16" t="n"/>
      <c r="P209" s="16" t="n"/>
      <c r="Q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J210" s="16" t="n"/>
      <c r="K210" s="16" t="n"/>
      <c r="L210" s="16">
        <f>(D210*6)+(E210*4)</f>
        <v/>
      </c>
      <c r="M210" s="16" t="n"/>
      <c r="N210" s="16" t="n"/>
      <c r="O210" s="16" t="n"/>
      <c r="P210" s="16" t="n"/>
      <c r="Q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J211" s="16" t="n"/>
      <c r="K211" s="16" t="n"/>
      <c r="L211" s="16">
        <f>(D211*6)+(E211*4)</f>
        <v/>
      </c>
      <c r="M211" s="16" t="n"/>
      <c r="N211" s="16" t="n"/>
      <c r="O211" s="16" t="n"/>
      <c r="P211" s="16" t="n"/>
      <c r="Q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J212" s="16" t="n"/>
      <c r="K212" s="16" t="n"/>
      <c r="L212" s="16">
        <f>(D212*6)+(E212*4)</f>
        <v/>
      </c>
      <c r="M212" s="16" t="n"/>
      <c r="N212" s="16" t="n"/>
      <c r="O212" s="16" t="n"/>
      <c r="P212" s="16" t="n"/>
      <c r="Q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J213" s="16" t="n"/>
      <c r="K213" s="16" t="n"/>
      <c r="L213" s="16">
        <f>(D213*6)+(E213*4)</f>
        <v/>
      </c>
      <c r="M213" s="16" t="n"/>
      <c r="N213" s="16" t="n"/>
      <c r="O213" s="16" t="n"/>
      <c r="P213" s="16" t="n"/>
      <c r="Q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J214" s="16" t="n"/>
      <c r="K214" s="16" t="n"/>
      <c r="L214" s="16">
        <f>(D214*6)+(E214*4)</f>
        <v/>
      </c>
      <c r="M214" s="16" t="n"/>
      <c r="N214" s="16" t="n"/>
      <c r="O214" s="16" t="n"/>
      <c r="P214" s="16" t="n"/>
      <c r="Q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wording polish</t>
        </is>
      </c>
      <c r="J215" s="16" t="n"/>
      <c r="K215" s="16" t="n"/>
      <c r="L215" s="16">
        <f>(D215*6)+(E215*4)</f>
        <v/>
      </c>
      <c r="M215" s="16" t="n"/>
      <c r="N215" s="16" t="n"/>
      <c r="O215" s="16" t="n"/>
      <c r="P215" s="16" t="n"/>
      <c r="Q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Synced to implemented rule; any foe unit (Exposed or face-down flips up).</t>
        </is>
      </c>
      <c r="J216" s="16" t="n"/>
      <c r="K216" s="17" t="inlineStr">
        <is>
          <t>Yes</t>
        </is>
      </c>
      <c r="L216" s="16">
        <f>(D216*6)+(E216*4)</f>
        <v/>
      </c>
      <c r="M216" s="17" t="inlineStr">
        <is>
          <t>Yes</t>
        </is>
      </c>
      <c r="N216" s="16" t="n"/>
      <c r="O216" s="16" t="n"/>
      <c r="P216" s="17" t="inlineStr">
        <is>
          <t>Yes</t>
        </is>
      </c>
      <c r="Q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J217" s="16" t="n"/>
      <c r="K217" s="16" t="n"/>
      <c r="L217" s="16">
        <f>(D217*6)+(E217*4)</f>
        <v/>
      </c>
      <c r="M217" s="16" t="n"/>
      <c r="N217" s="16" t="n"/>
      <c r="O217" s="16" t="n"/>
      <c r="P217" s="16" t="n"/>
      <c r="Q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J218" s="16" t="n"/>
      <c r="K218" s="16" t="n"/>
      <c r="L218" s="16">
        <f>(D218*6)+(E218*4)</f>
        <v/>
      </c>
      <c r="M218" s="16" t="n"/>
      <c r="N218" s="16" t="n"/>
      <c r="O218" s="16" t="n"/>
      <c r="P218" s="16" t="n"/>
      <c r="Q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wording polish</t>
        </is>
      </c>
      <c r="J219" s="16" t="n"/>
      <c r="K219" s="16" t="n"/>
      <c r="L219" s="16">
        <f>(D219*6)+(E219*4)</f>
        <v/>
      </c>
      <c r="M219" s="16" t="n"/>
      <c r="N219" s="16" t="n"/>
      <c r="O219" s="16" t="n"/>
      <c r="P219" s="16" t="n"/>
      <c r="Q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Princess flag typo; Exposed terminology.</t>
        </is>
      </c>
      <c r="J220" s="16" t="n"/>
      <c r="K220" s="16" t="n"/>
      <c r="L220" s="16">
        <f>(D220*6)+(E220*4)</f>
        <v/>
      </c>
      <c r="M220" s="16" t="n"/>
      <c r="N220" s="16" t="n"/>
      <c r="O220" s="16" t="n"/>
      <c r="P220" s="16" t="n"/>
      <c r="Q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J221" s="16" t="n"/>
      <c r="K221" s="16" t="n"/>
      <c r="L221" s="16">
        <f>(D221*6)+(E221*4)</f>
        <v/>
      </c>
      <c r="M221" s="16" t="n"/>
      <c r="N221" s="16" t="n"/>
      <c r="O221" s="16" t="n"/>
      <c r="P221" s="16" t="n"/>
      <c r="Q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wording polish</t>
        </is>
      </c>
      <c r="J222" s="16" t="n"/>
      <c r="K222" s="16" t="n"/>
      <c r="L222" s="16">
        <f>(D222*6)+(E222*4)</f>
        <v/>
      </c>
      <c r="M222" s="16" t="n"/>
      <c r="N222" s="16" t="n"/>
      <c r="O222" s="16" t="n"/>
      <c r="P222" s="16" t="n"/>
      <c r="Q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30 or more</t>
        </is>
      </c>
      <c r="J223" s="16" t="n"/>
      <c r="K223" s="16" t="n"/>
      <c r="L223" s="16">
        <f>(D223*6)+(E223*4)</f>
        <v/>
      </c>
      <c r="M223" s="16" t="n"/>
      <c r="N223" s="16" t="n"/>
      <c r="O223" s="16" t="n"/>
      <c r="P223" s="16" t="n"/>
      <c r="Q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wording polish</t>
        </is>
      </c>
      <c r="J224" s="16" t="n"/>
      <c r="K224" s="16" t="n"/>
      <c r="L224" s="16">
        <f>(D224*6)+(E224*4)</f>
        <v/>
      </c>
      <c r="M224" s="16" t="n"/>
      <c r="N224" s="16" t="n"/>
      <c r="O224" s="16" t="n"/>
      <c r="P224" s="16" t="n"/>
      <c r="Q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wording polish</t>
        </is>
      </c>
      <c r="J225" s="16" t="n"/>
      <c r="K225" s="16" t="n"/>
      <c r="L225" s="16">
        <f>(D225*6)+(E225*4)</f>
        <v/>
      </c>
      <c r="M225" s="16" t="n"/>
      <c r="N225" s="16" t="n"/>
      <c r="O225" s="16" t="n"/>
      <c r="P225" s="16" t="n"/>
      <c r="Q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J226" s="16" t="n"/>
      <c r="K226" s="16" t="n"/>
      <c r="L226" s="16">
        <f>(D226*6)+(E226*4)</f>
        <v/>
      </c>
      <c r="M226" s="16" t="n"/>
      <c r="N226" s="16" t="n"/>
      <c r="O226" s="16" t="n"/>
      <c r="P226" s="16" t="n"/>
      <c r="Q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J227" s="16" t="n"/>
      <c r="K227" s="16" t="n"/>
      <c r="L227" s="16">
        <f>(D227*6)+(E227*4)</f>
        <v/>
      </c>
      <c r="M227" s="16" t="n"/>
      <c r="N227" s="16" t="n"/>
      <c r="O227" s="16" t="n"/>
      <c r="P227" s="16" t="n"/>
      <c r="Q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J228" s="16" t="n"/>
      <c r="K228" s="16" t="n"/>
      <c r="L228" s="16">
        <f>(D228*6)+(E228*4)</f>
        <v/>
      </c>
      <c r="M228" s="16" t="n"/>
      <c r="N228" s="16" t="n"/>
      <c r="O228" s="16" t="n"/>
      <c r="P228" s="16" t="n"/>
      <c r="Q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wording polish</t>
        </is>
      </c>
      <c r="J229" s="16" t="n"/>
      <c r="K229" s="16" t="n"/>
      <c r="L229" s="16">
        <f>(D229*6)+(E229*4)</f>
        <v/>
      </c>
      <c r="M229" s="16" t="n"/>
      <c r="N229" s="16" t="n"/>
      <c r="O229" s="16" t="n"/>
      <c r="P229" s="16" t="n"/>
      <c r="Q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J230" s="16" t="n"/>
      <c r="K230" s="16" t="n"/>
      <c r="L230" s="16">
        <f>(D230*6)+(E230*4)</f>
        <v/>
      </c>
      <c r="M230" s="16" t="n"/>
      <c r="N230" s="16" t="n"/>
      <c r="O230" s="16" t="n"/>
      <c r="P230" s="16" t="n"/>
      <c r="Q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wording polish</t>
        </is>
      </c>
      <c r="J231" s="16" t="n"/>
      <c r="K231" s="16" t="n"/>
      <c r="L231" s="16">
        <f>(D231*6)+(E231*4)</f>
        <v/>
      </c>
      <c r="M231" s="16" t="n"/>
      <c r="N231" s="16" t="n"/>
      <c r="O231" s="16" t="n"/>
      <c r="P231" s="16" t="n"/>
      <c r="Q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wording polish</t>
        </is>
      </c>
      <c r="J232" s="16" t="n"/>
      <c r="K232" s="16" t="n"/>
      <c r="L232" s="16">
        <f>(D232*6)+(E232*4)</f>
        <v/>
      </c>
      <c r="M232" s="16" t="n"/>
      <c r="N232" s="16" t="n"/>
      <c r="O232" s="16" t="n"/>
      <c r="P232" s="16" t="n"/>
      <c r="Q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J233" s="16" t="n"/>
      <c r="K233" s="16" t="n"/>
      <c r="L233" s="16">
        <f>(D233*6)+(E233*4)</f>
        <v/>
      </c>
      <c r="M233" s="16" t="n"/>
      <c r="N233" s="16" t="n"/>
      <c r="O233" s="16" t="n"/>
      <c r="P233" s="16" t="n"/>
      <c r="Q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J234" s="16" t="n"/>
      <c r="K234" s="16" t="n"/>
      <c r="L234" s="16">
        <f>(D234*6)+(E234*4)</f>
        <v/>
      </c>
      <c r="M234" s="16" t="n"/>
      <c r="N234" s="16" t="n"/>
      <c r="O234" s="16" t="n"/>
      <c r="P234" s="16" t="n"/>
      <c r="Q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J235" s="16" t="n"/>
      <c r="K235" s="16" t="n"/>
      <c r="L235" s="16">
        <f>(D235*6)+(E235*4)</f>
        <v/>
      </c>
      <c r="M235" s="16" t="n"/>
      <c r="N235" s="16" t="n"/>
      <c r="O235" s="16" t="n"/>
      <c r="P235" s="16" t="n"/>
      <c r="Q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J236" s="16" t="n"/>
      <c r="K236" s="16" t="n"/>
      <c r="L236" s="16">
        <f>(D236*6)+(E236*4)</f>
        <v/>
      </c>
      <c r="M236" s="16" t="n"/>
      <c r="N236" s="16" t="n"/>
      <c r="O236" s="16" t="n"/>
      <c r="P236" s="16" t="n"/>
      <c r="Q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0 cost→0-cost</t>
        </is>
      </c>
      <c r="J237" s="16" t="n"/>
      <c r="K237" s="16" t="n"/>
      <c r="L237" s="16">
        <f>(D237*6)+(E237*4)</f>
        <v/>
      </c>
      <c r="M237" s="16" t="n"/>
      <c r="N237" s="16" t="n"/>
      <c r="O237" s="16" t="n"/>
      <c r="P237" s="16" t="n"/>
      <c r="Q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J238" s="16" t="n"/>
      <c r="K238" s="16" t="n"/>
      <c r="L238" s="16">
        <f>(D238*6)+(E238*4)</f>
        <v/>
      </c>
      <c r="M238" s="16" t="n"/>
      <c r="N238" s="16" t="n"/>
      <c r="O238" s="16" t="n"/>
      <c r="P238" s="16" t="n"/>
      <c r="Q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wording polish</t>
        </is>
      </c>
      <c r="J239" s="16" t="n"/>
      <c r="K239" s="16" t="n"/>
      <c r="L239" s="16">
        <f>(D239*6)+(E239*4)</f>
        <v/>
      </c>
      <c r="M239" s="16" t="n"/>
      <c r="N239" s="16" t="n"/>
      <c r="O239" s="16" t="n"/>
      <c r="P239" s="16" t="n"/>
      <c r="Q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J240" s="16" t="n"/>
      <c r="K240" s="17" t="inlineStr">
        <is>
          <t>Yes</t>
        </is>
      </c>
      <c r="L240" s="16">
        <f>(D240*6)+(E240*4)</f>
        <v/>
      </c>
      <c r="M240" s="17" t="inlineStr">
        <is>
          <t>Yes</t>
        </is>
      </c>
      <c r="N240" s="16" t="n"/>
      <c r="O240" s="17" t="inlineStr">
        <is>
          <t>Yes</t>
        </is>
      </c>
      <c r="P240" s="16" t="n"/>
      <c r="Q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J241" s="16" t="n"/>
      <c r="K241" s="16" t="n"/>
      <c r="L241" s="16">
        <f>(D241*6)+(E241*4)</f>
        <v/>
      </c>
      <c r="M241" s="16" t="n"/>
      <c r="N241" s="16" t="n"/>
      <c r="O241" s="16" t="n"/>
      <c r="P241" s="16" t="n"/>
      <c r="Q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Head→Heads</t>
        </is>
      </c>
      <c r="J242" s="16" t="n"/>
      <c r="K242" s="16" t="n"/>
      <c r="L242" s="16">
        <f>(D242*6)+(E242*4)</f>
        <v/>
      </c>
      <c r="M242" s="16" t="n"/>
      <c r="N242" s="16" t="n"/>
      <c r="O242" s="16" t="n"/>
      <c r="P242" s="16" t="n"/>
      <c r="Q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J243" s="16" t="n"/>
      <c r="K243" s="16" t="n"/>
      <c r="L243" s="16">
        <f>(D243*6)+(E243*4)</f>
        <v/>
      </c>
      <c r="M243" s="16" t="n"/>
      <c r="N243" s="16" t="n"/>
      <c r="O243" s="16" t="n"/>
      <c r="P243" s="16" t="n"/>
      <c r="Q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 and DEF permanently, once.</t>
        </is>
      </c>
      <c r="I244" t="inlineStr">
        <is>
          <t>ATK&amp;DEF→ATK and DEF</t>
        </is>
      </c>
      <c r="J244" s="16" t="n"/>
      <c r="K244" s="16" t="n"/>
      <c r="L244" s="16">
        <f>(D244*6)+(E244*4)</f>
        <v/>
      </c>
      <c r="M244" s="16" t="n"/>
      <c r="N244" s="16" t="n"/>
      <c r="O244" s="16" t="n"/>
      <c r="P244" s="16" t="n"/>
      <c r="Q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 and DEF until the end of this turn.</t>
        </is>
      </c>
      <c r="I245" t="inlineStr">
        <is>
          <t>ATK&amp;DEF→ATK and DEF</t>
        </is>
      </c>
      <c r="J245" s="16" t="n"/>
      <c r="K245" s="16" t="n"/>
      <c r="L245" s="16">
        <f>(D245*6)+(E245*4)</f>
        <v/>
      </c>
      <c r="M245" s="16" t="n"/>
      <c r="N245" s="16" t="n"/>
      <c r="O245" s="16" t="n"/>
      <c r="P245" s="16" t="n"/>
      <c r="Q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J246" s="16" t="n"/>
      <c r="K246" s="16" t="n"/>
      <c r="L246" s="16">
        <f>(D246*6)+(E246*4)</f>
        <v/>
      </c>
      <c r="M246" s="16" t="n"/>
      <c r="N246" s="16" t="n"/>
      <c r="O246" s="16" t="n"/>
      <c r="P246" s="16" t="n"/>
      <c r="Q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wording polish</t>
        </is>
      </c>
      <c r="J247" s="16" t="n"/>
      <c r="K247" s="16" t="n"/>
      <c r="L247" s="16">
        <f>(D247*6)+(E247*4)</f>
        <v/>
      </c>
      <c r="M247" s="16" t="n"/>
      <c r="N247" s="16" t="n"/>
      <c r="O247" s="16" t="n"/>
      <c r="P247" s="16" t="n"/>
      <c r="Q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J248" s="16" t="n"/>
      <c r="K248" s="16" t="n"/>
      <c r="L248" s="16">
        <f>(D248*6)+(E248*4)</f>
        <v/>
      </c>
      <c r="M248" s="16" t="n"/>
      <c r="N248" s="16" t="n"/>
      <c r="O248" s="16" t="n"/>
      <c r="P248" s="16" t="n"/>
      <c r="Q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 and DEF vs Non-Arcane</t>
        </is>
      </c>
      <c r="I249" t="inlineStr">
        <is>
          <t>ATK&amp;DEF→ATK and DEF</t>
        </is>
      </c>
      <c r="J249" s="16" t="n"/>
      <c r="K249" s="16" t="n"/>
      <c r="L249" s="16">
        <f>(D249*6)+(E249*4)</f>
        <v/>
      </c>
      <c r="M249" s="16" t="n"/>
      <c r="N249" s="16" t="n"/>
      <c r="O249" s="16" t="n"/>
      <c r="P249" s="16" t="n"/>
      <c r="Q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J250" s="16" t="n"/>
      <c r="K250" s="16" t="n"/>
      <c r="L250" s="16">
        <f>(D250*6)+(E250*4)</f>
        <v/>
      </c>
      <c r="M250" s="16" t="n"/>
      <c r="N250" s="16" t="n"/>
      <c r="O250" s="16" t="n"/>
      <c r="P250" s="16" t="n"/>
      <c r="Q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Heads:, reveal 1 of foe’s cell, Tails:, it lose 5 ATK</t>
        </is>
      </c>
      <c r="I251" t="inlineStr">
        <is>
          <t>Head→Heads; Tail→Tails</t>
        </is>
      </c>
      <c r="J251" s="16" t="n"/>
      <c r="K251" s="16" t="n"/>
      <c r="L251" s="16">
        <f>(D251*6)+(E251*4)</f>
        <v/>
      </c>
      <c r="M251" s="16" t="n"/>
      <c r="N251" s="16" t="n"/>
      <c r="O251" s="16" t="n"/>
      <c r="P251" s="16" t="n"/>
      <c r="Q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Fixed typos; confirmed 3-coin intent.</t>
        </is>
      </c>
      <c r="J252" s="16" t="n"/>
      <c r="K252" s="16" t="n"/>
      <c r="L252" s="16">
        <f>(D252*6)+(E252*4)</f>
        <v/>
      </c>
      <c r="M252" s="16" t="n"/>
      <c r="N252" s="16" t="n"/>
      <c r="O252" s="16" t="n"/>
      <c r="P252" s="16" t="n"/>
      <c r="Q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J253" s="16" t="n"/>
      <c r="K253" s="16" t="n"/>
      <c r="L253" s="16">
        <f>(D253*6)+(E253*4)</f>
        <v/>
      </c>
      <c r="M253" s="16" t="n"/>
      <c r="N253" s="16" t="n"/>
      <c r="O253" s="16" t="n"/>
      <c r="P253" s="16" t="n"/>
      <c r="Q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wording polish</t>
        </is>
      </c>
      <c r="J254" s="16" t="n"/>
      <c r="K254" s="16" t="n"/>
      <c r="L254" s="16">
        <f>(D254*6)+(E254*4)</f>
        <v/>
      </c>
      <c r="M254" s="16" t="n"/>
      <c r="N254" s="16" t="n"/>
      <c r="O254" s="16" t="n"/>
      <c r="P254" s="16" t="n"/>
      <c r="Q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 and DEF.</t>
        </is>
      </c>
      <c r="I255" t="inlineStr">
        <is>
          <t>ATK&amp;DEF→ATK and DEF</t>
        </is>
      </c>
      <c r="J255" s="16" t="n"/>
      <c r="K255" s="17" t="inlineStr">
        <is>
          <t>Yes</t>
        </is>
      </c>
      <c r="L255" s="16">
        <f>(D255*6)+(E255*4)</f>
        <v/>
      </c>
      <c r="M255" s="17" t="inlineStr">
        <is>
          <t>Yes</t>
        </is>
      </c>
      <c r="N255" s="16" t="n"/>
      <c r="O255" s="16" t="n"/>
      <c r="P255" s="17" t="inlineStr">
        <is>
          <t>Yes</t>
        </is>
      </c>
      <c r="Q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Head→Heads</t>
        </is>
      </c>
      <c r="J256" s="16" t="n"/>
      <c r="K256" s="16" t="n"/>
      <c r="L256" s="16">
        <f>(D256*6)+(E256*4)</f>
        <v/>
      </c>
      <c r="M256" s="16" t="n"/>
      <c r="N256" s="16" t="n"/>
      <c r="O256" s="16" t="n"/>
      <c r="P256" s="16" t="n"/>
      <c r="Q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J257" s="16" t="n"/>
      <c r="K257" s="16" t="n"/>
      <c r="L257" s="16">
        <f>(D257*6)+(E257*4)</f>
        <v/>
      </c>
      <c r="M257" s="16" t="n"/>
      <c r="N257" s="16" t="n"/>
      <c r="O257" s="16" t="n"/>
      <c r="P257" s="16" t="n"/>
      <c r="Q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J258" s="16" t="n"/>
      <c r="K258" s="16" t="n"/>
      <c r="L258" s="16">
        <f>(D258*6)+(E258*4)</f>
        <v/>
      </c>
      <c r="M258" s="16" t="n"/>
      <c r="N258" s="16" t="n"/>
      <c r="O258" s="16" t="n"/>
      <c r="P258" s="16" t="n"/>
      <c r="Q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J259" s="16" t="n"/>
      <c r="K259" s="16" t="n"/>
      <c r="L259" s="16">
        <f>(D259*6)+(E259*4)</f>
        <v/>
      </c>
      <c r="M259" s="16" t="n"/>
      <c r="N259" s="16" t="n"/>
      <c r="O259" s="16" t="n"/>
      <c r="P259" s="16" t="n"/>
      <c r="Q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J260" s="16" t="n"/>
      <c r="K260" s="16" t="n"/>
      <c r="L260" s="16">
        <f>(D260*6)+(E260*4)</f>
        <v/>
      </c>
      <c r="M260" s="16" t="n"/>
      <c r="N260" s="16" t="n"/>
      <c r="O260" s="16" t="n"/>
      <c r="P260" s="16" t="n"/>
      <c r="Q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J261" s="16" t="n"/>
      <c r="K261" s="16" t="n"/>
      <c r="L261" s="16">
        <f>(D261*6)+(E261*4)</f>
        <v/>
      </c>
      <c r="M261" s="16" t="n"/>
      <c r="N261" s="16" t="n"/>
      <c r="O261" s="16" t="n"/>
      <c r="P261" s="16" t="n"/>
      <c r="Q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J262" s="16" t="n"/>
      <c r="K262" s="16" t="n"/>
      <c r="L262" s="16">
        <f>(D262*6)+(E262*4)</f>
        <v/>
      </c>
      <c r="M262" s="16" t="n"/>
      <c r="N262" s="16" t="n"/>
      <c r="O262" s="16" t="n"/>
      <c r="P262" s="16" t="n"/>
      <c r="Q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J263" s="16" t="n"/>
      <c r="K263" s="16" t="n"/>
      <c r="L263" s="16">
        <f>(D263*6)+(E263*4)</f>
        <v/>
      </c>
      <c r="M263" s="16" t="n"/>
      <c r="N263" s="16" t="n"/>
      <c r="O263" s="16" t="n"/>
      <c r="P263" s="16" t="n"/>
      <c r="Q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J264" s="16" t="n"/>
      <c r="K264" s="16" t="n"/>
      <c r="L264" s="16">
        <f>(D264*6)+(E264*4)</f>
        <v/>
      </c>
      <c r="M264" s="16" t="n"/>
      <c r="N264" s="16" t="n"/>
      <c r="O264" s="16" t="n"/>
      <c r="P264" s="16" t="n"/>
      <c r="Q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wording polish</t>
        </is>
      </c>
      <c r="J265" s="16" t="n"/>
      <c r="K265" s="16" t="n"/>
      <c r="L265" s="16">
        <f>(D265*6)+(E265*4)</f>
        <v/>
      </c>
      <c r="M265" s="16" t="n"/>
      <c r="N265" s="16" t="n"/>
      <c r="O265" s="16" t="n"/>
      <c r="P265" s="16" t="n"/>
      <c r="Q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wording polish</t>
        </is>
      </c>
      <c r="J266" s="16" t="n"/>
      <c r="K266" s="17" t="inlineStr">
        <is>
          <t>Yes</t>
        </is>
      </c>
      <c r="L266" s="16">
        <f>(D266*6)+(E266*4)</f>
        <v/>
      </c>
      <c r="M266" s="17" t="inlineStr">
        <is>
          <t>Yes</t>
        </is>
      </c>
      <c r="N266" s="16" t="n"/>
      <c r="O266" s="16" t="n"/>
      <c r="P266" s="16" t="n"/>
      <c r="Q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wording polish</t>
        </is>
      </c>
      <c r="J267" s="16" t="n"/>
      <c r="K267" s="16" t="n"/>
      <c r="L267" s="16">
        <f>(D267*6)+(E267*4)</f>
        <v/>
      </c>
      <c r="M267" s="16" t="n"/>
      <c r="N267" s="16" t="n"/>
      <c r="O267" s="16" t="n"/>
      <c r="P267" s="16" t="n"/>
      <c r="Q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 and DEF if there is Union card on its side</t>
        </is>
      </c>
      <c r="I268" t="inlineStr">
        <is>
          <t>ATK&amp;DEF→ATK and DEF</t>
        </is>
      </c>
      <c r="J268" s="16" t="n"/>
      <c r="K268" s="17" t="inlineStr">
        <is>
          <t>Yes</t>
        </is>
      </c>
      <c r="L268" s="16">
        <f>(D268*6)+(E268*4)</f>
        <v/>
      </c>
      <c r="M268" s="17" t="inlineStr">
        <is>
          <t>Yes</t>
        </is>
      </c>
      <c r="N268" s="16" t="n"/>
      <c r="O268" s="16" t="n"/>
      <c r="P268" s="17" t="inlineStr">
        <is>
          <t>Yes</t>
        </is>
      </c>
      <c r="Q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J269" s="16" t="n"/>
      <c r="K269" s="16" t="n"/>
      <c r="L269" s="16">
        <f>(D269*6)+(E269*4)</f>
        <v/>
      </c>
      <c r="M269" s="16" t="n"/>
      <c r="N269" s="16" t="n"/>
      <c r="O269" s="16" t="n"/>
      <c r="P269" s="16" t="n"/>
      <c r="Q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wording polish</t>
        </is>
      </c>
      <c r="J270" s="16" t="n"/>
      <c r="K270" s="16" t="n"/>
      <c r="L270" s="16">
        <f>(D270*6)+(E270*4)</f>
        <v/>
      </c>
      <c r="M270" s="16" t="n"/>
      <c r="N270" s="16" t="n"/>
      <c r="O270" s="16" t="n"/>
      <c r="P270" s="16" t="n"/>
      <c r="Q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 and DEF vs Arcane</t>
        </is>
      </c>
      <c r="I271" t="inlineStr">
        <is>
          <t>ATK&amp;DEF→ATK and DEF</t>
        </is>
      </c>
      <c r="J271" s="16" t="n"/>
      <c r="K271" s="17" t="inlineStr">
        <is>
          <t>Yes</t>
        </is>
      </c>
      <c r="L271" s="16">
        <f>(D271*6)+(E271*4)</f>
        <v/>
      </c>
      <c r="M271" s="17" t="inlineStr">
        <is>
          <t>Yes</t>
        </is>
      </c>
      <c r="N271" s="16" t="n"/>
      <c r="O271" s="16" t="n"/>
      <c r="P271" s="17" t="inlineStr">
        <is>
          <t>Yes</t>
        </is>
      </c>
      <c r="Q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J272" s="16" t="n"/>
      <c r="K272" s="16" t="n"/>
      <c r="L272" s="16">
        <f>(D272*6)+(E272*4)</f>
        <v/>
      </c>
      <c r="M272" s="16" t="n"/>
      <c r="N272" s="16" t="n"/>
      <c r="O272" s="16" t="n"/>
      <c r="P272" s="16" t="n"/>
      <c r="Q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 and DEF until the end of foe’s turn</t>
        </is>
      </c>
      <c r="I273" t="inlineStr">
        <is>
          <t>ATK&amp;DEF→ATK and DEF</t>
        </is>
      </c>
      <c r="J273" s="16" t="n"/>
      <c r="K273" s="16" t="n"/>
      <c r="L273" s="16">
        <f>(D273*6)+(E273*4)</f>
        <v/>
      </c>
      <c r="M273" s="16" t="n"/>
      <c r="N273" s="16" t="n"/>
      <c r="O273" s="16" t="n"/>
      <c r="P273" s="16" t="n"/>
      <c r="Q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J274" s="16" t="n"/>
      <c r="K274" s="16" t="n"/>
      <c r="L274" s="16">
        <f>(D274*6)+(E274*4)</f>
        <v/>
      </c>
      <c r="M274" s="16" t="n"/>
      <c r="N274" s="16" t="n"/>
      <c r="O274" s="16" t="n"/>
      <c r="P274" s="16" t="n"/>
      <c r="Q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J275" s="16" t="n"/>
      <c r="K275" s="16" t="n"/>
      <c r="L275" s="16">
        <f>(D275*6)+(E275*4)</f>
        <v/>
      </c>
      <c r="M275" s="16" t="n"/>
      <c r="N275" s="16" t="n"/>
      <c r="O275" s="16" t="n"/>
      <c r="P275" s="16" t="n"/>
      <c r="Q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wording polish</t>
        </is>
      </c>
      <c r="J276" s="16" t="n"/>
      <c r="K276" s="16" t="n"/>
      <c r="L276" s="16">
        <f>(D276*6)+(E276*4)</f>
        <v/>
      </c>
      <c r="M276" s="16" t="n"/>
      <c r="N276" s="16" t="n"/>
      <c r="O276" s="16" t="n"/>
      <c r="P276" s="16" t="n"/>
      <c r="Q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J277" s="16" t="n"/>
      <c r="K277" s="16" t="n"/>
      <c r="L277" s="16">
        <f>(D277*6)+(E277*4)</f>
        <v/>
      </c>
      <c r="M277" s="16" t="n"/>
      <c r="N277" s="16" t="n"/>
      <c r="O277" s="16" t="n"/>
      <c r="P277" s="16" t="n"/>
      <c r="Q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J278" s="16" t="n"/>
      <c r="K278" s="16" t="n"/>
      <c r="L278" s="16">
        <f>(D278*6)+(E278*4)</f>
        <v/>
      </c>
      <c r="M278" s="16" t="n"/>
      <c r="N278" s="16" t="n"/>
      <c r="O278" s="16" t="n"/>
      <c r="P278" s="16" t="n"/>
      <c r="Q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J279" s="16" t="n"/>
      <c r="K279" s="16" t="n"/>
      <c r="L279" s="16">
        <f>(D279*6)+(E279*4)</f>
        <v/>
      </c>
      <c r="M279" s="16" t="n"/>
      <c r="N279" s="16" t="n"/>
      <c r="O279" s="16" t="n"/>
      <c r="P279" s="16" t="n"/>
      <c r="Q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J280" s="16" t="n"/>
      <c r="K280" s="16" t="n"/>
      <c r="L280" s="16">
        <f>(D280*6)+(E280*4)</f>
        <v/>
      </c>
      <c r="M280" s="16" t="n"/>
      <c r="N280" s="16" t="n"/>
      <c r="O280" s="16" t="n"/>
      <c r="P280" s="16" t="n"/>
      <c r="Q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J281" s="16" t="n"/>
      <c r="K281" s="16" t="n"/>
      <c r="L281" s="16">
        <f>(D281*6)+(E281*4)</f>
        <v/>
      </c>
      <c r="M281" s="16" t="n"/>
      <c r="N281" s="16" t="n"/>
      <c r="O281" s="16" t="n"/>
      <c r="P281" s="16" t="n"/>
      <c r="Q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J282" s="16" t="n"/>
      <c r="K282" s="16" t="n"/>
      <c r="L282" s="16">
        <f>(D282*6)+(E282*4)</f>
        <v/>
      </c>
      <c r="M282" s="16" t="n"/>
      <c r="N282" s="16" t="n"/>
      <c r="O282" s="16" t="n"/>
      <c r="P282" s="16" t="n"/>
      <c r="Q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 and DEF against Anima</t>
        </is>
      </c>
      <c r="I283" t="inlineStr">
        <is>
          <t>ATK&amp;DEF→ATK and DEF</t>
        </is>
      </c>
      <c r="J283" s="16" t="n"/>
      <c r="K283" s="17" t="inlineStr">
        <is>
          <t>Yes</t>
        </is>
      </c>
      <c r="L283" s="16">
        <f>(D283*6)+(E283*4)</f>
        <v/>
      </c>
      <c r="M283" s="17" t="inlineStr">
        <is>
          <t>Yes</t>
        </is>
      </c>
      <c r="N283" s="16" t="n"/>
      <c r="O283" s="16" t="n"/>
      <c r="P283" s="16" t="n"/>
      <c r="Q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J284" s="16" t="n"/>
      <c r="K284" s="16" t="n"/>
      <c r="L284" s="16">
        <f>(D284*6)+(E284*4)</f>
        <v/>
      </c>
      <c r="M284" s="16" t="n"/>
      <c r="N284" s="16" t="n"/>
      <c r="O284" s="16" t="n"/>
      <c r="P284" s="16" t="n"/>
      <c r="Q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J285" s="16" t="n"/>
      <c r="K285" s="16" t="n"/>
      <c r="L285" s="16">
        <f>(D285*6)+(E285*4)</f>
        <v/>
      </c>
      <c r="M285" s="16" t="n"/>
      <c r="N285" s="16" t="n"/>
      <c r="O285" s="16" t="n"/>
      <c r="P285" s="16" t="n"/>
      <c r="Q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J286" s="16" t="n"/>
      <c r="K286" s="17" t="inlineStr">
        <is>
          <t>Yes</t>
        </is>
      </c>
      <c r="L286" s="16">
        <f>(D286*6)+(E286*4)</f>
        <v/>
      </c>
      <c r="M286" s="17" t="inlineStr">
        <is>
          <t>Yes</t>
        </is>
      </c>
      <c r="N286" s="16" t="n"/>
      <c r="O286" s="16" t="n"/>
      <c r="P286" s="17" t="inlineStr">
        <is>
          <t>Yes</t>
        </is>
      </c>
      <c r="Q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J287" s="16" t="n"/>
      <c r="K287" s="16" t="n"/>
      <c r="L287" s="16">
        <f>(D287*6)+(E287*4)</f>
        <v/>
      </c>
      <c r="M287" s="16" t="n"/>
      <c r="N287" s="16" t="n"/>
      <c r="O287" s="16" t="n"/>
      <c r="P287" s="16" t="n"/>
      <c r="Q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 and DEF</t>
        </is>
      </c>
      <c r="I288" t="inlineStr">
        <is>
          <t>ATK&amp;DEF→ATK and DEF</t>
        </is>
      </c>
      <c r="J288" s="16" t="n"/>
      <c r="K288" s="17" t="inlineStr">
        <is>
          <t>Yes</t>
        </is>
      </c>
      <c r="L288" s="16">
        <f>(D288*6)+(E288*4)</f>
        <v/>
      </c>
      <c r="M288" s="17" t="inlineStr">
        <is>
          <t>Yes</t>
        </is>
      </c>
      <c r="N288" s="16" t="n"/>
      <c r="O288" s="16" t="n"/>
      <c r="P288" s="16" t="n"/>
      <c r="Q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J289" s="16" t="n"/>
      <c r="K289" s="16" t="n"/>
      <c r="L289" s="16">
        <f>(D289*6)+(E289*4)</f>
        <v/>
      </c>
      <c r="M289" s="16" t="n"/>
      <c r="N289" s="16" t="n"/>
      <c r="O289" s="16" t="n"/>
      <c r="P289" s="16" t="n"/>
      <c r="Q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J290" s="16" t="n"/>
      <c r="K290" s="17" t="inlineStr">
        <is>
          <t>Yes</t>
        </is>
      </c>
      <c r="L290" s="16">
        <f>(D290*6)+(E290*4)</f>
        <v/>
      </c>
      <c r="M290" s="17" t="inlineStr">
        <is>
          <t>Yes</t>
        </is>
      </c>
      <c r="N290" s="16" t="n"/>
      <c r="O290" s="17" t="inlineStr">
        <is>
          <t>Yes</t>
        </is>
      </c>
      <c r="P290" s="16" t="n"/>
      <c r="Q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J291" s="16" t="n"/>
      <c r="K291" s="16" t="n"/>
      <c r="L291" s="16">
        <f>(D291*6)+(E291*4)</f>
        <v/>
      </c>
      <c r="M291" s="16" t="n"/>
      <c r="N291" s="16" t="n"/>
      <c r="O291" s="16" t="n"/>
      <c r="P291" s="16" t="n"/>
      <c r="Q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User confirmed targeting restriction while unit survives.</t>
        </is>
      </c>
      <c r="J292" s="16" t="n"/>
      <c r="K292" s="16" t="n"/>
      <c r="L292" s="16">
        <f>(D292*6)+(E292*4)</f>
        <v/>
      </c>
      <c r="M292" s="16" t="n"/>
      <c r="N292" s="16" t="n"/>
      <c r="O292" s="16" t="n"/>
      <c r="P292" s="16" t="n"/>
      <c r="Q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J293" s="16" t="n"/>
      <c r="K293" s="16" t="n"/>
      <c r="L293" s="16">
        <f>(D293*6)+(E293*4)</f>
        <v/>
      </c>
      <c r="M293" s="16" t="n"/>
      <c r="N293" s="16" t="n"/>
      <c r="O293" s="16" t="n"/>
      <c r="P293" s="16" t="n"/>
      <c r="Q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 and DEF vs Nature</t>
        </is>
      </c>
      <c r="I294" t="inlineStr">
        <is>
          <t>ATK&amp;DEF→ATK and DEF</t>
        </is>
      </c>
      <c r="J294" s="16" t="n"/>
      <c r="K294" s="17" t="inlineStr">
        <is>
          <t>Yes</t>
        </is>
      </c>
      <c r="L294" s="16">
        <f>(D294*6)+(E294*4)</f>
        <v/>
      </c>
      <c r="M294" s="17" t="inlineStr">
        <is>
          <t>Yes</t>
        </is>
      </c>
      <c r="N294" s="16" t="n"/>
      <c r="O294" s="16" t="n"/>
      <c r="P294" s="16" t="n"/>
      <c r="Q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J295" s="16" t="n"/>
      <c r="K295" s="16" t="n"/>
      <c r="L295" s="16">
        <f>(D295*6)+(E295*4)</f>
        <v/>
      </c>
      <c r="M295" s="16" t="n"/>
      <c r="N295" s="16" t="n"/>
      <c r="O295" s="16" t="n"/>
      <c r="P295" s="16" t="n"/>
      <c r="Q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J296" s="16" t="n"/>
      <c r="K296" s="16" t="n"/>
      <c r="L296" s="16">
        <f>(D296*6)+(E296*4)</f>
        <v/>
      </c>
      <c r="M296" s="16" t="n"/>
      <c r="N296" s="16" t="n"/>
      <c r="O296" s="16" t="n"/>
      <c r="P296" s="16" t="n"/>
      <c r="Q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J297" s="16" t="n"/>
      <c r="K297" s="16" t="n"/>
      <c r="L297" s="16">
        <f>(D297*6)+(E297*4)</f>
        <v/>
      </c>
      <c r="M297" s="16" t="n"/>
      <c r="N297" s="16" t="n"/>
      <c r="O297" s="16" t="n"/>
      <c r="P297" s="16" t="n"/>
      <c r="Q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J298" s="16" t="n"/>
      <c r="K298" s="16" t="n"/>
      <c r="L298" s="16">
        <f>(D298*6)+(E298*4)</f>
        <v/>
      </c>
      <c r="M298" s="16" t="n"/>
      <c r="N298" s="16" t="n"/>
      <c r="O298" s="16" t="n"/>
      <c r="P298" s="16" t="n"/>
      <c r="Q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wording polish</t>
        </is>
      </c>
      <c r="J299" s="16" t="n"/>
      <c r="K299" s="16" t="n"/>
      <c r="L299" s="16">
        <f>(D299*6)+(E299*4)</f>
        <v/>
      </c>
      <c r="M299" s="16" t="n"/>
      <c r="N299" s="16" t="n"/>
      <c r="O299" s="16" t="n"/>
      <c r="P299" s="16" t="n"/>
      <c r="Q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Heads:, turn ends immediately</t>
        </is>
      </c>
      <c r="I300" t="inlineStr">
        <is>
          <t>Head→Heads</t>
        </is>
      </c>
      <c r="J300" s="16" t="n"/>
      <c r="K300" s="16" t="n"/>
      <c r="L300" s="16">
        <f>(D300*6)+(E300*4)</f>
        <v/>
      </c>
      <c r="M300" s="16" t="n"/>
      <c r="N300" s="16" t="n"/>
      <c r="O300" s="16" t="n"/>
      <c r="P300" s="16" t="n"/>
      <c r="Q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J301" s="16" t="n"/>
      <c r="K301" s="16" t="n"/>
      <c r="L301" s="16">
        <f>(D301*6)+(E301*4)</f>
        <v/>
      </c>
      <c r="M301" s="16" t="n"/>
      <c r="N301" s="16" t="n"/>
      <c r="O301" s="16" t="n"/>
      <c r="P301" s="16" t="n"/>
      <c r="Q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J302" s="16" t="n"/>
      <c r="K302" s="17" t="inlineStr">
        <is>
          <t>Yes</t>
        </is>
      </c>
      <c r="L302" s="16">
        <f>(D302*6)+(E302*4)</f>
        <v/>
      </c>
      <c r="M302" s="17" t="inlineStr">
        <is>
          <t>Yes</t>
        </is>
      </c>
      <c r="N302" s="16" t="n"/>
      <c r="O302" s="16" t="n"/>
      <c r="P302" s="16" t="n"/>
      <c r="Q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wording polish</t>
        </is>
      </c>
      <c r="J303" s="16" t="n"/>
      <c r="K303" s="17" t="inlineStr">
        <is>
          <t>Yes</t>
        </is>
      </c>
      <c r="L303" s="16">
        <f>(D303*6)+(E303*4)</f>
        <v/>
      </c>
      <c r="M303" s="17" t="inlineStr">
        <is>
          <t>Yes</t>
        </is>
      </c>
      <c r="N303" s="16" t="n"/>
      <c r="O303" s="16" t="n"/>
      <c r="P303" s="17" t="inlineStr">
        <is>
          <t>Yes</t>
        </is>
      </c>
      <c r="Q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J304" s="16" t="n"/>
      <c r="K304" s="16" t="n"/>
      <c r="L304" s="16">
        <f>(D304*6)+(E304*4)</f>
        <v/>
      </c>
      <c r="M304" s="16" t="n"/>
      <c r="N304" s="16" t="n"/>
      <c r="O304" s="16" t="n"/>
      <c r="P304" s="16" t="n"/>
      <c r="Q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wording polish</t>
        </is>
      </c>
      <c r="J305" s="16" t="n"/>
      <c r="K305" s="17" t="inlineStr">
        <is>
          <t>Yes</t>
        </is>
      </c>
      <c r="L305" s="16">
        <f>(D305*6)+(E305*4)</f>
        <v/>
      </c>
      <c r="M305" s="17" t="inlineStr">
        <is>
          <t>Yes</t>
        </is>
      </c>
      <c r="N305" s="16" t="n"/>
      <c r="O305" s="16" t="n"/>
      <c r="P305" s="17" t="inlineStr">
        <is>
          <t>Yes</t>
        </is>
      </c>
      <c r="Q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J306" s="16" t="n"/>
      <c r="K306" s="16" t="n"/>
      <c r="L306" s="16">
        <f>(D306*6)+(E306*4)</f>
        <v/>
      </c>
      <c r="M306" s="16" t="n"/>
      <c r="N306" s="16" t="n"/>
      <c r="O306" s="16" t="n"/>
      <c r="P306" s="16" t="n"/>
      <c r="Q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J307" s="16" t="n"/>
      <c r="K307" s="16" t="n"/>
      <c r="L307" s="16">
        <f>(D307*6)+(E307*4)</f>
        <v/>
      </c>
      <c r="M307" s="16" t="n"/>
      <c r="N307" s="16" t="n"/>
      <c r="O307" s="16" t="n"/>
      <c r="P307" s="16" t="n"/>
      <c r="Q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Synced to implemented rule; choose unit before coin; units only; grammar.</t>
        </is>
      </c>
      <c r="J308" s="16" t="n"/>
      <c r="K308" s="17" t="inlineStr">
        <is>
          <t>Yes</t>
        </is>
      </c>
      <c r="L308" s="16">
        <f>(D308*6)+(E308*4)</f>
        <v/>
      </c>
      <c r="M308" s="17" t="inlineStr">
        <is>
          <t>Yes</t>
        </is>
      </c>
      <c r="N308" s="16" t="n"/>
      <c r="O308" s="16" t="n"/>
      <c r="P308" s="17" t="inlineStr">
        <is>
          <t>Yes</t>
        </is>
      </c>
      <c r="Q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J309" s="16" t="n"/>
      <c r="K309" s="16" t="n"/>
      <c r="L309" s="16">
        <f>(D309*6)+(E309*4)</f>
        <v/>
      </c>
      <c r="M309" s="16" t="n"/>
      <c r="N309" s="16" t="n"/>
      <c r="O309" s="16" t="n"/>
      <c r="P309" s="16" t="n"/>
      <c r="Q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J310" s="16" t="n"/>
      <c r="K310" s="16" t="n"/>
      <c r="L310" s="16">
        <f>(D310*6)+(E310*4)</f>
        <v/>
      </c>
      <c r="M310" s="16" t="n"/>
      <c r="N310" s="16" t="n"/>
      <c r="O310" s="16" t="n"/>
      <c r="P310" s="16" t="n"/>
      <c r="Q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J311" s="16" t="n"/>
      <c r="K311" s="16" t="n"/>
      <c r="L311" s="16">
        <f>(D311*6)+(E311*4)</f>
        <v/>
      </c>
      <c r="M311" s="16" t="n"/>
      <c r="N311" s="16" t="n"/>
      <c r="O311" s="16" t="n"/>
      <c r="P311" s="16" t="n"/>
      <c r="Q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wording polish</t>
        </is>
      </c>
      <c r="J312" s="16" t="n"/>
      <c r="K312" s="16" t="n"/>
      <c r="L312" s="16">
        <f>(D312*6)+(E312*4)</f>
        <v/>
      </c>
      <c r="M312" s="16" t="n"/>
      <c r="N312" s="16" t="n"/>
      <c r="O312" s="16" t="n"/>
      <c r="P312" s="16" t="n"/>
      <c r="Q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J313" s="16" t="n"/>
      <c r="K313" s="16" t="n"/>
      <c r="L313" s="16">
        <f>(D313*6)+(E313*4)</f>
        <v/>
      </c>
      <c r="M313" s="16" t="n"/>
      <c r="N313" s="16" t="n"/>
      <c r="O313" s="16" t="n"/>
      <c r="P313" s="16" t="n"/>
      <c r="Q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J314" s="16" t="n"/>
      <c r="K314" s="16" t="n"/>
      <c r="L314" s="16">
        <f>(D314*6)+(E314*4)</f>
        <v/>
      </c>
      <c r="M314" s="16" t="n"/>
      <c r="N314" s="16" t="n"/>
      <c r="O314" s="16" t="n"/>
      <c r="P314" s="16" t="n"/>
      <c r="Q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J315" s="16" t="n"/>
      <c r="K315" s="16" t="n"/>
      <c r="L315" s="16">
        <f>(D315*6)+(E315*4)</f>
        <v/>
      </c>
      <c r="M315" s="16" t="n"/>
      <c r="N315" s="16" t="n"/>
      <c r="O315" s="16" t="n"/>
      <c r="P315" s="16" t="n"/>
      <c r="Q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Heads:, gain 20 Crystal</t>
        </is>
      </c>
      <c r="I316" t="inlineStr">
        <is>
          <t>Head→Heads</t>
        </is>
      </c>
      <c r="J316" s="16" t="n"/>
      <c r="K316" s="16" t="n"/>
      <c r="L316" s="16">
        <f>(D316*6)+(E316*4)</f>
        <v/>
      </c>
      <c r="M316" s="16" t="n"/>
      <c r="N316" s="16" t="n"/>
      <c r="O316" s="16" t="n"/>
      <c r="P316" s="16" t="n"/>
      <c r="Q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 and DEF until this turn ends, but all ally units lose 20 ATK and DEF until this turn ends</t>
        </is>
      </c>
      <c r="I317" t="inlineStr">
        <is>
          <t>ATK&amp;DEF→ATK and DEF</t>
        </is>
      </c>
      <c r="J317" s="16" t="n"/>
      <c r="K317" s="16" t="n"/>
      <c r="L317" s="16">
        <f>(D317*6)+(E317*4)</f>
        <v/>
      </c>
      <c r="M317" s="16" t="n"/>
      <c r="N317" s="16" t="n"/>
      <c r="O317" s="16" t="n"/>
      <c r="P317" s="16" t="n"/>
      <c r="Q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J318" s="16" t="n"/>
      <c r="K318" s="16" t="n"/>
      <c r="L318" s="16">
        <f>(D318*6)+(E318*4)</f>
        <v/>
      </c>
      <c r="M318" s="16" t="n"/>
      <c r="N318" s="16" t="n"/>
      <c r="O318" s="16" t="n"/>
      <c r="P318" s="16" t="n"/>
      <c r="Q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wording polish</t>
        </is>
      </c>
      <c r="J319" s="16" t="n"/>
      <c r="K319" s="16" t="n"/>
      <c r="L319" s="16">
        <f>(D319*6)+(E319*4)</f>
        <v/>
      </c>
      <c r="M319" s="16" t="n"/>
      <c r="N319" s="16" t="n"/>
      <c r="O319" s="16" t="n"/>
      <c r="P319" s="16" t="n"/>
      <c r="Q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J320" s="16" t="n"/>
      <c r="K320" s="16" t="n"/>
      <c r="L320" s="16">
        <f>(D320*6)+(E320*4)</f>
        <v/>
      </c>
      <c r="M320" s="16" t="n"/>
      <c r="N320" s="16" t="n"/>
      <c r="O320" s="16" t="n"/>
      <c r="P320" s="16" t="n"/>
      <c r="Q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J321" s="16" t="n"/>
      <c r="K321" s="16" t="n"/>
      <c r="L321" s="16">
        <f>(D321*6)+(E321*4)</f>
        <v/>
      </c>
      <c r="M321" s="16" t="n"/>
      <c r="N321" s="16" t="n"/>
      <c r="O321" s="16" t="n"/>
      <c r="P321" s="16" t="n"/>
      <c r="Q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J322" s="16" t="n"/>
      <c r="K322" s="16" t="n"/>
      <c r="L322" s="16">
        <f>(D322*6)+(E322*4)</f>
        <v/>
      </c>
      <c r="M322" s="16" t="n"/>
      <c r="N322" s="16" t="n"/>
      <c r="O322" s="16" t="n"/>
      <c r="P322" s="16" t="n"/>
      <c r="Q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J323" s="16" t="n"/>
      <c r="K323" s="16" t="n"/>
      <c r="L323" s="16">
        <f>(D323*6)+(E323*4)</f>
        <v/>
      </c>
      <c r="M323" s="16" t="n"/>
      <c r="N323" s="16" t="n"/>
      <c r="O323" s="16" t="n"/>
      <c r="P323" s="16" t="n"/>
      <c r="Q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User confirmed defender→attacker typo.</t>
        </is>
      </c>
      <c r="J324" s="16" t="n"/>
      <c r="K324" s="16" t="n"/>
      <c r="L324" s="16">
        <f>(D324*6)+(E324*4)</f>
        <v/>
      </c>
      <c r="M324" s="16" t="n"/>
      <c r="N324" s="16" t="n"/>
      <c r="O324" s="16" t="n"/>
      <c r="P324" s="16" t="n"/>
      <c r="Q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wording polish</t>
        </is>
      </c>
      <c r="J325" s="16" t="n"/>
      <c r="K325" s="16" t="n"/>
      <c r="L325" s="16">
        <f>(D325*6)+(E325*4)</f>
        <v/>
      </c>
      <c r="M325" s="16" t="n"/>
      <c r="N325" s="16" t="n"/>
      <c r="O325" s="16" t="n"/>
      <c r="P325" s="16" t="n"/>
      <c r="Q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J326" s="16" t="n"/>
      <c r="K326" s="16" t="n"/>
      <c r="L326" s="16">
        <f>(D326*6)+(E326*4)</f>
        <v/>
      </c>
      <c r="M326" s="16" t="n"/>
      <c r="N326" s="16" t="n"/>
      <c r="O326" s="16" t="n"/>
      <c r="P326" s="16" t="n"/>
      <c r="Q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J327" s="16" t="n"/>
      <c r="K327" s="16" t="n"/>
      <c r="L327" s="16">
        <f>(D327*6)+(E327*4)</f>
        <v/>
      </c>
      <c r="M327" s="16" t="n"/>
      <c r="N327" s="16" t="n"/>
      <c r="O327" s="16" t="n"/>
      <c r="P327" s="16" t="n"/>
      <c r="Q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wording polish</t>
        </is>
      </c>
      <c r="J328" s="16" t="n"/>
      <c r="K328" s="17" t="inlineStr">
        <is>
          <t>Yes</t>
        </is>
      </c>
      <c r="L328" s="16">
        <f>(D328*6)+(E328*4)</f>
        <v/>
      </c>
      <c r="M328" s="17" t="inlineStr">
        <is>
          <t>Yes</t>
        </is>
      </c>
      <c r="N328" s="16" t="n"/>
      <c r="O328" s="16" t="n"/>
      <c r="P328" s="17" t="inlineStr">
        <is>
          <t>Yes</t>
        </is>
      </c>
      <c r="Q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0 cost→0-cost</t>
        </is>
      </c>
      <c r="J329" s="16" t="n"/>
      <c r="K329" s="17" t="inlineStr">
        <is>
          <t>Yes</t>
        </is>
      </c>
      <c r="L329" s="16">
        <f>(D329*6)+(E329*4)</f>
        <v/>
      </c>
      <c r="M329" s="17" t="inlineStr">
        <is>
          <t>Yes</t>
        </is>
      </c>
      <c r="N329" s="16" t="n"/>
      <c r="O329" s="17" t="inlineStr">
        <is>
          <t>Yes</t>
        </is>
      </c>
      <c r="P329" s="16" t="n"/>
      <c r="Q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J330" s="16" t="n"/>
      <c r="K330" s="17" t="inlineStr">
        <is>
          <t>Yes</t>
        </is>
      </c>
      <c r="L330" s="16">
        <f>(D330*6)+(E330*4)</f>
        <v/>
      </c>
      <c r="M330" s="17" t="inlineStr">
        <is>
          <t>Yes</t>
        </is>
      </c>
      <c r="N330" s="16" t="n"/>
      <c r="O330" s="16" t="n"/>
      <c r="P330" s="16" t="n"/>
      <c r="Q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J331" s="16" t="n"/>
      <c r="K331" s="17" t="inlineStr">
        <is>
          <t>Yes</t>
        </is>
      </c>
      <c r="L331" s="16">
        <f>(D331*6)+(E331*4)</f>
        <v/>
      </c>
      <c r="M331" s="17" t="inlineStr">
        <is>
          <t>Yes</t>
        </is>
      </c>
      <c r="N331" s="16" t="n"/>
      <c r="O331" s="16" t="n"/>
      <c r="P331" s="16" t="n"/>
      <c r="Q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J332" s="16" t="n"/>
      <c r="K332" s="16" t="n"/>
      <c r="L332" s="16">
        <f>(D332*6)+(E332*4)</f>
        <v/>
      </c>
      <c r="M332" s="16" t="n"/>
      <c r="N332" s="16" t="n"/>
      <c r="O332" s="16" t="n"/>
      <c r="P332" s="16" t="n"/>
      <c r="Q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J333" s="16" t="n"/>
      <c r="K333" s="16" t="n"/>
      <c r="L333" s="16">
        <f>(D333*6)+(E333*4)</f>
        <v/>
      </c>
      <c r="M333" s="16" t="n"/>
      <c r="N333" s="16" t="n"/>
      <c r="O333" s="16" t="n"/>
      <c r="P333" s="16" t="n"/>
      <c r="Q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J334" s="16" t="n"/>
      <c r="K334" s="16" t="n"/>
      <c r="L334" s="16">
        <f>(D334*6)+(E334*4)</f>
        <v/>
      </c>
      <c r="M334" s="16" t="n"/>
      <c r="N334" s="16" t="n"/>
      <c r="O334" s="16" t="n"/>
      <c r="P334" s="16" t="n"/>
      <c r="Q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J335" s="16" t="n"/>
      <c r="K335" s="16" t="n"/>
      <c r="L335" s="16">
        <f>(D335*6)+(E335*4)</f>
        <v/>
      </c>
      <c r="M335" s="16" t="n"/>
      <c r="N335" s="16" t="n"/>
      <c r="O335" s="16" t="n"/>
      <c r="P335" s="16" t="n"/>
      <c r="Q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J336" s="16" t="n"/>
      <c r="K336" s="16" t="n"/>
      <c r="L336" s="16">
        <f>(D336*6)+(E336*4)</f>
        <v/>
      </c>
      <c r="M336" s="16" t="n"/>
      <c r="N336" s="16" t="n"/>
      <c r="O336" s="16" t="n"/>
      <c r="P336" s="16" t="n"/>
      <c r="Q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J337" s="16" t="n"/>
      <c r="K337" s="16" t="n"/>
      <c r="L337" s="16">
        <f>(D337*6)+(E337*4)</f>
        <v/>
      </c>
      <c r="M337" s="16" t="n"/>
      <c r="N337" s="16" t="n"/>
      <c r="O337" s="16" t="n"/>
      <c r="P337" s="16" t="n"/>
      <c r="Q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J338" s="16" t="n"/>
      <c r="K338" s="16" t="n"/>
      <c r="L338" s="16">
        <f>(D338*6)+(E338*4)</f>
        <v/>
      </c>
      <c r="M338" s="16" t="n"/>
      <c r="N338" s="16" t="n"/>
      <c r="O338" s="16" t="n"/>
      <c r="P338" s="16" t="n"/>
      <c r="Q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J339" s="16" t="n"/>
      <c r="K339" s="16" t="n"/>
      <c r="L339" s="16">
        <f>(D339*6)+(E339*4)</f>
        <v/>
      </c>
      <c r="M339" s="16" t="n"/>
      <c r="N339" s="16" t="n"/>
      <c r="O339" s="16" t="n"/>
      <c r="P339" s="16" t="n"/>
      <c r="Q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J340" s="16" t="n"/>
      <c r="K340" s="16" t="n"/>
      <c r="L340" s="16">
        <f>(D340*6)+(E340*4)</f>
        <v/>
      </c>
      <c r="M340" s="16" t="n"/>
      <c r="N340" s="16" t="n"/>
      <c r="O340" s="16" t="n"/>
      <c r="P340" s="16" t="n"/>
      <c r="Q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J341" s="16" t="n"/>
      <c r="K341" s="17" t="inlineStr">
        <is>
          <t>Yes</t>
        </is>
      </c>
      <c r="L341" s="16">
        <f>(D341*6)+(E341*4)</f>
        <v/>
      </c>
      <c r="M341" s="17" t="inlineStr">
        <is>
          <t>Yes</t>
        </is>
      </c>
      <c r="N341" s="16" t="n"/>
      <c r="O341" s="16" t="n"/>
      <c r="P341" s="17" t="inlineStr">
        <is>
          <t>Yes</t>
        </is>
      </c>
      <c r="Q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wording polish</t>
        </is>
      </c>
      <c r="J342" s="16" t="n"/>
      <c r="K342" s="17" t="inlineStr">
        <is>
          <t>Yes</t>
        </is>
      </c>
      <c r="L342" s="16">
        <f>(D342*6)+(E342*4)</f>
        <v/>
      </c>
      <c r="M342" s="17" t="inlineStr">
        <is>
          <t>Yes</t>
        </is>
      </c>
      <c r="N342" s="16" t="n"/>
      <c r="O342" s="17" t="inlineStr">
        <is>
          <t>Yes</t>
        </is>
      </c>
      <c r="P342" s="16" t="n"/>
      <c r="Q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Heads:, this card can attack twice.</t>
        </is>
      </c>
      <c r="I343" t="inlineStr">
        <is>
          <t>Head→Heads</t>
        </is>
      </c>
      <c r="J343" s="16" t="n"/>
      <c r="K343" s="17" t="inlineStr">
        <is>
          <t>Yes</t>
        </is>
      </c>
      <c r="L343" s="16">
        <f>(D343*6)+(E343*4)</f>
        <v/>
      </c>
      <c r="M343" s="17" t="inlineStr">
        <is>
          <t>Yes</t>
        </is>
      </c>
      <c r="N343" s="16" t="n"/>
      <c r="O343" s="16" t="n"/>
      <c r="P343" s="17" t="inlineStr">
        <is>
          <t>Yes</t>
        </is>
      </c>
      <c r="Q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J344" s="16" t="n"/>
      <c r="K344" s="16" t="n"/>
      <c r="L344" s="16">
        <f>(D344*6)+(E344*4)</f>
        <v/>
      </c>
      <c r="M344" s="16" t="n"/>
      <c r="N344" s="16" t="n"/>
      <c r="O344" s="16" t="n"/>
      <c r="P344" s="16" t="n"/>
      <c r="Q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J345" s="16" t="n"/>
      <c r="K345" s="16" t="n"/>
      <c r="L345" s="16">
        <f>(D345*6)+(E345*4)</f>
        <v/>
      </c>
      <c r="M345" s="16" t="n"/>
      <c r="N345" s="16" t="n"/>
      <c r="O345" s="16" t="n"/>
      <c r="P345" s="16" t="n"/>
      <c r="Q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J346" s="16" t="n"/>
      <c r="K346" s="16" t="n"/>
      <c r="L346" s="16">
        <f>(D346*6)+(E346*4)</f>
        <v/>
      </c>
      <c r="M346" s="16" t="n"/>
      <c r="N346" s="16" t="n"/>
      <c r="O346" s="16" t="n"/>
      <c r="P346" s="16" t="n"/>
      <c r="Q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J347" s="16" t="n"/>
      <c r="K347" s="16" t="n"/>
      <c r="L347" s="16">
        <f>(D347*6)+(E347*4)</f>
        <v/>
      </c>
      <c r="M347" s="16" t="n"/>
      <c r="N347" s="16" t="n"/>
      <c r="O347" s="16" t="n"/>
      <c r="P347" s="16" t="n"/>
      <c r="Q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0 cost→0-cost</t>
        </is>
      </c>
      <c r="J348" s="16" t="n"/>
      <c r="K348" s="17" t="inlineStr">
        <is>
          <t>Yes</t>
        </is>
      </c>
      <c r="L348" s="16">
        <f>(D348*6)+(E348*4)</f>
        <v/>
      </c>
      <c r="M348" s="17" t="inlineStr">
        <is>
          <t>Yes</t>
        </is>
      </c>
      <c r="N348" s="16" t="n"/>
      <c r="O348" s="16" t="n"/>
      <c r="P348" s="16" t="n"/>
      <c r="Q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J349" s="16" t="n"/>
      <c r="K349" s="16" t="n"/>
      <c r="L349" s="16">
        <f>(D349*6)+(E349*4)</f>
        <v/>
      </c>
      <c r="M349" s="16" t="n"/>
      <c r="N349" s="16" t="n"/>
      <c r="O349" s="16" t="n"/>
      <c r="P349" s="16" t="n"/>
      <c r="Q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J350" s="16" t="n"/>
      <c r="K350" s="16" t="n"/>
      <c r="L350" s="16">
        <f>(D350*6)+(E350*4)</f>
        <v/>
      </c>
      <c r="M350" s="16" t="n"/>
      <c r="N350" s="16" t="n"/>
      <c r="O350" s="16" t="n"/>
      <c r="P350" s="16" t="n"/>
      <c r="Q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J351" s="16" t="n"/>
      <c r="K351" s="17" t="inlineStr">
        <is>
          <t>Yes</t>
        </is>
      </c>
      <c r="L351" s="16">
        <f>(D351*6)+(E351*4)</f>
        <v/>
      </c>
      <c r="M351" s="17" t="inlineStr">
        <is>
          <t>Yes</t>
        </is>
      </c>
      <c r="N351" s="16" t="n"/>
      <c r="O351" s="16" t="n"/>
      <c r="P351" s="16" t="n"/>
      <c r="Q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J352" s="16" t="n"/>
      <c r="K352" s="16" t="n"/>
      <c r="L352" s="16">
        <f>(D352*6)+(E352*4)</f>
        <v/>
      </c>
      <c r="M352" s="16" t="n"/>
      <c r="N352" s="16" t="n"/>
      <c r="O352" s="16" t="n"/>
      <c r="P352" s="16" t="n"/>
      <c r="Q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wording polish</t>
        </is>
      </c>
      <c r="J353" s="16" t="n"/>
      <c r="K353" s="16" t="n"/>
      <c r="L353" s="16">
        <f>(D353*6)+(E353*4)</f>
        <v/>
      </c>
      <c r="M353" s="16" t="n"/>
      <c r="N353" s="16" t="n"/>
      <c r="O353" s="16" t="n"/>
      <c r="P353" s="16" t="n"/>
      <c r="Q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J354" s="16" t="n"/>
      <c r="K354" s="16" t="n"/>
      <c r="L354" s="16">
        <f>(D354*6)+(E354*4)</f>
        <v/>
      </c>
      <c r="M354" s="16" t="n"/>
      <c r="N354" s="16" t="n"/>
      <c r="O354" s="16" t="n"/>
      <c r="P354" s="16" t="n"/>
      <c r="Q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J355" s="16" t="n"/>
      <c r="K355" s="16" t="n"/>
      <c r="L355" s="16">
        <f>(D355*6)+(E355*4)</f>
        <v/>
      </c>
      <c r="M355" s="16" t="n"/>
      <c r="N355" s="16" t="n"/>
      <c r="O355" s="16" t="n"/>
      <c r="P355" s="16" t="n"/>
      <c r="Q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J356" s="16" t="n"/>
      <c r="K356" s="16" t="n"/>
      <c r="L356" s="16">
        <f>(D356*6)+(E356*4)</f>
        <v/>
      </c>
      <c r="M356" s="16" t="n"/>
      <c r="N356" s="16" t="n"/>
      <c r="O356" s="16" t="n"/>
      <c r="P356" s="16" t="n"/>
      <c r="Q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 and DEF</t>
        </is>
      </c>
      <c r="I357" t="inlineStr">
        <is>
          <t>ATK&amp;DEF→ATK and DEF</t>
        </is>
      </c>
      <c r="J357" s="16" t="n"/>
      <c r="K357" s="16" t="n"/>
      <c r="L357" s="16">
        <f>(D357*6)+(E357*4)</f>
        <v/>
      </c>
      <c r="M357" s="16" t="n"/>
      <c r="N357" s="16" t="n"/>
      <c r="O357" s="16" t="n"/>
      <c r="P357" s="16" t="n"/>
      <c r="Q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wording polish</t>
        </is>
      </c>
      <c r="J358" s="16" t="n"/>
      <c r="K358" s="16" t="n"/>
      <c r="L358" s="16">
        <f>(D358*6)+(E358*4)</f>
        <v/>
      </c>
      <c r="M358" s="16" t="n"/>
      <c r="N358" s="16" t="n"/>
      <c r="O358" s="16" t="n"/>
      <c r="P358" s="16" t="n"/>
      <c r="Q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J359" s="16" t="n"/>
      <c r="K359" s="16" t="n"/>
      <c r="L359" s="16">
        <f>(D359*6)+(E359*4)</f>
        <v/>
      </c>
      <c r="M359" s="16" t="n"/>
      <c r="N359" s="16" t="n"/>
      <c r="O359" s="16" t="n"/>
      <c r="P359" s="16" t="n"/>
      <c r="Q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J360" s="16" t="n"/>
      <c r="K360" s="16" t="n"/>
      <c r="L360" s="16">
        <f>(D360*6)+(E360*4)</f>
        <v/>
      </c>
      <c r="M360" s="16" t="n"/>
      <c r="N360" s="16" t="n"/>
      <c r="O360" s="16" t="n"/>
      <c r="P360" s="16" t="n"/>
      <c r="Q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J361" s="16" t="n"/>
      <c r="K361" s="16" t="n"/>
      <c r="L361" s="16">
        <f>(D361*6)+(E361*4)</f>
        <v/>
      </c>
      <c r="M361" s="16" t="n"/>
      <c r="N361" s="16" t="n"/>
      <c r="O361" s="16" t="n"/>
      <c r="P361" s="16" t="n"/>
      <c r="Q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J362" s="16" t="n"/>
      <c r="K362" s="16" t="n"/>
      <c r="L362" s="16">
        <f>(D362*6)+(E362*4)</f>
        <v/>
      </c>
      <c r="M362" s="16" t="n"/>
      <c r="N362" s="16" t="n"/>
      <c r="O362" s="16" t="n"/>
      <c r="P362" s="16" t="n"/>
      <c r="Q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User confirmed negate=disable (not destroy/immune).</t>
        </is>
      </c>
      <c r="J363" s="16" t="n"/>
      <c r="K363" s="17" t="inlineStr">
        <is>
          <t>Yes</t>
        </is>
      </c>
      <c r="L363" s="16">
        <f>(D363*6)+(E363*4)</f>
        <v/>
      </c>
      <c r="M363" s="17" t="inlineStr">
        <is>
          <t>Yes</t>
        </is>
      </c>
      <c r="N363" s="16" t="n"/>
      <c r="O363" s="16" t="n"/>
      <c r="P363" s="17" t="inlineStr">
        <is>
          <t>Yes</t>
        </is>
      </c>
      <c r="Q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J364" s="16" t="n"/>
      <c r="K364" s="16" t="n"/>
      <c r="L364" s="16">
        <f>(D364*6)+(E364*4)</f>
        <v/>
      </c>
      <c r="M364" s="16" t="n"/>
      <c r="N364" s="16" t="n"/>
      <c r="O364" s="16" t="n"/>
      <c r="P364" s="16" t="n"/>
      <c r="Q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J365" s="16" t="n"/>
      <c r="K365" s="16" t="n"/>
      <c r="L365" s="16">
        <f>(D365*6)+(E365*4)</f>
        <v/>
      </c>
      <c r="M365" s="16" t="n"/>
      <c r="N365" s="16" t="n"/>
      <c r="O365" s="16" t="n"/>
      <c r="P365" s="16" t="n"/>
      <c r="Q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J366" s="16" t="n"/>
      <c r="K366" s="16" t="n"/>
      <c r="L366" s="16">
        <f>(D366*6)+(E366*4)</f>
        <v/>
      </c>
      <c r="M366" s="16" t="n"/>
      <c r="N366" s="16" t="n"/>
      <c r="O366" s="16" t="n"/>
      <c r="P366" s="16" t="n"/>
      <c r="Q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J367" s="16" t="n"/>
      <c r="K367" s="17" t="inlineStr">
        <is>
          <t>Yes</t>
        </is>
      </c>
      <c r="L367" s="16">
        <f>(D367*6)+(E367*4)</f>
        <v/>
      </c>
      <c r="M367" s="17" t="inlineStr">
        <is>
          <t>Yes</t>
        </is>
      </c>
      <c r="N367" s="16" t="n"/>
      <c r="O367" s="16" t="n"/>
      <c r="P367" s="16" t="n"/>
      <c r="Q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J368" s="16" t="n"/>
      <c r="K368" s="16" t="n"/>
      <c r="L368" s="16">
        <f>(D368*6)+(E368*4)</f>
        <v/>
      </c>
      <c r="M368" s="16" t="n"/>
      <c r="N368" s="16" t="n"/>
      <c r="O368" s="16" t="n"/>
      <c r="P368" s="16" t="n"/>
      <c r="Q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0 cost→0-cost</t>
        </is>
      </c>
      <c r="J369" s="16" t="n"/>
      <c r="K369" s="16" t="n"/>
      <c r="L369" s="16">
        <f>(D369*6)+(E369*4)</f>
        <v/>
      </c>
      <c r="M369" s="16" t="n"/>
      <c r="N369" s="16" t="n"/>
      <c r="O369" s="16" t="n"/>
      <c r="P369" s="16" t="n"/>
      <c r="Q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J370" s="16" t="n"/>
      <c r="K370" s="16" t="n"/>
      <c r="L370" s="16">
        <f>(D370*6)+(E370*4)</f>
        <v/>
      </c>
      <c r="M370" s="16" t="n"/>
      <c r="N370" s="16" t="n"/>
      <c r="O370" s="16" t="n"/>
      <c r="P370" s="16" t="n"/>
      <c r="Q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Shortened immunity wording.</t>
        </is>
      </c>
      <c r="J371" s="16" t="n"/>
      <c r="K371" s="16" t="n"/>
      <c r="L371" s="16">
        <f>(D371*6)+(E371*4)</f>
        <v/>
      </c>
      <c r="M371" s="16" t="n"/>
      <c r="N371" s="16" t="n"/>
      <c r="O371" s="16" t="n"/>
      <c r="P371" s="16" t="n"/>
      <c r="Q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J372" s="16" t="n"/>
      <c r="K372" s="17" t="inlineStr">
        <is>
          <t>Yes</t>
        </is>
      </c>
      <c r="L372" s="16">
        <f>(D372*6)+(E372*4)</f>
        <v/>
      </c>
      <c r="M372" s="17" t="inlineStr">
        <is>
          <t>Yes</t>
        </is>
      </c>
      <c r="N372" s="16" t="n"/>
      <c r="O372" s="17" t="inlineStr">
        <is>
          <t>Yes</t>
        </is>
      </c>
      <c r="P372" s="16" t="n"/>
      <c r="Q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J373" s="16" t="n"/>
      <c r="K373" s="16" t="n"/>
      <c r="L373" s="16">
        <f>(D373*6)+(E373*4)</f>
        <v/>
      </c>
      <c r="M373" s="16" t="n"/>
      <c r="N373" s="16" t="n"/>
      <c r="O373" s="16" t="n"/>
      <c r="P373" s="16" t="n"/>
      <c r="Q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J374" s="16" t="n"/>
      <c r="K374" s="16" t="n"/>
      <c r="L374" s="16">
        <f>(D374*6)+(E374*4)</f>
        <v/>
      </c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J375" s="16" t="n"/>
      <c r="K375" s="16" t="n"/>
      <c r="L375" s="16">
        <f>(D375*6)+(E375*4)</f>
        <v/>
      </c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J376" s="16" t="n"/>
      <c r="K376" s="16" t="n"/>
      <c r="L376" s="16">
        <f>(D376*6)+(E376*4)</f>
        <v/>
      </c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J377" s="16" t="n"/>
      <c r="K377" s="16" t="n"/>
      <c r="L377" s="16">
        <f>(D377*6)+(E377*4)</f>
        <v/>
      </c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J378" s="16" t="n"/>
      <c r="K378" s="16" t="n"/>
      <c r="L378" s="16">
        <f>(D378*6)+(E378*4)</f>
        <v/>
      </c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J379" s="16" t="n"/>
      <c r="K379" s="16" t="n"/>
      <c r="L379" s="16">
        <f>(D379*6)+(E379*4)</f>
        <v/>
      </c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J380" s="16" t="n"/>
      <c r="K380" s="16" t="n"/>
      <c r="L380" s="16">
        <f>(D380*6)+(E380*4)</f>
        <v/>
      </c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J381" s="16" t="n"/>
      <c r="K381" s="16" t="n"/>
      <c r="L381" s="16">
        <f>(D381*6)+(E381*4)</f>
        <v/>
      </c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J382" s="16" t="n"/>
      <c r="K382" s="16" t="n"/>
      <c r="L382" s="16">
        <f>(D382*6)+(E382*4)</f>
        <v/>
      </c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J383" s="16" t="n"/>
      <c r="K383" s="16" t="n"/>
      <c r="L383" s="16">
        <f>(D383*6)+(E383*4)</f>
        <v/>
      </c>
      <c r="M383" s="16" t="n"/>
      <c r="N383" s="16" t="n"/>
      <c r="O383" s="16" t="n"/>
      <c r="P383" s="16" t="n"/>
      <c r="Q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J384" s="16" t="n"/>
      <c r="K384" s="16" t="n"/>
      <c r="L384" s="16">
        <f>(D384*6)+(E384*4)</f>
        <v/>
      </c>
      <c r="M384" s="16" t="n"/>
      <c r="N384" s="16" t="n"/>
      <c r="O384" s="16" t="n"/>
      <c r="P384" s="16" t="n"/>
      <c r="Q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J385" s="16" t="n"/>
      <c r="K385" s="16" t="n"/>
      <c r="L385" s="16">
        <f>(D385*6)+(E385*4)</f>
        <v/>
      </c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J386" s="16" t="n"/>
      <c r="K386" s="16" t="n"/>
      <c r="L386" s="16">
        <f>(D386*6)+(E386*4)</f>
        <v/>
      </c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J387" s="16" t="n"/>
      <c r="K387" s="16" t="n"/>
      <c r="L387" s="16">
        <f>(D387*6)+(E387*4)</f>
        <v/>
      </c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J388" s="16" t="n"/>
      <c r="K388" s="16" t="n"/>
      <c r="L388" s="16">
        <f>(D388*6)+(E388*4)</f>
        <v/>
      </c>
      <c r="M388" s="16" t="n"/>
      <c r="N388" s="16" t="n"/>
      <c r="O388" s="16" t="n"/>
      <c r="P388" s="16" t="n"/>
      <c r="Q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wording polish</t>
        </is>
      </c>
      <c r="J389" s="16" t="n"/>
      <c r="K389" s="17" t="inlineStr">
        <is>
          <t>Yes</t>
        </is>
      </c>
      <c r="L389" s="16">
        <f>(D389*6)+(E389*4)</f>
        <v/>
      </c>
      <c r="M389" s="17" t="inlineStr">
        <is>
          <t>Yes</t>
        </is>
      </c>
      <c r="N389" s="16" t="n"/>
      <c r="O389" s="16" t="n"/>
      <c r="P389" s="16" t="n"/>
      <c r="Q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J390" s="16" t="n"/>
      <c r="K390" s="16" t="n"/>
      <c r="L390" s="16">
        <f>(D390*6)+(E390*4)</f>
        <v/>
      </c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J391" s="16" t="n"/>
      <c r="K391" s="16" t="n"/>
      <c r="L391" s="16">
        <f>(D391*6)+(E391*4)</f>
        <v/>
      </c>
      <c r="M391" s="16" t="n"/>
      <c r="N391" s="16" t="n"/>
      <c r="O391" s="16" t="n"/>
      <c r="P391" s="16" t="n"/>
      <c r="Q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wording polish</t>
        </is>
      </c>
      <c r="J392" s="16" t="n"/>
      <c r="K392" s="17" t="inlineStr">
        <is>
          <t>Yes</t>
        </is>
      </c>
      <c r="L392" s="16">
        <f>(D392*6)+(E392*4)</f>
        <v/>
      </c>
      <c r="M392" s="17" t="inlineStr">
        <is>
          <t>Yes</t>
        </is>
      </c>
      <c r="N392" s="16" t="n"/>
      <c r="O392" s="17" t="inlineStr">
        <is>
          <t>Yes</t>
        </is>
      </c>
      <c r="P392" s="16" t="n"/>
      <c r="Q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J393" s="16" t="n"/>
      <c r="K393" s="17" t="inlineStr">
        <is>
          <t>Yes</t>
        </is>
      </c>
      <c r="L393" s="16">
        <f>(D393*6)+(E393*4)</f>
        <v/>
      </c>
      <c r="M393" s="17" t="inlineStr">
        <is>
          <t>Yes</t>
        </is>
      </c>
      <c r="N393" s="16" t="n"/>
      <c r="O393" s="16" t="n"/>
      <c r="P393" s="16" t="n"/>
      <c r="Q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 and DEF vs Non-Anima</t>
        </is>
      </c>
      <c r="I394" t="inlineStr">
        <is>
          <t>ATK&amp;DEF→ATK and DEF</t>
        </is>
      </c>
      <c r="J394" s="16" t="n"/>
      <c r="K394" s="17" t="inlineStr">
        <is>
          <t>Yes</t>
        </is>
      </c>
      <c r="L394" s="16">
        <f>(D394*6)+(E394*4)</f>
        <v/>
      </c>
      <c r="M394" s="17" t="inlineStr">
        <is>
          <t>Yes</t>
        </is>
      </c>
      <c r="N394" s="16" t="n"/>
      <c r="O394" s="16" t="n"/>
      <c r="P394" s="17" t="inlineStr">
        <is>
          <t>Yes</t>
        </is>
      </c>
      <c r="Q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J395" s="16" t="n"/>
      <c r="K395" s="17" t="inlineStr">
        <is>
          <t>Yes</t>
        </is>
      </c>
      <c r="L395" s="16">
        <f>(D395*6)+(E395*4)</f>
        <v/>
      </c>
      <c r="M395" s="17" t="inlineStr">
        <is>
          <t>Yes</t>
        </is>
      </c>
      <c r="N395" s="16" t="n"/>
      <c r="O395" s="16" t="n"/>
      <c r="P395" s="16" t="n"/>
      <c r="Q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 and DEF vs Arcane</t>
        </is>
      </c>
      <c r="I396" t="inlineStr">
        <is>
          <t>ATK&amp;DEF→ATK and DEF</t>
        </is>
      </c>
      <c r="J396" s="16" t="n"/>
      <c r="K396" s="17" t="inlineStr">
        <is>
          <t>Yes</t>
        </is>
      </c>
      <c r="L396" s="16">
        <f>(D396*6)+(E396*4)</f>
        <v/>
      </c>
      <c r="M396" s="17" t="inlineStr">
        <is>
          <t>Yes</t>
        </is>
      </c>
      <c r="N396" s="16" t="n"/>
      <c r="O396" s="16" t="n"/>
      <c r="P396" s="16" t="n"/>
      <c r="Q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J397" s="16" t="n"/>
      <c r="K397" s="17" t="inlineStr">
        <is>
          <t>Yes</t>
        </is>
      </c>
      <c r="L397" s="16">
        <f>(D397*6)+(E397*4)</f>
        <v/>
      </c>
      <c r="M397" s="17" t="inlineStr">
        <is>
          <t>Yes</t>
        </is>
      </c>
      <c r="N397" s="16" t="n"/>
      <c r="O397" s="16" t="n"/>
      <c r="P397" s="16" t="n"/>
      <c r="Q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J398" s="16" t="n"/>
      <c r="K398" s="17" t="inlineStr">
        <is>
          <t>Yes</t>
        </is>
      </c>
      <c r="L398" s="16">
        <f>(D398*6)+(E398*4)</f>
        <v/>
      </c>
      <c r="M398" s="17" t="inlineStr">
        <is>
          <t>Yes</t>
        </is>
      </c>
      <c r="N398" s="16" t="n"/>
      <c r="O398" s="16" t="n"/>
      <c r="P398" s="16" t="n"/>
      <c r="Q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J399" s="16" t="n"/>
      <c r="K399" s="16" t="n"/>
      <c r="L399" s="16">
        <f>(D399*6)+(E399*4)</f>
        <v/>
      </c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J400" s="16" t="n"/>
      <c r="K400" s="16" t="n"/>
      <c r="L400" s="16">
        <f>(D400*6)+(E400*4)</f>
        <v/>
      </c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J401" s="16" t="n"/>
      <c r="K401" s="16" t="n"/>
      <c r="L401" s="16">
        <f>(D401*6)+(E401*4)</f>
        <v/>
      </c>
      <c r="M401" s="16" t="n"/>
      <c r="N401" s="16" t="n"/>
      <c r="O401" s="16" t="n"/>
      <c r="P401" s="16" t="n"/>
      <c r="Q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J402" s="16" t="n"/>
      <c r="K402" s="16" t="n"/>
      <c r="L402" s="16">
        <f>(D402*6)+(E402*4)</f>
        <v/>
      </c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J403" s="16" t="n"/>
      <c r="K403" s="16" t="n"/>
      <c r="L403" s="16">
        <f>(D403*6)+(E403*4)</f>
        <v/>
      </c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J404" s="16" t="n"/>
      <c r="K404" s="16" t="n"/>
      <c r="L404" s="16">
        <f>(D404*6)+(E404*4)</f>
        <v/>
      </c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J405" s="16" t="n"/>
      <c r="K405" s="16" t="n"/>
      <c r="L405" s="16">
        <f>(D405*6)+(E405*4)</f>
        <v/>
      </c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J406" s="16" t="n"/>
      <c r="K406" s="16" t="n"/>
      <c r="L406" s="16">
        <f>(D406*6)+(E406*4)</f>
        <v/>
      </c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J407" s="16" t="n"/>
      <c r="K407" s="16" t="n"/>
      <c r="L407" s="16">
        <f>(D407*6)+(E407*4)</f>
        <v/>
      </c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J408" s="16" t="n"/>
      <c r="K408" s="16" t="n"/>
      <c r="L408" s="16">
        <f>(D408*6)+(E408*4)</f>
        <v/>
      </c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J409" s="16" t="n"/>
      <c r="K409" s="16" t="n"/>
      <c r="L409" s="16">
        <f>(D409*6)+(E409*4)</f>
        <v/>
      </c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J410" s="16" t="n"/>
      <c r="K410" s="16" t="n"/>
      <c r="L410" s="16">
        <f>(D410*6)+(E410*4)</f>
        <v/>
      </c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J411" s="16" t="n"/>
      <c r="K411" s="16" t="n"/>
      <c r="L411" s="16">
        <f>(D411*6)+(E411*4)</f>
        <v/>
      </c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J412" s="16" t="n"/>
      <c r="K412" s="16" t="n"/>
      <c r="L412" s="16">
        <f>(D412*6)+(E412*4)</f>
        <v/>
      </c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J413" s="16" t="n"/>
      <c r="K413" s="16" t="n"/>
      <c r="L413" s="16">
        <f>(D413*6)+(E413*4)</f>
        <v/>
      </c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J414" s="16" t="n"/>
      <c r="K414" s="16" t="n"/>
      <c r="L414" s="16">
        <f>(D414*6)+(E414*4)</f>
        <v/>
      </c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J415" s="16" t="n"/>
      <c r="K415" s="16" t="n"/>
      <c r="L415" s="16">
        <f>(D415*6)+(E415*4)</f>
        <v/>
      </c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J416" s="16" t="n"/>
      <c r="K416" s="16" t="n"/>
      <c r="L416" s="16">
        <f>(D416*6)+(E416*4)</f>
        <v/>
      </c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J417" s="16" t="n"/>
      <c r="K417" s="16" t="n"/>
      <c r="L417" s="16">
        <f>(D417*6)+(E417*4)</f>
        <v/>
      </c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J418" s="16" t="n"/>
      <c r="K418" s="16" t="n"/>
      <c r="L418" s="16">
        <f>(D418*6)+(E418*4)</f>
        <v/>
      </c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J419" s="16" t="n"/>
      <c r="K419" s="16" t="n"/>
      <c r="L419" s="16">
        <f>(D419*6)+(E419*4)</f>
        <v/>
      </c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J420" s="16" t="n"/>
      <c r="K420" s="16" t="n"/>
      <c r="L420" s="16">
        <f>(D420*6)+(E420*4)</f>
        <v/>
      </c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J421" s="16" t="n"/>
      <c r="K421" s="16" t="n"/>
      <c r="L421" s="16">
        <f>(D421*6)+(E421*4)</f>
        <v/>
      </c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J422" s="16" t="n"/>
      <c r="K422" s="16" t="n"/>
      <c r="L422" s="16">
        <f>(D422*6)+(E422*4)</f>
        <v/>
      </c>
      <c r="M422" s="16" t="n"/>
      <c r="N422" s="16" t="n"/>
      <c r="O422" s="16" t="n"/>
      <c r="P422" s="16" t="n"/>
      <c r="Q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 and DEF by 40</t>
        </is>
      </c>
      <c r="I423" t="inlineStr">
        <is>
          <t>ATK&amp;DEF→ATK and DEF</t>
        </is>
      </c>
      <c r="J423" s="16" t="n"/>
      <c r="K423" s="16" t="n"/>
      <c r="L423" s="16">
        <f>(D423*6)+(E423*4)</f>
        <v/>
      </c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J424" s="16" t="n"/>
      <c r="K424" s="16" t="n"/>
      <c r="L424" s="16">
        <f>(D424*6)+(E424*4)</f>
        <v/>
      </c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J425" s="16" t="n"/>
      <c r="K425" s="16" t="n"/>
      <c r="L425" s="16">
        <f>(D425*6)+(E425*4)</f>
        <v/>
      </c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J426" s="16" t="n"/>
      <c r="K426" s="16" t="n"/>
      <c r="L426" s="16">
        <f>(D426*6)+(E426*4)</f>
        <v/>
      </c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J427" s="16" t="n"/>
      <c r="K427" s="16" t="n"/>
      <c r="L427" s="16">
        <f>(D427*6)+(E427*4)</f>
        <v/>
      </c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J428" s="16" t="n"/>
      <c r="K428" s="16" t="n"/>
      <c r="L428" s="16">
        <f>(D428*6)+(E428*4)</f>
        <v/>
      </c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J429" s="16" t="n"/>
      <c r="K429" s="16" t="n"/>
      <c r="L429" s="16">
        <f>(D429*6)+(E429*4)</f>
        <v/>
      </c>
      <c r="M429" s="16" t="n"/>
      <c r="N429" s="16" t="n"/>
      <c r="O429" s="16" t="n"/>
      <c r="P429" s="16" t="n"/>
      <c r="Q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J430" s="16" t="n"/>
      <c r="K430" s="16" t="n"/>
      <c r="L430" s="16">
        <f>(D430*6)+(E430*4)</f>
        <v/>
      </c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J431" s="16" t="n"/>
      <c r="K431" s="16" t="n"/>
      <c r="L431" s="16">
        <f>(D431*6)+(E431*4)</f>
        <v/>
      </c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J432" s="16" t="n"/>
      <c r="K432" s="16" t="n"/>
      <c r="L432" s="16">
        <f>(D432*6)+(E432*4)</f>
        <v/>
      </c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J433" s="16" t="n"/>
      <c r="K433" s="16" t="n"/>
      <c r="L433" s="16">
        <f>(D433*6)+(E433*4)</f>
        <v/>
      </c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J434" s="16" t="n"/>
      <c r="K434" s="16" t="n"/>
      <c r="L434" s="16">
        <f>(D434*6)+(E434*4)</f>
        <v/>
      </c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J435" s="16" t="n"/>
      <c r="K435" s="16" t="n"/>
      <c r="L435" s="16">
        <f>(D435*6)+(E435*4)</f>
        <v/>
      </c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>
        <f>(D436*6)+(E436*4)</f>
        <v/>
      </c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>
        <f>(D437*6)+(E437*4)</f>
        <v/>
      </c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>
        <f>(D438*6)+(E438*4)</f>
        <v/>
      </c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>
        <f>(D439*6)+(E439*4)</f>
        <v/>
      </c>
      <c r="M439" s="16" t="n"/>
      <c r="N439" s="16" t="n"/>
      <c r="O439" s="16" t="n"/>
      <c r="P439" s="16" t="n"/>
      <c r="Q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0 DEF as attack target. Once: if defended, drain 35 ATK and DEF</t>
        </is>
      </c>
      <c r="I440" t="inlineStr">
        <is>
          <t>ATK&amp;DEF→ATK and DEF</t>
        </is>
      </c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Comment</t>
        </is>
      </c>
      <c r="K2" s="3" t="inlineStr">
        <is>
          <t>Partial Formula</t>
        </is>
      </c>
      <c r="L2" s="3" t="inlineStr">
        <is>
          <t>Full Formula</t>
        </is>
      </c>
      <c r="M2" s="3" t="inlineStr">
        <is>
          <t>Union Zone</t>
        </is>
      </c>
      <c r="N2" s="3" t="inlineStr">
        <is>
          <t>Have illustration</t>
        </is>
      </c>
      <c r="O2" s="3" t="inlineStr">
        <is>
          <t>Demo</t>
        </is>
      </c>
      <c r="P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K3" s="15" t="inlineStr">
        <is>
          <t>1 ??? + 1 ??? + 1000 cost</t>
        </is>
      </c>
      <c r="L3" s="15" t="inlineStr">
        <is>
          <t>Gryphon + 1 Divine + 1000 cost</t>
        </is>
      </c>
      <c r="M3" s="15" t="inlineStr">
        <is>
          <t>10000
01000
00100
00010
00001</t>
        </is>
      </c>
      <c r="N3" s="15" t="inlineStr">
        <is>
          <t>Yes</t>
        </is>
      </c>
      <c r="O3" s="15" t="inlineStr">
        <is>
          <t>Yes</t>
        </is>
      </c>
      <c r="P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 and DEF against ??? Affinity</t>
        </is>
      </c>
      <c r="I4" s="17" t="inlineStr">
        <is>
          <t>Double ATK and DEF against Chaos</t>
        </is>
      </c>
      <c r="J4" t="inlineStr">
        <is>
          <t>Partial: ATK&amp;DEF→ATK and DEF; dropped redundant Affinity | Full: ATK&amp;DEF→ATK and DEF</t>
        </is>
      </c>
      <c r="K4" s="17" t="inlineStr">
        <is>
          <t>1 ??? + 1 ??? + 1500 cost</t>
        </is>
      </c>
      <c r="L4" s="17" t="inlineStr">
        <is>
          <t>1 ‘Seraph’ unit + 1 Divine (≥ 800 cost) + 1500 cost</t>
        </is>
      </c>
      <c r="M4" s="17" t="inlineStr">
        <is>
          <t>11011
10001
00000
10001
11011</t>
        </is>
      </c>
      <c r="N4" s="17" t="inlineStr">
        <is>
          <t>Yes</t>
        </is>
      </c>
      <c r="O4" s="17" t="inlineStr">
        <is>
          <t>Yes</t>
        </is>
      </c>
      <c r="P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K5" s="17" t="inlineStr">
        <is>
          <t>2 ??? + 2000 cost</t>
        </is>
      </c>
      <c r="L5" s="17" t="inlineStr">
        <is>
          <t>2 any units (≥90 DEF) + 2000 cost</t>
        </is>
      </c>
      <c r="M5" s="17" t="inlineStr">
        <is>
          <t>00000
00000
01110
01110
00000</t>
        </is>
      </c>
      <c r="N5" s="17" t="inlineStr">
        <is>
          <t>Yes</t>
        </is>
      </c>
      <c r="O5" s="17" t="inlineStr">
        <is>
          <t>Yes</t>
        </is>
      </c>
      <c r="P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K6" s="17" t="inlineStr">
        <is>
          <t>2 ???+ 1500 cost</t>
        </is>
      </c>
      <c r="L6" s="17" t="inlineStr">
        <is>
          <t>2 Nature (≥ 800 cost) + 1500 cost</t>
        </is>
      </c>
      <c r="M6" s="17" t="inlineStr">
        <is>
          <t>00000
01010
00100
01010
00000</t>
        </is>
      </c>
      <c r="N6" s="17" t="inlineStr">
        <is>
          <t>Yes</t>
        </is>
      </c>
      <c r="O6" s="17" t="inlineStr">
        <is>
          <t>Yes</t>
        </is>
      </c>
      <c r="P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Full: wording polish</t>
        </is>
      </c>
      <c r="K7" s="17" t="inlineStr">
        <is>
          <t>1 ??? + 2 ??? + 800 cost</t>
        </is>
      </c>
      <c r="L7" s="17" t="inlineStr">
        <is>
          <t>1 Anima (≥ 800 cost) + 2 Anima + 800 cost</t>
        </is>
      </c>
      <c r="M7" s="17" t="inlineStr">
        <is>
          <t>10101
00000
10101
00000
10101</t>
        </is>
      </c>
      <c r="N7" s="17" t="inlineStr">
        <is>
          <t>Yes</t>
        </is>
      </c>
      <c r="O7" s="17" t="inlineStr">
        <is>
          <t>Yes</t>
        </is>
      </c>
      <c r="P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K8" s="17" t="inlineStr">
        <is>
          <t>1 ??? + 1 ??? + 1000 cost</t>
        </is>
      </c>
      <c r="L8" s="17" t="inlineStr">
        <is>
          <t>1 Bio (≥ 800 cost) + 1 Anima (≥ 800 cost) + 1000 cost</t>
        </is>
      </c>
      <c r="M8" s="17" t="inlineStr">
        <is>
          <t>00000
00000
00000
01010
10101</t>
        </is>
      </c>
      <c r="N8" s="17" t="inlineStr">
        <is>
          <t>Yes</t>
        </is>
      </c>
      <c r="O8" s="17" t="inlineStr">
        <is>
          <t>Yes</t>
        </is>
      </c>
      <c r="P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K9" s="17" t="inlineStr">
        <is>
          <t>2 ??? + 1500 cost</t>
        </is>
      </c>
      <c r="L9" s="17" t="inlineStr">
        <is>
          <t>2 Chaos (≥ 800 cost) + 1500 cost</t>
        </is>
      </c>
      <c r="M9" s="17" t="inlineStr">
        <is>
          <t>00000
00100
00100
01110
00100</t>
        </is>
      </c>
      <c r="N9" s="17" t="inlineStr">
        <is>
          <t>Yes</t>
        </is>
      </c>
      <c r="O9" s="17" t="inlineStr">
        <is>
          <t>Yes</t>
        </is>
      </c>
      <c r="P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Full: wording polish</t>
        </is>
      </c>
      <c r="K10" s="17" t="inlineStr">
        <is>
          <t>1 ??? + 1 ??? + 700 cost</t>
        </is>
      </c>
      <c r="L10" s="17" t="inlineStr">
        <is>
          <t>1 Armored Nature card + 1 Nature (≥ 700 cost) + 800 cost</t>
        </is>
      </c>
      <c r="M10" s="17" t="inlineStr">
        <is>
          <t>00000
01110
11111
00000
00000</t>
        </is>
      </c>
      <c r="N10" s="17" t="inlineStr">
        <is>
          <t>Yes</t>
        </is>
      </c>
      <c r="O10" s="17" t="inlineStr">
        <is>
          <t>Yes</t>
        </is>
      </c>
      <c r="P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 and DEF equal to ???</t>
        </is>
      </c>
      <c r="I11" s="17" t="inlineStr">
        <is>
          <t>Once: after Reckoning: +ATK and DEF equal to half of that foe’s card</t>
        </is>
      </c>
      <c r="J11" t="inlineStr">
        <is>
          <t>Partial: ATK&amp;DEF→ATK and DEF | Full: ATK&amp;DEF→ATK and DEF</t>
        </is>
      </c>
      <c r="K11" s="17" t="inlineStr">
        <is>
          <t>1 ??? + 1 ??? + 800 cost</t>
        </is>
      </c>
      <c r="L11" s="17" t="inlineStr">
        <is>
          <t>1 Succubus + 1 Chaos + 800 cost</t>
        </is>
      </c>
      <c r="M11" s="17" t="inlineStr">
        <is>
          <t>00100
11111
10001
00000
00000</t>
        </is>
      </c>
      <c r="N11" s="17" t="inlineStr">
        <is>
          <t>Yes</t>
        </is>
      </c>
      <c r="O11" s="17" t="inlineStr">
        <is>
          <t>Yes</t>
        </is>
      </c>
      <c r="P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K12" s="17" t="inlineStr">
        <is>
          <t>1 ??? + 1 ??? + 300 cost</t>
        </is>
      </c>
      <c r="L12" s="17" t="inlineStr">
        <is>
          <t>1 Tiny Pixie + 1 Divine+ 300 cost</t>
        </is>
      </c>
      <c r="M12" s="17" t="inlineStr">
        <is>
          <t>00100
00100
10001
10101
01010</t>
        </is>
      </c>
      <c r="N12" s="17" t="inlineStr">
        <is>
          <t>Yes</t>
        </is>
      </c>
      <c r="O12" s="17" t="inlineStr">
        <is>
          <t>Yes</t>
        </is>
      </c>
      <c r="P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Once Union, ??? until this turn’s end</t>
        </is>
      </c>
      <c r="I13" s="17" t="inlineStr">
        <is>
          <t>Once Union, +15 ATK until this turn’s end</t>
        </is>
      </c>
      <c r="K13" s="17" t="inlineStr">
        <is>
          <t>1 ??? + 1 ??? + 500 cost</t>
        </is>
      </c>
      <c r="L13" s="17" t="inlineStr">
        <is>
          <t>1 Ponycorn + 1 Divine card + 500 cost</t>
        </is>
      </c>
      <c r="M13" s="17" t="inlineStr">
        <is>
          <t>00100
01010
10001
01010
00100</t>
        </is>
      </c>
      <c r="N13" s="17" t="inlineStr">
        <is>
          <t>Yes</t>
        </is>
      </c>
      <c r="O13" s="17" t="inlineStr">
        <is>
          <t>Yes</t>
        </is>
      </c>
      <c r="P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K14" s="17" t="inlineStr">
        <is>
          <t>3 ??? + 500 cost</t>
        </is>
      </c>
      <c r="L14" s="17" t="inlineStr">
        <is>
          <t>3 Choir Lady cards + 500 cost</t>
        </is>
      </c>
      <c r="M14" s="17" t="inlineStr">
        <is>
          <t>01100
01011
01001
11000
11000</t>
        </is>
      </c>
      <c r="N14" s="17" t="inlineStr">
        <is>
          <t>Yes</t>
        </is>
      </c>
      <c r="O14" s="17" t="inlineStr">
        <is>
          <t>Yes</t>
        </is>
      </c>
      <c r="P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K15" s="17" t="inlineStr">
        <is>
          <t>1 ??? + 1 ??? + 800 cost</t>
        </is>
      </c>
      <c r="L15" s="17" t="inlineStr">
        <is>
          <t>Raijin + Fujin + 800 cost</t>
        </is>
      </c>
      <c r="M15" s="17" t="inlineStr">
        <is>
          <t>10001
10001
10001
10001
10001</t>
        </is>
      </c>
      <c r="N15" s="17" t="inlineStr">
        <is>
          <t>Yes</t>
        </is>
      </c>
      <c r="O15" s="17" t="inlineStr">
        <is>
          <t>Yes</t>
        </is>
      </c>
      <c r="P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 becomes 0. If this card performs attack, ATK becomes 60, DEF becomes 0.</t>
        </is>
      </c>
      <c r="K16" s="17" t="inlineStr">
        <is>
          <t>1 ??? + 1 ??? + 400 cost</t>
        </is>
      </c>
      <c r="L16" s="17" t="inlineStr">
        <is>
          <t>Sunrise Lady + Moonrise Gentleman + 400 cost</t>
        </is>
      </c>
      <c r="M16" s="17" t="inlineStr">
        <is>
          <t>11111
00000
00000
00000
00000</t>
        </is>
      </c>
      <c r="N16" s="17" t="inlineStr">
        <is>
          <t>Yes</t>
        </is>
      </c>
      <c r="O16" s="17" t="inlineStr">
        <is>
          <t>Yes</t>
        </is>
      </c>
      <c r="P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K17" s="17" t="inlineStr">
        <is>
          <t>1 ??? + 1 ??? + 500 cost</t>
        </is>
      </c>
      <c r="L17" s="17" t="inlineStr">
        <is>
          <t>1 Miner probe + 1 Cosmic + 500 cost</t>
        </is>
      </c>
      <c r="M17" s="17" t="inlineStr">
        <is>
          <t>11111
01110
01110
00100
00000</t>
        </is>
      </c>
      <c r="N17" s="17" t="inlineStr">
        <is>
          <t>Yes</t>
        </is>
      </c>
      <c r="O17" s="17" t="inlineStr">
        <is>
          <t>Yes</t>
        </is>
      </c>
      <c r="P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K18" s="17" t="inlineStr">
        <is>
          <t>1 ??? + 1 ??? + 300 cost</t>
        </is>
      </c>
      <c r="L18" s="17" t="inlineStr">
        <is>
          <t>Dark Monk + 1 Chaos + 300 cost</t>
        </is>
      </c>
      <c r="M18" s="17" t="inlineStr">
        <is>
          <t>01100
00110
01100
00110
01100</t>
        </is>
      </c>
      <c r="N18" s="17" t="inlineStr">
        <is>
          <t>Yes</t>
        </is>
      </c>
      <c r="O18" s="17" t="inlineStr">
        <is>
          <t>Yes</t>
        </is>
      </c>
      <c r="P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K19" s="17" t="inlineStr">
        <is>
          <t>1 ??? + 1 ??? + 600 cost</t>
        </is>
      </c>
      <c r="L19" s="17" t="inlineStr">
        <is>
          <t>Yaksa + 1 Chaos + 600 cost</t>
        </is>
      </c>
      <c r="M19" s="17" t="inlineStr">
        <is>
          <t>11011
00100
00100
01110
01010</t>
        </is>
      </c>
      <c r="N19" s="17" t="inlineStr">
        <is>
          <t>Yes</t>
        </is>
      </c>
      <c r="O19" s="17" t="inlineStr">
        <is>
          <t>Yes</t>
        </is>
      </c>
      <c r="P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K20" s="17" t="inlineStr">
        <is>
          <t>3 ??? + 400 cost</t>
        </is>
      </c>
      <c r="L20" s="17" t="inlineStr">
        <is>
          <t>3 Skeleton cards + 400 cost</t>
        </is>
      </c>
      <c r="M20" s="17" t="inlineStr">
        <is>
          <t>01110
00000
11111
00000
01110</t>
        </is>
      </c>
      <c r="N20" s="17" t="inlineStr">
        <is>
          <t>Yes</t>
        </is>
      </c>
      <c r="O20" s="17" t="inlineStr">
        <is>
          <t>Yes</t>
        </is>
      </c>
      <c r="P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K21" s="17" t="inlineStr">
        <is>
          <t>3 ??? + 800 cost</t>
        </is>
      </c>
      <c r="L21" s="17" t="inlineStr">
        <is>
          <t>3 ‘Sharks’ name + 800 cost</t>
        </is>
      </c>
      <c r="M21" s="17" t="inlineStr">
        <is>
          <t>11000
00100
00010
00010
00001</t>
        </is>
      </c>
      <c r="N21" s="17" t="inlineStr">
        <is>
          <t>Yes</t>
        </is>
      </c>
      <c r="O21" s="17" t="inlineStr">
        <is>
          <t>Yes</t>
        </is>
      </c>
      <c r="P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Full: Head→Heads</t>
        </is>
      </c>
      <c r="K22" s="17" t="inlineStr">
        <is>
          <t>1 ??? + 1 ??? + 1500 cost</t>
        </is>
      </c>
      <c r="L22" s="17" t="inlineStr">
        <is>
          <t>Ostrich Cannon + 1 Nature + 1500 cost</t>
        </is>
      </c>
      <c r="M22" s="17" t="inlineStr">
        <is>
          <t>10001
10001
10001
00000
00100</t>
        </is>
      </c>
      <c r="N22" s="17" t="inlineStr">
        <is>
          <t>Yes</t>
        </is>
      </c>
      <c r="O22" s="17" t="inlineStr">
        <is>
          <t>Yes</t>
        </is>
      </c>
      <c r="P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Once Union, put venom flag on all foe’s Exposed unit</t>
        </is>
      </c>
      <c r="J23" t="inlineStr">
        <is>
          <t>Full: wording polish</t>
        </is>
      </c>
      <c r="K23" s="17" t="inlineStr">
        <is>
          <t>2 ??? + 500 cost</t>
        </is>
      </c>
      <c r="L23" s="17" t="inlineStr">
        <is>
          <t>2 Nature cards + 500 cost</t>
        </is>
      </c>
      <c r="M23" s="17" t="inlineStr">
        <is>
          <t>11111
00100
00100
00100
00000</t>
        </is>
      </c>
      <c r="N23" s="17" t="inlineStr">
        <is>
          <t>Yes</t>
        </is>
      </c>
      <c r="O23" s="17" t="inlineStr">
        <is>
          <t>Yes</t>
        </is>
      </c>
      <c r="P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K24" s="17" t="inlineStr">
        <is>
          <t>1 ??? + 1 ???+ 800 cost</t>
        </is>
      </c>
      <c r="L24" s="17" t="inlineStr">
        <is>
          <t>1 Flame Lizard + 1 Nature + 800 cost</t>
        </is>
      </c>
      <c r="M24" s="17" t="inlineStr">
        <is>
          <t>00000
00100
01110
00100
00000</t>
        </is>
      </c>
      <c r="N24" s="17" t="inlineStr">
        <is>
          <t>Yes</t>
        </is>
      </c>
      <c r="O24" s="17" t="inlineStr">
        <is>
          <t>Yes</t>
        </is>
      </c>
      <c r="P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Full: wording polish</t>
        </is>
      </c>
      <c r="K25" s="17" t="inlineStr">
        <is>
          <t>1 ??? + 1 ??? + 1 ??? + 800 cost</t>
        </is>
      </c>
      <c r="L25" s="17" t="inlineStr">
        <is>
          <t>1 Arcane (≥ 500 cost) + 1 Nature (≥ 500 cost) + 1 Divine (≥ 500 cost) + 800 cost</t>
        </is>
      </c>
      <c r="M25" s="17" t="inlineStr">
        <is>
          <t>00100
01110
10101
00000
00000</t>
        </is>
      </c>
      <c r="N25" s="17" t="inlineStr">
        <is>
          <t>Yes</t>
        </is>
      </c>
      <c r="O25" s="17" t="inlineStr">
        <is>
          <t>Yes</t>
        </is>
      </c>
      <c r="P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K26" s="17" t="inlineStr">
        <is>
          <t>2 ???+ 500 cost</t>
        </is>
      </c>
      <c r="L26" s="17" t="inlineStr">
        <is>
          <t>2 Nature + 500 cost</t>
        </is>
      </c>
      <c r="M26" s="17" t="inlineStr">
        <is>
          <t>00000
11111
10101
10101
00000</t>
        </is>
      </c>
      <c r="N26" s="17" t="inlineStr">
        <is>
          <t>Yes</t>
        </is>
      </c>
      <c r="O26" s="17" t="inlineStr">
        <is>
          <t>Yes</t>
        </is>
      </c>
      <c r="P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Full: wording polish</t>
        </is>
      </c>
      <c r="K27" s="17" t="inlineStr">
        <is>
          <t>2 ??? + 300 cost</t>
        </is>
      </c>
      <c r="L27" s="17" t="inlineStr">
        <is>
          <t>2 Divine cards + 300 cost</t>
        </is>
      </c>
      <c r="M27" s="17" t="inlineStr">
        <is>
          <t>00100
01010
00100
00000
00000</t>
        </is>
      </c>
      <c r="N27" s="17" t="inlineStr">
        <is>
          <t>Yes</t>
        </is>
      </c>
      <c r="O27" s="17" t="inlineStr">
        <is>
          <t>Yes</t>
        </is>
      </c>
      <c r="P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 and DEF permanently in Reckoning with this card</t>
        </is>
      </c>
      <c r="J28" t="inlineStr">
        <is>
          <t>Full: ATK&amp;DEF→ATK and DEF</t>
        </is>
      </c>
      <c r="K28" s="17" t="inlineStr">
        <is>
          <t>??? + ???+ ??? + 500 cost</t>
        </is>
      </c>
      <c r="L28" s="17" t="inlineStr">
        <is>
          <t>Red Mage + Green Mage + Blue Mage + 500 cost</t>
        </is>
      </c>
      <c r="M28" s="17" t="inlineStr">
        <is>
          <t>00001
00010
01100
01100
10000</t>
        </is>
      </c>
      <c r="N28" s="17" t="inlineStr">
        <is>
          <t>Yes</t>
        </is>
      </c>
      <c r="O28" s="17" t="inlineStr">
        <is>
          <t>Yes</t>
        </is>
      </c>
      <c r="P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K29" s="17" t="inlineStr">
        <is>
          <t>2 ??? + 500 cost</t>
        </is>
      </c>
      <c r="L29" s="17" t="inlineStr">
        <is>
          <t>2 Grand Fort card + 500 cost</t>
        </is>
      </c>
      <c r="M29" s="17" t="inlineStr">
        <is>
          <t xml:space="preserve">00000
00100 
01110
00100
00000
</t>
        </is>
      </c>
      <c r="N29" s="17" t="inlineStr">
        <is>
          <t>Yes</t>
        </is>
      </c>
      <c r="O29" s="17" t="inlineStr">
        <is>
          <t>Yes</t>
        </is>
      </c>
      <c r="P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Full: wording polish</t>
        </is>
      </c>
      <c r="K30" s="17" t="inlineStr">
        <is>
          <t>1 ??? + 1 ??? + 1000 cost</t>
        </is>
      </c>
      <c r="L30" s="17" t="inlineStr">
        <is>
          <t>1 Bladeshifter + 1 Bio card + 1000 cost</t>
        </is>
      </c>
      <c r="M30" s="17" t="inlineStr">
        <is>
          <t xml:space="preserve">10000
01100 
01100
01100
10000
</t>
        </is>
      </c>
      <c r="N30" s="17" t="inlineStr">
        <is>
          <t>Yes</t>
        </is>
      </c>
      <c r="O30" s="17" t="inlineStr">
        <is>
          <t>Yes</t>
        </is>
      </c>
      <c r="P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Upon union, revive 1 ???. Double its cost.</t>
        </is>
      </c>
      <c r="I31" s="17" t="inlineStr">
        <is>
          <t>Upon union, revive 1 Moon non-Union card. Double its cost.</t>
        </is>
      </c>
      <c r="K31" s="17" t="inlineStr">
        <is>
          <t>1 ??? + 1 ??? + 500 cost</t>
        </is>
      </c>
      <c r="L31" s="17" t="inlineStr">
        <is>
          <t>1 Moon card+ 1 Cosmic card + 500 cost</t>
        </is>
      </c>
      <c r="M31" s="17" t="inlineStr">
        <is>
          <t xml:space="preserve">10001
01010 
00100
00100
00100
</t>
        </is>
      </c>
      <c r="N31" s="17" t="inlineStr">
        <is>
          <t>Yes</t>
        </is>
      </c>
      <c r="O31" s="17" t="inlineStr">
        <is>
          <t>Yes</t>
        </is>
      </c>
      <c r="P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 and DEF</t>
        </is>
      </c>
      <c r="I32" s="17" t="inlineStr">
        <is>
          <t>At the end of foe’s turn: the owner of this card select 1 Exposed foe’s unit and swap its ATK and DEF</t>
        </is>
      </c>
      <c r="J32" t="inlineStr">
        <is>
          <t>Partial: ATK&amp;DEF→ATK and DEF | Full: ATK&amp;DEF→ATK and DEF</t>
        </is>
      </c>
      <c r="K32" s="17" t="inlineStr">
        <is>
          <t>??? + ??? + 800 cost</t>
        </is>
      </c>
      <c r="L32" s="17" t="inlineStr">
        <is>
          <t>Jirayu the Rebellious Prince + 1 Anima card (≥ 500 cost) + 800 cost</t>
        </is>
      </c>
      <c r="M32" s="17" t="inlineStr">
        <is>
          <t xml:space="preserve">00100
00000 
10101
00100
00100
</t>
        </is>
      </c>
      <c r="N32" s="17" t="inlineStr">
        <is>
          <t>Yes</t>
        </is>
      </c>
      <c r="O32" s="17" t="inlineStr">
        <is>
          <t>Yes</t>
        </is>
      </c>
      <c r="P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K33" s="17" t="inlineStr">
        <is>
          <t>??? + ??? + 1000 cost</t>
        </is>
      </c>
      <c r="L33" s="17" t="inlineStr">
        <is>
          <t>Kiyoko the Death Whisper + Silver Spearman + 1000 cost</t>
        </is>
      </c>
      <c r="M33" s="17" t="inlineStr">
        <is>
          <t xml:space="preserve">01010
01010 
01010
01010
01010
</t>
        </is>
      </c>
      <c r="N33" s="17" t="inlineStr">
        <is>
          <t>Yes</t>
        </is>
      </c>
      <c r="O33" s="17" t="inlineStr">
        <is>
          <t>Yes</t>
        </is>
      </c>
      <c r="P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Full: wording polish</t>
        </is>
      </c>
      <c r="K34" s="17" t="inlineStr">
        <is>
          <t>??? + ??? + 800 cost</t>
        </is>
      </c>
      <c r="L34" s="17" t="inlineStr">
        <is>
          <t>Kiyoko the Death Whisper + 1 Anima card + 800 cost</t>
        </is>
      </c>
      <c r="M34" s="17" t="inlineStr">
        <is>
          <t xml:space="preserve">00100
00100 
01110
00100
00100
</t>
        </is>
      </c>
      <c r="N34" s="17" t="inlineStr">
        <is>
          <t>Yes</t>
        </is>
      </c>
      <c r="O34" s="17" t="inlineStr">
        <is>
          <t>Yes</t>
        </is>
      </c>
      <c r="P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K35" s="17" t="inlineStr">
        <is>
          <t>??? + ??? + 500 cost</t>
        </is>
      </c>
      <c r="L35" s="17" t="inlineStr">
        <is>
          <t>Laser Walker + 1 Cosmic card + 500 cost</t>
        </is>
      </c>
      <c r="M35" s="17" t="inlineStr">
        <is>
          <t xml:space="preserve">00111
00001
10001
10000
11100
</t>
        </is>
      </c>
      <c r="N35" s="17" t="inlineStr">
        <is>
          <t>Yes</t>
        </is>
      </c>
      <c r="O35" s="17" t="inlineStr">
        <is>
          <t>Yes</t>
        </is>
      </c>
      <c r="P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Full: wording polish</t>
        </is>
      </c>
      <c r="K36" s="17" t="inlineStr">
        <is>
          <t>??? + ??? + 1000 cost</t>
        </is>
      </c>
      <c r="L36" s="17" t="inlineStr">
        <is>
          <t>Striker Comet + 2 Cosmic card + 1000 cost</t>
        </is>
      </c>
      <c r="M36" s="17" t="inlineStr">
        <is>
          <t xml:space="preserve">10000
01000 
00000
00111
00111
</t>
        </is>
      </c>
      <c r="N36" s="17" t="inlineStr">
        <is>
          <t>Yes</t>
        </is>
      </c>
      <c r="O36" s="17" t="inlineStr">
        <is>
          <t>Yes</t>
        </is>
      </c>
      <c r="P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K37" s="17" t="inlineStr">
        <is>
          <t>2 ??? + 600 cost</t>
        </is>
      </c>
      <c r="L37" s="17" t="inlineStr">
        <is>
          <t>2 Mutant cards + 600 cost</t>
        </is>
      </c>
      <c r="M37" s="17" t="inlineStr">
        <is>
          <t>00000
01010
10101
01010
00000</t>
        </is>
      </c>
      <c r="N37" s="17" t="inlineStr">
        <is>
          <t>Yes</t>
        </is>
      </c>
      <c r="O37" s="17" t="inlineStr">
        <is>
          <t>Yes</t>
        </is>
      </c>
      <c r="P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 and DEF to all ally Bio units</t>
        </is>
      </c>
      <c r="J38" t="inlineStr">
        <is>
          <t>Full: ATK&amp;DEF→ATK and DEF</t>
        </is>
      </c>
      <c r="K38" s="17" t="inlineStr">
        <is>
          <t>??? + ??? + 1000 cost</t>
        </is>
      </c>
      <c r="L38" s="17" t="inlineStr">
        <is>
          <t>1 Gamma cards + 1 Bio card + 500 cost</t>
        </is>
      </c>
      <c r="M38" s="17" t="inlineStr">
        <is>
          <t xml:space="preserve">00000
01110 
01010
01110
00000
</t>
        </is>
      </c>
      <c r="N38" s="17" t="inlineStr">
        <is>
          <t>Yes</t>
        </is>
      </c>
      <c r="O38" s="17" t="inlineStr">
        <is>
          <t>Yes</t>
        </is>
      </c>
      <c r="P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K39" s="17" t="inlineStr">
        <is>
          <t>1 ??? + 2 ??? + 1500 cost</t>
        </is>
      </c>
      <c r="L39" s="17" t="inlineStr">
        <is>
          <t>1 Bio with mutagen flag + 2 Bio (≥ 800 cost) + 1500 cost</t>
        </is>
      </c>
      <c r="M39" s="17" t="inlineStr">
        <is>
          <t>00100
00100
11111
00100
00100</t>
        </is>
      </c>
      <c r="N39" s="16" t="n"/>
      <c r="O39" s="16" t="n"/>
      <c r="P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K40" s="17" t="inlineStr">
        <is>
          <t>2 ??? + 1500 cost</t>
        </is>
      </c>
      <c r="L40" s="17" t="inlineStr">
        <is>
          <t>2 Cosmic (≥ 800 cost) + 1500 cost</t>
        </is>
      </c>
      <c r="M40" s="17" t="inlineStr">
        <is>
          <t>00100
01010
10001
01010
00100</t>
        </is>
      </c>
      <c r="N40" s="16" t="n"/>
      <c r="O40" s="16" t="n"/>
      <c r="P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 and DEF if ?? or more of cells on its side is revealed</t>
        </is>
      </c>
      <c r="I41" s="17" t="inlineStr">
        <is>
          <t>+100 ATK and DEF if 15 or more cells on its side is revealed</t>
        </is>
      </c>
      <c r="J41" t="inlineStr">
        <is>
          <t>Partial: ATK&amp;DEF→ATK and DEF | Full: ATK&amp;DEF→ATK and DEF</t>
        </is>
      </c>
      <c r="K41" s="17" t="inlineStr">
        <is>
          <t>1 ??? + 1 ??? + 1000 cost</t>
        </is>
      </c>
      <c r="L41" s="17" t="inlineStr">
        <is>
          <t>1 Slim Gray + 1 Cosmic (≥ 800 cost) + 1000 cost</t>
        </is>
      </c>
      <c r="M41" s="17" t="inlineStr">
        <is>
          <t>00100
01110
01010
01110
00000</t>
        </is>
      </c>
      <c r="N41" s="16" t="n"/>
      <c r="O41" s="16" t="n"/>
      <c r="P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K42" s="17" t="inlineStr">
        <is>
          <t>1 ??? + 1 ??? + 1500 cost</t>
        </is>
      </c>
      <c r="L42" s="17" t="inlineStr">
        <is>
          <t>1 Cosmic (≥ 500 cost) + 1 Cosmic + 1500 cost</t>
        </is>
      </c>
      <c r="M42" s="17" t="inlineStr">
        <is>
          <t>00100
11111
00000
11111
00100</t>
        </is>
      </c>
      <c r="N42" s="16" t="n"/>
      <c r="O42" s="16" t="n"/>
      <c r="P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K43" s="17" t="inlineStr">
        <is>
          <t>2 ??? + 1000 cost</t>
        </is>
      </c>
      <c r="L43" s="17" t="inlineStr">
        <is>
          <t>2 Bio cards (≥ 800 cost) + 1000 cost</t>
        </is>
      </c>
      <c r="M43" s="17" t="inlineStr">
        <is>
          <t>10001
01010
00000
01010
10001</t>
        </is>
      </c>
      <c r="N43" s="16" t="n"/>
      <c r="O43" s="16" t="n"/>
      <c r="P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Full: wording polish</t>
        </is>
      </c>
      <c r="K44" s="17" t="inlineStr">
        <is>
          <t>1 ??? + 1 ??? + 1500 cost</t>
        </is>
      </c>
      <c r="L44" s="17" t="inlineStr">
        <is>
          <t>1 Cleaver Saint + 1 Divine card + 1500 cost</t>
        </is>
      </c>
      <c r="M44" s="17" t="inlineStr">
        <is>
          <t>00011
00011
00011
00011
00011</t>
        </is>
      </c>
      <c r="N44" s="16" t="n"/>
      <c r="O44" s="16" t="n"/>
      <c r="P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Full: wording polish</t>
        </is>
      </c>
      <c r="K45" s="17" t="inlineStr">
        <is>
          <t>1 ??? + 1 ??? + 1000 cost</t>
        </is>
      </c>
      <c r="L45" s="17" t="inlineStr">
        <is>
          <t>1 Cruel Angel + 1 Anima Card + 1000 cost</t>
        </is>
      </c>
      <c r="M45" s="17" t="inlineStr">
        <is>
          <t>11111
11111
00000
00000
00000</t>
        </is>
      </c>
      <c r="N45" s="16" t="n"/>
      <c r="O45" s="16" t="n"/>
      <c r="P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Heads:, the attack does nothing</t>
        </is>
      </c>
      <c r="J46" t="inlineStr">
        <is>
          <t>Full: Head→Heads</t>
        </is>
      </c>
      <c r="K46" s="17" t="inlineStr">
        <is>
          <t>1 ??? + 1 ???+ 1000 cost</t>
        </is>
      </c>
      <c r="L46" s="17" t="inlineStr">
        <is>
          <t>1 Sphinx unit + 1 Divine card + 1000 cost</t>
        </is>
      </c>
      <c r="M46" s="17" t="inlineStr">
        <is>
          <t>00000
00000
00100
01110
11111</t>
        </is>
      </c>
      <c r="N46" s="16" t="n"/>
      <c r="O46" s="16" t="n"/>
      <c r="P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K47" s="17" t="inlineStr">
        <is>
          <t>1 ???+ ??? + 1000 cost</t>
        </is>
      </c>
      <c r="L47" s="17" t="inlineStr">
        <is>
          <t>1 Sphinx unit + 1 Anima + 1000 cost</t>
        </is>
      </c>
      <c r="M47" s="17" t="inlineStr">
        <is>
          <t>11111
01110
00100
00000
00000</t>
        </is>
      </c>
      <c r="N47" s="16" t="n"/>
      <c r="O47" s="16" t="n"/>
      <c r="P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K48" s="17" t="inlineStr">
        <is>
          <t>2 ???+ 1000 cost</t>
        </is>
      </c>
      <c r="L48" s="17" t="inlineStr">
        <is>
          <t>2 Sphinx units + 1000 cost</t>
        </is>
      </c>
      <c r="M48" s="17" t="inlineStr">
        <is>
          <t>10001
01010
00100
01010
10001</t>
        </is>
      </c>
      <c r="N48" s="16" t="n"/>
      <c r="O48" s="16" t="n"/>
      <c r="P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Heads:, +10 ATK. Tails:, +10 DEF</t>
        </is>
      </c>
      <c r="J49" t="inlineStr">
        <is>
          <t>Full: Head→Heads; Tail→Tails</t>
        </is>
      </c>
      <c r="K49" s="17" t="inlineStr">
        <is>
          <t>1 ??? + 1 ??? + 1000 cost</t>
        </is>
      </c>
      <c r="L49" s="17" t="inlineStr">
        <is>
          <t>1 Lucky Statue + 1 Divine card + 1000 cost</t>
        </is>
      </c>
      <c r="M49" s="17" t="inlineStr">
        <is>
          <t>00100
00100
00100
00100
00100</t>
        </is>
      </c>
      <c r="N49" s="16" t="n"/>
      <c r="O49" s="16" t="n"/>
      <c r="P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 and DEF ????</t>
        </is>
      </c>
      <c r="I50" s="17" t="inlineStr">
        <is>
          <t>At the end of this turn, +5 ATK and DEF permanently.</t>
        </is>
      </c>
      <c r="J50" t="inlineStr">
        <is>
          <t>Partial: ATK&amp;DEF→ATK and DEF | Full: ATK&amp;DEF→ATK and DEF</t>
        </is>
      </c>
      <c r="K50" s="17" t="inlineStr">
        <is>
          <t>1 ??? + 1 ??? + 1000 cost</t>
        </is>
      </c>
      <c r="L50" s="17" t="inlineStr">
        <is>
          <t>Bloom Fairy + 1 Nature card + 1000 cost</t>
        </is>
      </c>
      <c r="M50" s="17" t="inlineStr">
        <is>
          <t>11111
11011
00100
00100
00100</t>
        </is>
      </c>
      <c r="N50" s="16" t="n"/>
      <c r="O50" s="16" t="n"/>
      <c r="P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K51" s="17" t="inlineStr">
        <is>
          <t>1??? + 1 ??? + 1000 cost</t>
        </is>
      </c>
      <c r="L51" s="17" t="inlineStr">
        <is>
          <t>Lady of the Sacred Pond + 1 Anima + 600 cost</t>
        </is>
      </c>
      <c r="M51" s="17" t="inlineStr">
        <is>
          <t>11011
01010
01010
01010
00000</t>
        </is>
      </c>
      <c r="N51" s="16" t="n"/>
      <c r="O51" s="16" t="n"/>
      <c r="P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K52" s="17" t="inlineStr">
        <is>
          <t>1 ??? + 1 ??? + 1000 cost</t>
        </is>
      </c>
      <c r="L52" s="17" t="inlineStr">
        <is>
          <t>Gerald of the Heavenly Light + 1 Divine + 1000 cost</t>
        </is>
      </c>
      <c r="M52" s="17" t="inlineStr">
        <is>
          <t>11111
00100
11111
00100
00000</t>
        </is>
      </c>
      <c r="N52" s="16" t="n"/>
      <c r="O52" s="16" t="n"/>
      <c r="P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 and DEF for each ???cards on the field. This bonus does not exceed maximum of 1???</t>
        </is>
      </c>
      <c r="I53" s="17" t="inlineStr">
        <is>
          <t>+50 ATK and DEF for each Divine cards on the field. This bonus does not exceed maximum of 100</t>
        </is>
      </c>
      <c r="J53" t="inlineStr">
        <is>
          <t>Partial: ATK&amp;DEF→ATK and DEF | Full: ATK&amp;DEF→ATK and DEF</t>
        </is>
      </c>
      <c r="K53" s="17" t="inlineStr">
        <is>
          <t>2 ??? + 1500 cost</t>
        </is>
      </c>
      <c r="L53" s="17" t="inlineStr">
        <is>
          <t>2 Divine (≥800 cost) + 1500 cost</t>
        </is>
      </c>
      <c r="M53" s="17" t="inlineStr">
        <is>
          <t>00100
11111
00100
00100
00100</t>
        </is>
      </c>
      <c r="N53" s="16" t="n"/>
      <c r="O53" s="16" t="n"/>
      <c r="P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Full: wording polish</t>
        </is>
      </c>
      <c r="K54" s="17" t="inlineStr">
        <is>
          <t>4 ??? + 2000 cost</t>
        </is>
      </c>
      <c r="L54" s="17" t="inlineStr">
        <is>
          <t>4 Chaos card (≥500 cost) + 2000 cost</t>
        </is>
      </c>
      <c r="M54" s="17" t="inlineStr">
        <is>
          <t>10001
00000
00000
00000
10001</t>
        </is>
      </c>
      <c r="N54" s="16" t="n"/>
      <c r="O54" s="16" t="n"/>
      <c r="P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Full: wording polish</t>
        </is>
      </c>
      <c r="K55" s="17" t="inlineStr">
        <is>
          <t>5 ??? + 3000 Crystals</t>
        </is>
      </c>
      <c r="L55" s="17" t="inlineStr">
        <is>
          <t>5 Nature cards + 3000 Crystals</t>
        </is>
      </c>
      <c r="M55" s="17" t="inlineStr">
        <is>
          <t>10001
00000
00100
00010
10001</t>
        </is>
      </c>
      <c r="N55" s="16" t="n"/>
      <c r="O55" s="16" t="n"/>
      <c r="P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K56" s="17" t="inlineStr">
        <is>
          <t>1 ??? + 1 ??? + 1000 cost</t>
        </is>
      </c>
      <c r="L56" s="17" t="inlineStr">
        <is>
          <t>1 Kulu the Alpha Leader + 1 Anima + 1000 cost</t>
        </is>
      </c>
      <c r="M56" s="17" t="inlineStr">
        <is>
          <t>10101
00000
01010
00000
10101</t>
        </is>
      </c>
      <c r="N56" s="16" t="n"/>
      <c r="O56" s="16" t="n"/>
      <c r="P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K57" s="17" t="inlineStr">
        <is>
          <t>1 ??? + 1 ??? + 1000 cost</t>
        </is>
      </c>
      <c r="L57" s="17" t="inlineStr">
        <is>
          <t>1 Dew the Frog Knight + 1 card including ‘princess’ name or card with princess flag + 1000 cost</t>
        </is>
      </c>
      <c r="M57" s="17" t="inlineStr">
        <is>
          <t>11011
00000
00100
00100
11011</t>
        </is>
      </c>
      <c r="N57" s="16" t="n"/>
      <c r="O57" s="16" t="n"/>
      <c r="P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Full: wording polish</t>
        </is>
      </c>
      <c r="K58" s="17" t="inlineStr">
        <is>
          <t>3 ??? + 1000 cost</t>
        </is>
      </c>
      <c r="L58" s="17" t="inlineStr">
        <is>
          <t>3 ‘Princess’ or card with princess flag + 1000 cost</t>
        </is>
      </c>
      <c r="M58" s="17" t="inlineStr">
        <is>
          <t>01110
10001
10001
10001
01110</t>
        </is>
      </c>
      <c r="N58" s="16" t="n"/>
      <c r="O58" s="16" t="n"/>
      <c r="P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K59" s="17" t="inlineStr">
        <is>
          <t>1 ??? + 1 ??? + 1 ??? + 1000 cost</t>
        </is>
      </c>
      <c r="L59" s="17" t="inlineStr">
        <is>
          <t>Wild Centaur + Wild Minotaur + Wild Pegasus + 1000 cost</t>
        </is>
      </c>
      <c r="M59" s="17" t="inlineStr">
        <is>
          <t>00000
01110
01010
01110
00000</t>
        </is>
      </c>
      <c r="N59" s="16" t="n"/>
      <c r="O59" s="16" t="n"/>
      <c r="P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K60" s="17" t="inlineStr">
        <is>
          <t>1 ??? + 1 ??? + 1000 cost</t>
        </is>
      </c>
      <c r="L60" s="17" t="inlineStr">
        <is>
          <t>1 Steel Eagle + 1 Nature (≥ 800 cost) + 1000 cost</t>
        </is>
      </c>
      <c r="M60" s="17" t="inlineStr">
        <is>
          <t>00000
01110
11111
00100
00100</t>
        </is>
      </c>
      <c r="N60" s="16" t="n"/>
      <c r="O60" s="16" t="n"/>
      <c r="P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 and DEF</t>
        </is>
      </c>
      <c r="I61" s="17" t="inlineStr">
        <is>
          <t>In Reckoning: the owner can choose to destroy 1 trap card on its side to +60 ATK and DEF</t>
        </is>
      </c>
      <c r="J61" t="inlineStr">
        <is>
          <t>Partial: ATK&amp;DEF→ATK and DEF | Full: ATK&amp;DEF→ATK and DEF</t>
        </is>
      </c>
      <c r="K61" s="17" t="inlineStr">
        <is>
          <t>1 ??? + 1 ??? + 1000 cost</t>
        </is>
      </c>
      <c r="L61" s="17" t="inlineStr">
        <is>
          <t>1 Space Janitor + 1 Cosmic + 1000 cost</t>
        </is>
      </c>
      <c r="M61" s="17" t="inlineStr">
        <is>
          <t>00000
00100
01110
00100
00000</t>
        </is>
      </c>
      <c r="N61" s="16" t="n"/>
      <c r="O61" s="16" t="n"/>
      <c r="P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K62" s="17" t="inlineStr">
        <is>
          <t>1 ??? + 1 ???+ 1000 cost</t>
        </is>
      </c>
      <c r="L62" s="17" t="inlineStr">
        <is>
          <t>Drill Woodpecker + 1 Nature + 1000 cost</t>
        </is>
      </c>
      <c r="M62" s="17" t="inlineStr">
        <is>
          <t>10100
01111
10100
00000
00000</t>
        </is>
      </c>
      <c r="N62" s="16" t="n"/>
      <c r="O62" s="16" t="n"/>
      <c r="P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K63" s="17" t="inlineStr">
        <is>
          <t>2 ??? + 1000 Crystal.</t>
        </is>
      </c>
      <c r="L63" s="17" t="inlineStr">
        <is>
          <t>2 Dwarven cards + 1000 Crystal.</t>
        </is>
      </c>
      <c r="M63" s="17" t="inlineStr">
        <is>
          <t>00001
01111
11100
00000
00000</t>
        </is>
      </c>
      <c r="N63" s="16" t="n"/>
      <c r="O63" s="16" t="n"/>
      <c r="P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 and DEF vs Nature</t>
        </is>
      </c>
      <c r="I64" s="17" t="inlineStr">
        <is>
          <t>+30 ATK and DEF vs Nature</t>
        </is>
      </c>
      <c r="J64" t="inlineStr">
        <is>
          <t>Partial: ATK&amp;DEF→ATK and DEF | Full: ATK&amp;DEF→ATK and DEF</t>
        </is>
      </c>
      <c r="K64" s="17" t="inlineStr">
        <is>
          <t>1 ??? + 1 ??? + 1000 cost</t>
        </is>
      </c>
      <c r="L64" s="17" t="inlineStr">
        <is>
          <t>Cullan the Magic Swordsman + Red Mage + 1000 cost</t>
        </is>
      </c>
      <c r="M64" s="17" t="inlineStr">
        <is>
          <t>00001
00010
01100
01110
10000</t>
        </is>
      </c>
      <c r="N64" s="16" t="n"/>
      <c r="O64" s="16" t="n"/>
      <c r="P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s="16" t="n"/>
      <c r="L65" s="17" t="inlineStr">
        <is>
          <t>Mad Doctor + 1 Chaos card + 1000 cost</t>
        </is>
      </c>
      <c r="M65" s="17" t="inlineStr">
        <is>
          <t xml:space="preserve">00000
00000 
01110
01110
01110
</t>
        </is>
      </c>
      <c r="N65" s="16" t="n"/>
      <c r="O65" s="16" t="n"/>
      <c r="P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K66" s="16" t="n"/>
      <c r="L66" s="17" t="inlineStr">
        <is>
          <t>Nobleman of Luminaso + 1 Arcane + 1500 cost</t>
        </is>
      </c>
      <c r="M66" s="17" t="inlineStr">
        <is>
          <t>00100
01010
10101
01010
10101</t>
        </is>
      </c>
      <c r="N66" s="16" t="n"/>
      <c r="O66" s="16" t="n"/>
      <c r="P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s="16" t="n"/>
      <c r="L67" s="17" t="inlineStr">
        <is>
          <t>Alluring Spellcaster + 1 Arcane + 1000 cost</t>
        </is>
      </c>
      <c r="M67" s="17" t="inlineStr">
        <is>
          <t xml:space="preserve">00000
01010 
01110
00100
00000
</t>
        </is>
      </c>
      <c r="N67" s="16" t="n"/>
      <c r="O67" s="16" t="n"/>
      <c r="P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s="16" t="n"/>
      <c r="L68" s="17" t="inlineStr">
        <is>
          <t>Freya the Rift Walker + Bingo the Chrono Rabbit + 1000 cost.</t>
        </is>
      </c>
      <c r="M68" s="17" t="inlineStr">
        <is>
          <t xml:space="preserve">00010
01000 
00010
01000
00001
</t>
        </is>
      </c>
      <c r="N68" s="16" t="n"/>
      <c r="O68" s="16" t="n"/>
      <c r="P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s="16" t="n"/>
      <c r="L69" s="17" t="inlineStr">
        <is>
          <t>Long Tongue + 1 Bio card + 1000 cost.</t>
        </is>
      </c>
      <c r="M69" s="17" t="inlineStr">
        <is>
          <t xml:space="preserve">10001
01010 
00100
01010
10001
</t>
        </is>
      </c>
      <c r="N69" s="16" t="n"/>
      <c r="O69" s="16" t="n"/>
      <c r="P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K70" s="16" t="n"/>
      <c r="L70" s="17" t="inlineStr">
        <is>
          <t>Fire Elemental + Earth Elemental + 1000 cost</t>
        </is>
      </c>
      <c r="M70" s="17" t="inlineStr">
        <is>
          <t xml:space="preserve">01010
01110 
01110
00100
00000
</t>
        </is>
      </c>
      <c r="N70" s="16" t="n"/>
      <c r="O70" s="16" t="n"/>
      <c r="P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s="16" t="n"/>
      <c r="L71" s="17" t="inlineStr">
        <is>
          <t>Water Elemental + Wind Elemental + 1000 cost</t>
        </is>
      </c>
      <c r="M71" s="17" t="inlineStr">
        <is>
          <t xml:space="preserve">00000
01110 
00100
01110
00000
</t>
        </is>
      </c>
      <c r="N71" s="16" t="n"/>
      <c r="O71" s="16" t="n"/>
      <c r="P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J72" t="inlineStr">
        <is>
          <t>Full: wording polish</t>
        </is>
      </c>
      <c r="K72" s="16" t="n"/>
      <c r="L72" s="17" t="inlineStr">
        <is>
          <t>Fire Elemental + Water Elemental + 1000 cost</t>
        </is>
      </c>
      <c r="M72" s="17" t="inlineStr">
        <is>
          <t xml:space="preserve">00100
00100 
01110
01110
00000
</t>
        </is>
      </c>
      <c r="N72" s="16" t="n"/>
      <c r="O72" s="16" t="n"/>
      <c r="P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s="16" t="n"/>
      <c r="L73" s="17" t="inlineStr">
        <is>
          <t>Fire Elemental + Wind Elemental + 1000 cost</t>
        </is>
      </c>
      <c r="M73" s="17" t="inlineStr">
        <is>
          <t xml:space="preserve">00010
00110 
00100
01100
01000
</t>
        </is>
      </c>
      <c r="N73" s="16" t="n"/>
      <c r="O73" s="16" t="n"/>
      <c r="P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s="16" t="n"/>
      <c r="L74" s="17" t="inlineStr">
        <is>
          <t>Water Elemental + Earth Elemental + 1000 cost</t>
        </is>
      </c>
      <c r="M74" s="17" t="inlineStr">
        <is>
          <t xml:space="preserve">00000
00000 
01110
01110
01110
</t>
        </is>
      </c>
      <c r="N74" s="16" t="n"/>
      <c r="O74" s="16" t="n"/>
      <c r="P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 and DEF vs Non-Arcane cards</t>
        </is>
      </c>
      <c r="J75" t="inlineStr">
        <is>
          <t>Full: ATK&amp;DEF→ATK and DEF</t>
        </is>
      </c>
      <c r="K75" s="16" t="n"/>
      <c r="L75" s="17" t="inlineStr">
        <is>
          <t>Wind Elemental + Earth Elemental + 1000 cost</t>
        </is>
      </c>
      <c r="M75" s="17" t="inlineStr">
        <is>
          <t xml:space="preserve">00000
01110 
01110
01110
00000
</t>
        </is>
      </c>
      <c r="N75" s="16" t="n"/>
      <c r="O75" s="16" t="n"/>
      <c r="P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s="16" t="n"/>
      <c r="L76" s="17" t="inlineStr">
        <is>
          <t>Mind Elemental + Fire Elemental + 1500 cost</t>
        </is>
      </c>
      <c r="M76" s="17" t="inlineStr">
        <is>
          <t xml:space="preserve">00000
01110 
01110
01110
00000
</t>
        </is>
      </c>
      <c r="N76" s="16" t="n"/>
      <c r="O76" s="16" t="n"/>
      <c r="P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J77" t="inlineStr">
        <is>
          <t>Full: wording polish</t>
        </is>
      </c>
      <c r="K77" s="16" t="n"/>
      <c r="L77" s="17" t="inlineStr">
        <is>
          <t>Mind Elemental + Water Elemental + 1500 cost</t>
        </is>
      </c>
      <c r="M77" s="17" t="inlineStr">
        <is>
          <t xml:space="preserve">00000
01110 
01110
01110
00000
</t>
        </is>
      </c>
      <c r="N77" s="16" t="n"/>
      <c r="O77" s="16" t="n"/>
      <c r="P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K78" s="16" t="n"/>
      <c r="L78" s="17" t="inlineStr">
        <is>
          <t>Mind Elemental + Wind Elemental + 1500 cost</t>
        </is>
      </c>
      <c r="M78" s="17" t="inlineStr">
        <is>
          <t xml:space="preserve">00000
01110 
01110
01110
00000
</t>
        </is>
      </c>
      <c r="N78" s="16" t="n"/>
      <c r="O78" s="16" t="n"/>
      <c r="P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J79" t="inlineStr">
        <is>
          <t>Full: wording polish</t>
        </is>
      </c>
      <c r="K79" s="16" t="n"/>
      <c r="L79" s="17" t="inlineStr">
        <is>
          <t>Mind Elemental + Earth Elemental + 1500 cost</t>
        </is>
      </c>
      <c r="M79" s="17" t="inlineStr">
        <is>
          <t xml:space="preserve">00000
01110 
01110
01110
00000
</t>
        </is>
      </c>
      <c r="N79" s="16" t="n"/>
      <c r="O79" s="16" t="n"/>
      <c r="P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s="16" t="n"/>
      <c r="L80" s="17" t="inlineStr">
        <is>
          <t>1 Dwarven card + 1 Arcane or Anima card + 1500 cost</t>
        </is>
      </c>
      <c r="M80" s="17" t="inlineStr">
        <is>
          <t xml:space="preserve">01110
10101 
00100
00100
00000
</t>
        </is>
      </c>
      <c r="N80" s="16" t="n"/>
      <c r="O80" s="16" t="n"/>
      <c r="P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K81" s="16" t="n"/>
      <c r="L81" s="16" t="n"/>
      <c r="M81" s="16" t="n"/>
      <c r="N81" s="16" t="n"/>
      <c r="O81" s="16" t="n"/>
      <c r="P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K82" s="16" t="n"/>
      <c r="L82" s="17" t="inlineStr">
        <is>
          <t>Fujin + Raijin + Suigin + 1000 cost</t>
        </is>
      </c>
      <c r="M82" s="16" t="n"/>
      <c r="N82" s="16" t="n"/>
      <c r="O82" s="16" t="n"/>
      <c r="P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K83" s="16" t="n"/>
      <c r="L83" s="17" t="inlineStr">
        <is>
          <t>Liam the Vastrunner + 1 Cosmic card + 1500 cost</t>
        </is>
      </c>
      <c r="M83" s="16" t="n"/>
      <c r="N83" s="16" t="n"/>
      <c r="O83" s="16" t="n"/>
      <c r="P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K84" s="16" t="n"/>
      <c r="L84" s="17" t="inlineStr">
        <is>
          <t>2 Europan cards + 1000 cost</t>
        </is>
      </c>
      <c r="M84" s="16" t="n"/>
      <c r="N84" s="16" t="n"/>
      <c r="O84" s="16" t="n"/>
      <c r="P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K85" s="16" t="n"/>
      <c r="L85" s="16" t="n"/>
      <c r="M85" s="16" t="n"/>
      <c r="N85" s="16" t="n"/>
      <c r="O85" s="16" t="n"/>
      <c r="P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 Foe turn start: flip a coin. Heads: foe can only attack once.</t>
        </is>
      </c>
      <c r="J86" t="inlineStr">
        <is>
          <t>Full: Two abilities kept on one card; clarified wording.</t>
        </is>
      </c>
      <c r="K86" s="17" t="inlineStr">
        <is>
          <t>1 ???</t>
        </is>
      </c>
      <c r="L86" s="17" t="inlineStr">
        <is>
          <t>1 Pyromancer + 1000 cost</t>
        </is>
      </c>
      <c r="M86" s="17" t="inlineStr">
        <is>
          <t xml:space="preserve">00000
01110 
01110
01110
00000
</t>
        </is>
      </c>
      <c r="N86" s="16" t="n"/>
      <c r="O86" s="16" t="n"/>
      <c r="P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K87" s="16" t="n"/>
      <c r="L87" s="16" t="n"/>
      <c r="M87" s="16" t="n"/>
      <c r="N87" s="16" t="n"/>
      <c r="O87" s="16" t="n"/>
      <c r="P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0 DEF as attack target. Destroy this card in Reckoning with 0 ATK unit</t>
        </is>
      </c>
      <c r="I88" s="17" t="inlineStr">
        <is>
          <t>Cannot select unit with ?? DEF as attack target. Destroy this card in Reckoning with ???</t>
        </is>
      </c>
      <c r="K88" s="16" t="n"/>
      <c r="L88" s="16" t="n"/>
      <c r="M88" s="16" t="n"/>
      <c r="N88" s="16" t="n"/>
      <c r="O88" s="16" t="n"/>
      <c r="P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K89" s="16" t="n"/>
      <c r="L89" s="16" t="n"/>
      <c r="M89" s="16" t="n"/>
      <c r="N89" s="16" t="n"/>
      <c r="O89" s="16" t="n"/>
      <c r="P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K90" s="16" t="n"/>
      <c r="L90" s="16" t="n"/>
      <c r="M90" s="16" t="n"/>
      <c r="N90" s="16" t="n"/>
      <c r="O90" s="16" t="n"/>
      <c r="P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K91" s="16" t="n"/>
      <c r="L91" s="16" t="n"/>
      <c r="M91" s="16" t="n"/>
      <c r="N91" s="16" t="n"/>
      <c r="O91" s="16" t="n"/>
      <c r="P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K92" s="16" t="n"/>
      <c r="L92" s="16" t="n"/>
      <c r="M92" s="16" t="n"/>
      <c r="N92" s="16" t="n"/>
      <c r="O92" s="16" t="n"/>
      <c r="P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K93" s="16" t="n"/>
      <c r="L93" s="16" t="n"/>
      <c r="M93" s="16" t="n"/>
      <c r="N93" s="16" t="n"/>
      <c r="O93" s="16" t="n"/>
      <c r="P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K94" s="16" t="n"/>
      <c r="L94" s="16" t="n"/>
      <c r="M94" s="16" t="n"/>
      <c r="N94" s="16" t="n"/>
      <c r="O94" s="16" t="n"/>
      <c r="P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K95" s="16" t="n"/>
      <c r="L95" s="16" t="n"/>
      <c r="M95" s="16" t="n"/>
      <c r="N95" s="16" t="n"/>
      <c r="O95" s="16" t="n"/>
      <c r="P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K96" s="16" t="n"/>
      <c r="L96" s="16" t="n"/>
      <c r="M96" s="16" t="n"/>
      <c r="N96" s="16" t="n"/>
      <c r="O96" s="16" t="n"/>
      <c r="P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K97" s="16" t="n"/>
      <c r="L97" s="16" t="n"/>
      <c r="M97" s="16" t="n"/>
      <c r="N97" s="16" t="n"/>
      <c r="O97" s="16" t="n"/>
      <c r="P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K98" s="16" t="n"/>
      <c r="L98" s="16" t="n"/>
      <c r="M98" s="16" t="n"/>
      <c r="N98" s="16" t="n"/>
      <c r="O98" s="16" t="n"/>
      <c r="P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K99" s="16" t="n"/>
      <c r="L99" s="16" t="n"/>
      <c r="M99" s="16" t="n"/>
      <c r="N99" s="16" t="n"/>
      <c r="O99" s="16" t="n"/>
      <c r="P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K100" s="16" t="n"/>
      <c r="L100" s="16" t="n"/>
      <c r="M100" s="16" t="n"/>
      <c r="N100" s="16" t="n"/>
      <c r="O100" s="16" t="n"/>
      <c r="P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K101" s="16" t="n"/>
      <c r="L101" s="16" t="n"/>
      <c r="M101" s="16" t="n"/>
      <c r="N101" s="16" t="n"/>
      <c r="O101" s="16" t="n"/>
      <c r="P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K102" s="16" t="n"/>
      <c r="L102" s="16" t="n"/>
      <c r="M102" s="16" t="n"/>
      <c r="N102" s="16" t="n"/>
      <c r="O102" s="16" t="n"/>
      <c r="P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K103" s="16" t="n"/>
      <c r="L103" s="16" t="n"/>
      <c r="M103" s="16" t="n"/>
      <c r="N103" s="16" t="n"/>
      <c r="O103" s="16" t="n"/>
      <c r="P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K104" s="16" t="n"/>
      <c r="L104" s="16" t="n"/>
      <c r="M104" s="16" t="n"/>
      <c r="N104" s="16" t="n"/>
      <c r="O104" s="16" t="n"/>
      <c r="P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K105" s="16" t="n"/>
      <c r="L105" s="16" t="n"/>
      <c r="M105" s="16" t="n"/>
      <c r="N105" s="16" t="n"/>
      <c r="O105" s="16" t="n"/>
      <c r="P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K106" s="16" t="n"/>
      <c r="L106" s="16" t="n"/>
      <c r="M106" s="16" t="n"/>
      <c r="N106" s="16" t="n"/>
      <c r="O106" s="16" t="n"/>
      <c r="P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K107" s="16" t="n"/>
      <c r="L107" s="16" t="n"/>
      <c r="M107" s="16" t="n"/>
      <c r="N107" s="16" t="n"/>
      <c r="O107" s="16" t="n"/>
      <c r="P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K108" s="16" t="n"/>
      <c r="L108" s="16" t="n"/>
      <c r="M108" s="16" t="n"/>
      <c r="N108" s="16" t="n"/>
      <c r="O108" s="16" t="n"/>
      <c r="P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K109" s="16" t="n"/>
      <c r="L109" s="16" t="n"/>
      <c r="M109" s="16" t="n"/>
      <c r="N109" s="16" t="n"/>
      <c r="O109" s="16" t="n"/>
      <c r="P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K110" s="16" t="n"/>
      <c r="L110" s="16" t="n"/>
      <c r="M110" s="16" t="n"/>
      <c r="N110" s="16" t="n"/>
      <c r="O110" s="16" t="n"/>
      <c r="P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K111" s="16" t="n"/>
      <c r="L111" s="16" t="n"/>
      <c r="M111" s="16" t="n"/>
      <c r="N111" s="16" t="n"/>
      <c r="O111" s="16" t="n"/>
      <c r="P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K112" s="16" t="n"/>
      <c r="L112" s="16" t="n"/>
      <c r="M112" s="16" t="n"/>
      <c r="N112" s="16" t="n"/>
      <c r="O112" s="16" t="n"/>
      <c r="P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K113" s="16" t="n"/>
      <c r="L113" s="16" t="n"/>
      <c r="M113" s="16" t="n"/>
      <c r="N113" s="16" t="n"/>
      <c r="O113" s="16" t="n"/>
      <c r="P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K114" s="16" t="n"/>
      <c r="L114" s="16" t="n"/>
      <c r="M114" s="16" t="n"/>
      <c r="N114" s="16" t="n"/>
      <c r="O114" s="16" t="n"/>
      <c r="P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K115" s="16" t="n"/>
      <c r="L115" s="16" t="n"/>
      <c r="M115" s="16" t="n"/>
      <c r="N115" s="16" t="n"/>
      <c r="O115" s="16" t="n"/>
      <c r="P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K116" s="16" t="n"/>
      <c r="L116" s="16" t="n"/>
      <c r="M116" s="16" t="n"/>
      <c r="N116" s="16" t="n"/>
      <c r="O116" s="16" t="n"/>
      <c r="P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K117" s="16" t="n"/>
      <c r="L117" s="16" t="n"/>
      <c r="M117" s="16" t="n"/>
      <c r="N117" s="16" t="n"/>
      <c r="O117" s="16" t="n"/>
      <c r="P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K118" s="16" t="n"/>
      <c r="L118" s="16" t="n"/>
      <c r="M118" s="16" t="n"/>
      <c r="N118" s="16" t="n"/>
      <c r="O118" s="16" t="n"/>
      <c r="P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K119" s="16" t="n"/>
      <c r="L119" s="16" t="n"/>
      <c r="M119" s="16" t="n"/>
      <c r="N119" s="16" t="n"/>
      <c r="O119" s="16" t="n"/>
      <c r="P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K120" s="16" t="n"/>
      <c r="L120" s="16" t="n"/>
      <c r="M120" s="16" t="n"/>
      <c r="N120" s="16" t="n"/>
      <c r="O120" s="16" t="n"/>
      <c r="P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K121" s="16" t="n"/>
      <c r="L121" s="16" t="n"/>
      <c r="M121" s="16" t="n"/>
      <c r="N121" s="16" t="n"/>
      <c r="O121" s="16" t="n"/>
      <c r="P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K122" s="16" t="n"/>
      <c r="L122" s="16" t="n"/>
      <c r="M122" s="16" t="n"/>
      <c r="N122" s="16" t="n"/>
      <c r="O122" s="16" t="n"/>
      <c r="P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K123" s="16" t="n"/>
      <c r="L123" s="16" t="n"/>
      <c r="M123" s="16" t="n"/>
      <c r="N123" s="16" t="n"/>
      <c r="O123" s="16" t="n"/>
      <c r="P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K124" s="16" t="n"/>
      <c r="L124" s="16" t="n"/>
      <c r="M124" s="16" t="n"/>
      <c r="N124" s="16" t="n"/>
      <c r="O124" s="16" t="n"/>
      <c r="P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K125" s="16" t="n"/>
      <c r="L125" s="16" t="n"/>
      <c r="M125" s="16" t="n"/>
      <c r="N125" s="16" t="n"/>
      <c r="O125" s="16" t="n"/>
      <c r="P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K126" s="16" t="n"/>
      <c r="L126" s="16" t="n"/>
      <c r="M126" s="16" t="n"/>
      <c r="N126" s="16" t="n"/>
      <c r="O126" s="16" t="n"/>
      <c r="P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K127" s="16" t="n"/>
      <c r="L127" s="16" t="n"/>
      <c r="M127" s="16" t="n"/>
      <c r="N127" s="16" t="n"/>
      <c r="O127" s="16" t="n"/>
      <c r="P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K128" s="16" t="n"/>
      <c r="L128" s="16" t="n"/>
      <c r="M128" s="16" t="n"/>
      <c r="N128" s="16" t="n"/>
      <c r="O128" s="16" t="n"/>
      <c r="P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K129" s="16" t="n"/>
      <c r="L129" s="16" t="n"/>
      <c r="M129" s="16" t="n"/>
      <c r="N129" s="16" t="n"/>
      <c r="O129" s="16" t="n"/>
      <c r="P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K130" s="16" t="n"/>
      <c r="L130" s="16" t="n"/>
      <c r="M130" s="16" t="n"/>
      <c r="N130" s="16" t="n"/>
      <c r="O130" s="16" t="n"/>
      <c r="P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K131" s="16" t="n"/>
      <c r="L131" s="16" t="n"/>
      <c r="M131" s="16" t="n"/>
      <c r="N131" s="16" t="n"/>
      <c r="O131" s="16" t="n"/>
      <c r="P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K132" s="16" t="n"/>
      <c r="L132" s="16" t="n"/>
      <c r="M132" s="16" t="n"/>
      <c r="N132" s="16" t="n"/>
      <c r="O132" s="16" t="n"/>
      <c r="P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K133" s="16" t="n"/>
      <c r="L133" s="16" t="n"/>
      <c r="M133" s="16" t="n"/>
      <c r="N133" s="16" t="n"/>
      <c r="O133" s="16" t="n"/>
      <c r="P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K134" s="16" t="n"/>
      <c r="L134" s="16" t="n"/>
      <c r="M134" s="16" t="n"/>
      <c r="N134" s="16" t="n"/>
      <c r="O134" s="16" t="n"/>
      <c r="P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K135" s="16" t="n"/>
      <c r="L135" s="16" t="n"/>
      <c r="M135" s="16" t="n"/>
      <c r="N135" s="16" t="n"/>
      <c r="O135" s="16" t="n"/>
      <c r="P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K136" s="16" t="n"/>
      <c r="L136" s="16" t="n"/>
      <c r="M136" s="16" t="n"/>
      <c r="N136" s="16" t="n"/>
      <c r="O136" s="16" t="n"/>
      <c r="P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K137" s="16" t="n"/>
      <c r="L137" s="16" t="n"/>
      <c r="M137" s="16" t="n"/>
      <c r="N137" s="16" t="n"/>
      <c r="O137" s="16" t="n"/>
      <c r="P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K138" s="16" t="n"/>
      <c r="L138" s="16" t="n"/>
      <c r="M138" s="16" t="n"/>
      <c r="N138" s="16" t="n"/>
      <c r="O138" s="16" t="n"/>
      <c r="P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K139" s="16" t="n"/>
      <c r="L139" s="16" t="n"/>
      <c r="M139" s="16" t="n"/>
      <c r="N139" s="16" t="n"/>
      <c r="O139" s="16" t="n"/>
      <c r="P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K140" s="16" t="n"/>
      <c r="L140" s="16" t="n"/>
      <c r="M140" s="16" t="n"/>
      <c r="N140" s="16" t="n"/>
      <c r="O140" s="16" t="n"/>
      <c r="P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K141" s="16" t="n"/>
      <c r="L141" s="16" t="n"/>
      <c r="M141" s="16" t="n"/>
      <c r="N141" s="16" t="n"/>
      <c r="O141" s="16" t="n"/>
      <c r="P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K142" s="16" t="n"/>
      <c r="L142" s="16" t="n"/>
      <c r="M142" s="16" t="n"/>
      <c r="N142" s="16" t="n"/>
      <c r="O142" s="16" t="n"/>
      <c r="P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K143" s="16" t="n"/>
      <c r="L143" s="16" t="n"/>
      <c r="M143" s="16" t="n"/>
      <c r="N143" s="16" t="n"/>
      <c r="O143" s="16" t="n"/>
      <c r="P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K144" s="16" t="n"/>
      <c r="L144" s="16" t="n"/>
      <c r="M144" s="16" t="n"/>
      <c r="N144" s="16" t="n"/>
      <c r="O144" s="16" t="n"/>
      <c r="P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K145" s="16" t="n"/>
      <c r="L145" s="16" t="n"/>
      <c r="M145" s="16" t="n"/>
      <c r="N145" s="16" t="n"/>
      <c r="O145" s="16" t="n"/>
      <c r="P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K146" s="16" t="n"/>
      <c r="L146" s="16" t="n"/>
      <c r="M146" s="16" t="n"/>
      <c r="N146" s="16" t="n"/>
      <c r="O146" s="16" t="n"/>
      <c r="P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K147" s="16" t="n"/>
      <c r="L147" s="16" t="n"/>
      <c r="M147" s="16" t="n"/>
      <c r="N147" s="16" t="n"/>
      <c r="O147" s="16" t="n"/>
      <c r="P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K148" s="16" t="n"/>
      <c r="L148" s="16" t="n"/>
      <c r="M148" s="16" t="n"/>
      <c r="N148" s="16" t="n"/>
      <c r="O148" s="16" t="n"/>
      <c r="P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K149" s="16" t="n"/>
      <c r="L149" s="16" t="n"/>
      <c r="M149" s="16" t="n"/>
      <c r="N149" s="16" t="n"/>
      <c r="O149" s="16" t="n"/>
      <c r="P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K150" s="16" t="n"/>
      <c r="L150" s="16" t="n"/>
      <c r="M150" s="16" t="n"/>
      <c r="N150" s="16" t="n"/>
      <c r="O150" s="16" t="n"/>
      <c r="P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K151" s="16" t="n"/>
      <c r="L151" s="16" t="n"/>
      <c r="M151" s="16" t="n"/>
      <c r="N151" s="16" t="n"/>
      <c r="O151" s="16" t="n"/>
      <c r="P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K152" s="16" t="n"/>
      <c r="L152" s="16" t="n"/>
      <c r="M152" s="16" t="n"/>
      <c r="N152" s="16" t="n"/>
      <c r="O152" s="16" t="n"/>
      <c r="P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K153" s="16" t="n"/>
      <c r="L153" s="16" t="n"/>
      <c r="M153" s="16" t="n"/>
      <c r="N153" s="16" t="n"/>
      <c r="O153" s="16" t="n"/>
      <c r="P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K154" s="16" t="n"/>
      <c r="L154" s="16" t="n"/>
      <c r="M154" s="16" t="n"/>
      <c r="N154" s="16" t="n"/>
      <c r="O154" s="16" t="n"/>
      <c r="P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K155" s="16" t="n"/>
      <c r="L155" s="16" t="n"/>
      <c r="M155" s="16" t="n"/>
      <c r="N155" s="16" t="n"/>
      <c r="O155" s="16" t="n"/>
      <c r="P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K156" s="16" t="n"/>
      <c r="L156" s="16" t="n"/>
      <c r="M156" s="16" t="n"/>
      <c r="N156" s="16" t="n"/>
      <c r="O156" s="16" t="n"/>
      <c r="P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K157" s="16" t="n"/>
      <c r="L157" s="16" t="n"/>
      <c r="M157" s="16" t="n"/>
      <c r="N157" s="16" t="n"/>
      <c r="O157" s="16" t="n"/>
      <c r="P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K158" s="16" t="n"/>
      <c r="L158" s="16" t="n"/>
      <c r="M158" s="16" t="n"/>
      <c r="N158" s="16" t="n"/>
      <c r="O158" s="16" t="n"/>
      <c r="P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K159" s="16" t="n"/>
      <c r="L159" s="16" t="n"/>
      <c r="M159" s="16" t="n"/>
      <c r="N159" s="16" t="n"/>
      <c r="O159" s="16" t="n"/>
      <c r="P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K160" s="16" t="n"/>
      <c r="L160" s="16" t="n"/>
      <c r="M160" s="16" t="n"/>
      <c r="N160" s="16" t="n"/>
      <c r="O160" s="16" t="n"/>
      <c r="P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K161" s="16" t="n"/>
      <c r="L161" s="16" t="n"/>
      <c r="M161" s="16" t="n"/>
      <c r="N161" s="16" t="n"/>
      <c r="O161" s="16" t="n"/>
      <c r="P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K162" s="16" t="n"/>
      <c r="L162" s="16" t="n"/>
      <c r="M162" s="16" t="n"/>
      <c r="N162" s="16" t="n"/>
      <c r="O162" s="16" t="n"/>
      <c r="P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K163" s="16" t="n"/>
      <c r="L163" s="16" t="n"/>
      <c r="M163" s="16" t="n"/>
      <c r="N163" s="16" t="n"/>
      <c r="O163" s="16" t="n"/>
      <c r="P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K164" s="16" t="n"/>
      <c r="L164" s="16" t="n"/>
      <c r="M164" s="16" t="n"/>
      <c r="N164" s="16" t="n"/>
      <c r="O164" s="16" t="n"/>
      <c r="P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K165" s="16" t="n"/>
      <c r="L165" s="16" t="n"/>
      <c r="M165" s="16" t="n"/>
      <c r="N165" s="16" t="n"/>
      <c r="O165" s="16" t="n"/>
      <c r="P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K166" s="16" t="n"/>
      <c r="L166" s="16" t="n"/>
      <c r="M166" s="16" t="n"/>
      <c r="N166" s="16" t="n"/>
      <c r="O166" s="16" t="n"/>
      <c r="P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K167" s="16" t="n"/>
      <c r="L167" s="16" t="n"/>
      <c r="M167" s="16" t="n"/>
      <c r="N167" s="16" t="n"/>
      <c r="O167" s="16" t="n"/>
      <c r="P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K168" s="16" t="n"/>
      <c r="L168" s="16" t="n"/>
      <c r="M168" s="16" t="n"/>
      <c r="N168" s="16" t="n"/>
      <c r="O168" s="16" t="n"/>
      <c r="P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K169" s="16" t="n"/>
      <c r="L169" s="16" t="n"/>
      <c r="M169" s="16" t="n"/>
      <c r="N169" s="16" t="n"/>
      <c r="O169" s="16" t="n"/>
      <c r="P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K170" s="16" t="n"/>
      <c r="L170" s="16" t="n"/>
      <c r="M170" s="16" t="n"/>
      <c r="N170" s="16" t="n"/>
      <c r="O170" s="16" t="n"/>
      <c r="P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K171" s="16" t="n"/>
      <c r="L171" s="16" t="n"/>
      <c r="M171" s="16" t="n"/>
      <c r="N171" s="16" t="n"/>
      <c r="O171" s="16" t="n"/>
      <c r="P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K172" s="16" t="n"/>
      <c r="L172" s="16" t="n"/>
      <c r="M172" s="16" t="n"/>
      <c r="N172" s="16" t="n"/>
      <c r="O172" s="16" t="n"/>
      <c r="P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K173" s="16" t="n"/>
      <c r="L173" s="16" t="n"/>
      <c r="M173" s="16" t="n"/>
      <c r="N173" s="16" t="n"/>
      <c r="O173" s="16" t="n"/>
      <c r="P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K174" s="16" t="n"/>
      <c r="L174" s="16" t="n"/>
      <c r="M174" s="16" t="n"/>
      <c r="N174" s="16" t="n"/>
      <c r="O174" s="16" t="n"/>
      <c r="P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K175" s="16" t="n"/>
      <c r="L175" s="16" t="n"/>
      <c r="M175" s="16" t="n"/>
      <c r="N175" s="16" t="n"/>
      <c r="O175" s="16" t="n"/>
      <c r="P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K176" s="16" t="n"/>
      <c r="L176" s="16" t="n"/>
      <c r="M176" s="16" t="n"/>
      <c r="N176" s="16" t="n"/>
      <c r="O176" s="16" t="n"/>
      <c r="P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K177" s="16" t="n"/>
      <c r="L177" s="16" t="n"/>
      <c r="M177" s="16" t="n"/>
      <c r="N177" s="16" t="n"/>
      <c r="O177" s="16" t="n"/>
      <c r="P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K178" s="16" t="n"/>
      <c r="L178" s="16" t="n"/>
      <c r="M178" s="16" t="n"/>
      <c r="N178" s="16" t="n"/>
      <c r="O178" s="16" t="n"/>
      <c r="P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K179" s="16" t="n"/>
      <c r="L179" s="16" t="n"/>
      <c r="M179" s="16" t="n"/>
      <c r="N179" s="16" t="n"/>
      <c r="O179" s="16" t="n"/>
      <c r="P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K180" s="16" t="n"/>
      <c r="L180" s="16" t="n"/>
      <c r="M180" s="16" t="n"/>
      <c r="N180" s="16" t="n"/>
      <c r="O180" s="16" t="n"/>
      <c r="P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K181" s="16" t="n"/>
      <c r="L181" s="16" t="n"/>
      <c r="M181" s="16" t="n"/>
      <c r="N181" s="16" t="n"/>
      <c r="O181" s="16" t="n"/>
      <c r="P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K182" s="16" t="n"/>
      <c r="L182" s="16" t="n"/>
      <c r="M182" s="16" t="n"/>
      <c r="N182" s="16" t="n"/>
      <c r="O182" s="16" t="n"/>
      <c r="P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K183" s="16" t="n"/>
      <c r="L183" s="16" t="n"/>
      <c r="M183" s="16" t="n"/>
      <c r="N183" s="16" t="n"/>
      <c r="O183" s="16" t="n"/>
      <c r="P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K184" s="16" t="n"/>
      <c r="L184" s="16" t="n"/>
      <c r="M184" s="16" t="n"/>
      <c r="N184" s="16" t="n"/>
      <c r="O184" s="16" t="n"/>
      <c r="P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K185" s="16" t="n"/>
      <c r="L185" s="16" t="n"/>
      <c r="M185" s="16" t="n"/>
      <c r="N185" s="16" t="n"/>
      <c r="O185" s="16" t="n"/>
      <c r="P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K186" s="16" t="n"/>
      <c r="L186" s="16" t="n"/>
      <c r="M186" s="16" t="n"/>
      <c r="N186" s="16" t="n"/>
      <c r="O186" s="16" t="n"/>
      <c r="P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K187" s="16" t="n"/>
      <c r="L187" s="16" t="n"/>
      <c r="M187" s="16" t="n"/>
      <c r="N187" s="16" t="n"/>
      <c r="O187" s="16" t="n"/>
      <c r="P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K188" s="16" t="n"/>
      <c r="L188" s="16" t="n"/>
      <c r="M188" s="16" t="n"/>
      <c r="N188" s="16" t="n"/>
      <c r="O188" s="16" t="n"/>
      <c r="P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K189" s="16" t="n"/>
      <c r="L189" s="16" t="n"/>
      <c r="M189" s="16" t="n"/>
      <c r="N189" s="16" t="n"/>
      <c r="O189" s="16" t="n"/>
      <c r="P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K190" s="16" t="n"/>
      <c r="L190" s="16" t="n"/>
      <c r="M190" s="16" t="n"/>
      <c r="N190" s="16" t="n"/>
      <c r="O190" s="16" t="n"/>
      <c r="P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K191" s="16" t="n"/>
      <c r="L191" s="16" t="n"/>
      <c r="M191" s="16" t="n"/>
      <c r="N191" s="16" t="n"/>
      <c r="O191" s="16" t="n"/>
      <c r="P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K192" s="16" t="n"/>
      <c r="L192" s="16" t="n"/>
      <c r="M192" s="16" t="n"/>
      <c r="N192" s="16" t="n"/>
      <c r="O192" s="16" t="n"/>
      <c r="P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K193" s="16" t="n"/>
      <c r="L193" s="16" t="n"/>
      <c r="M193" s="16" t="n"/>
      <c r="N193" s="16" t="n"/>
      <c r="O193" s="16" t="n"/>
      <c r="P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K194" s="16" t="n"/>
      <c r="L194" s="16" t="n"/>
      <c r="M194" s="16" t="n"/>
      <c r="N194" s="16" t="n"/>
      <c r="O194" s="16" t="n"/>
      <c r="P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K195" s="16" t="n"/>
      <c r="L195" s="16" t="n"/>
      <c r="M195" s="16" t="n"/>
      <c r="N195" s="16" t="n"/>
      <c r="O195" s="16" t="n"/>
      <c r="P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K196" s="16" t="n"/>
      <c r="L196" s="16" t="n"/>
      <c r="M196" s="16" t="n"/>
      <c r="N196" s="16" t="n"/>
      <c r="O196" s="16" t="n"/>
      <c r="P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K197" s="16" t="n"/>
      <c r="L197" s="16" t="n"/>
      <c r="M197" s="16" t="n"/>
      <c r="N197" s="16" t="n"/>
      <c r="O197" s="16" t="n"/>
      <c r="P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K198" s="16" t="n"/>
      <c r="L198" s="16" t="n"/>
      <c r="M198" s="16" t="n"/>
      <c r="N198" s="16" t="n"/>
      <c r="O198" s="16" t="n"/>
      <c r="P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K199" s="16" t="n"/>
      <c r="L199" s="16" t="n"/>
      <c r="M199" s="16" t="n"/>
      <c r="N199" s="16" t="n"/>
      <c r="O199" s="16" t="n"/>
      <c r="P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K200" s="16" t="n"/>
      <c r="L200" s="16" t="n"/>
      <c r="M200" s="16" t="n"/>
      <c r="N200" s="16" t="n"/>
      <c r="O200" s="16" t="n"/>
      <c r="P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K201" s="16" t="n"/>
      <c r="L201" s="16" t="n"/>
      <c r="M201" s="16" t="n"/>
      <c r="N201" s="16" t="n"/>
      <c r="O201" s="16" t="n"/>
      <c r="P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K202" s="16" t="n"/>
      <c r="L202" s="16" t="n"/>
      <c r="M202" s="16" t="n"/>
      <c r="N202" s="16" t="n"/>
      <c r="O202" s="16" t="n"/>
      <c r="P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K203" s="16" t="n"/>
      <c r="L203" s="16" t="n"/>
      <c r="M203" s="16" t="n"/>
      <c r="N203" s="16" t="n"/>
      <c r="O203" s="16" t="n"/>
      <c r="P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K204" s="16" t="n"/>
      <c r="L204" s="16" t="n"/>
      <c r="M204" s="16" t="n"/>
      <c r="N204" s="16" t="n"/>
      <c r="O204" s="16" t="n"/>
      <c r="P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K205" s="16" t="n"/>
      <c r="L205" s="16" t="n"/>
      <c r="M205" s="16" t="n"/>
      <c r="N205" s="16" t="n"/>
      <c r="O205" s="16" t="n"/>
      <c r="P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K206" s="16" t="n"/>
      <c r="L206" s="16" t="n"/>
      <c r="M206" s="16" t="n"/>
      <c r="N206" s="16" t="n"/>
      <c r="O206" s="16" t="n"/>
      <c r="P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K207" s="16" t="n"/>
      <c r="L207" s="16" t="n"/>
      <c r="M207" s="16" t="n"/>
      <c r="N207" s="16" t="n"/>
      <c r="O207" s="16" t="n"/>
      <c r="P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K208" s="16" t="n"/>
      <c r="L208" s="16" t="n"/>
      <c r="M208" s="16" t="n"/>
      <c r="N208" s="16" t="n"/>
      <c r="O208" s="16" t="n"/>
      <c r="P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K209" s="16" t="n"/>
      <c r="L209" s="16" t="n"/>
      <c r="M209" s="16" t="n"/>
      <c r="N209" s="16" t="n"/>
      <c r="O209" s="16" t="n"/>
      <c r="P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K210" s="16" t="n"/>
      <c r="L210" s="16" t="n"/>
      <c r="M210" s="16" t="n"/>
      <c r="N210" s="16" t="n"/>
      <c r="O210" s="16" t="n"/>
      <c r="P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K211" s="16" t="n"/>
      <c r="L211" s="16" t="n"/>
      <c r="M211" s="16" t="n"/>
      <c r="N211" s="16" t="n"/>
      <c r="O211" s="16" t="n"/>
      <c r="P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K212" s="16" t="n"/>
      <c r="L212" s="16" t="n"/>
      <c r="M212" s="16" t="n"/>
      <c r="N212" s="16" t="n"/>
      <c r="O212" s="16" t="n"/>
      <c r="P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K213" s="16" t="n"/>
      <c r="L213" s="16" t="n"/>
      <c r="M213" s="16" t="n"/>
      <c r="N213" s="16" t="n"/>
      <c r="O213" s="16" t="n"/>
      <c r="P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K214" s="16" t="n"/>
      <c r="L214" s="16" t="n"/>
      <c r="M214" s="16" t="n"/>
      <c r="N214" s="16" t="n"/>
      <c r="O214" s="16" t="n"/>
      <c r="P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K215" s="16" t="n"/>
      <c r="L215" s="16" t="n"/>
      <c r="M215" s="16" t="n"/>
      <c r="N215" s="16" t="n"/>
      <c r="O215" s="16" t="n"/>
      <c r="P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K216" s="16" t="n"/>
      <c r="L216" s="16" t="n"/>
      <c r="M216" s="16" t="n"/>
      <c r="N216" s="16" t="n"/>
      <c r="O216" s="16" t="n"/>
      <c r="P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K217" s="16" t="n"/>
      <c r="L217" s="16" t="n"/>
      <c r="M217" s="16" t="n"/>
      <c r="N217" s="16" t="n"/>
      <c r="O217" s="16" t="n"/>
      <c r="P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K218" s="16" t="n"/>
      <c r="L218" s="16" t="n"/>
      <c r="M218" s="16" t="n"/>
      <c r="N218" s="16" t="n"/>
      <c r="O218" s="16" t="n"/>
      <c r="P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K219" s="16" t="n"/>
      <c r="L219" s="16" t="n"/>
      <c r="M219" s="16" t="n"/>
      <c r="N219" s="16" t="n"/>
      <c r="O219" s="16" t="n"/>
      <c r="P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K220" s="16" t="n"/>
      <c r="L220" s="16" t="n"/>
      <c r="M220" s="16" t="n"/>
      <c r="N220" s="16" t="n"/>
      <c r="O220" s="16" t="n"/>
      <c r="P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K221" s="16" t="n"/>
      <c r="L221" s="16" t="n"/>
      <c r="M221" s="16" t="n"/>
      <c r="N221" s="16" t="n"/>
      <c r="O221" s="16" t="n"/>
      <c r="P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K222" s="16" t="n"/>
      <c r="L222" s="16" t="n"/>
      <c r="M222" s="16" t="n"/>
      <c r="N222" s="16" t="n"/>
      <c r="O222" s="16" t="n"/>
      <c r="P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K223" s="16" t="n"/>
      <c r="L223" s="16" t="n"/>
      <c r="M223" s="16" t="n"/>
      <c r="N223" s="16" t="n"/>
      <c r="O223" s="16" t="n"/>
      <c r="P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K224" s="16" t="n"/>
      <c r="L224" s="16" t="n"/>
      <c r="M224" s="16" t="n"/>
      <c r="N224" s="16" t="n"/>
      <c r="O224" s="16" t="n"/>
      <c r="P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K225" s="16" t="n"/>
      <c r="L225" s="16" t="n"/>
      <c r="M225" s="16" t="n"/>
      <c r="N225" s="16" t="n"/>
      <c r="O225" s="16" t="n"/>
      <c r="P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K226" s="16" t="n"/>
      <c r="L226" s="16" t="n"/>
      <c r="M226" s="16" t="n"/>
      <c r="N226" s="16" t="n"/>
      <c r="O226" s="16" t="n"/>
      <c r="P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K227" s="16" t="n"/>
      <c r="L227" s="16" t="n"/>
      <c r="M227" s="16" t="n"/>
      <c r="N227" s="16" t="n"/>
      <c r="O227" s="16" t="n"/>
      <c r="P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K228" s="16" t="n"/>
      <c r="L228" s="16" t="n"/>
      <c r="M228" s="16" t="n"/>
      <c r="N228" s="16" t="n"/>
      <c r="O228" s="16" t="n"/>
      <c r="P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K229" s="16" t="n"/>
      <c r="L229" s="16" t="n"/>
      <c r="M229" s="16" t="n"/>
      <c r="N229" s="16" t="n"/>
      <c r="O229" s="16" t="n"/>
      <c r="P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K230" s="16" t="n"/>
      <c r="L230" s="16" t="n"/>
      <c r="M230" s="16" t="n"/>
      <c r="N230" s="16" t="n"/>
      <c r="O230" s="16" t="n"/>
      <c r="P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K231" s="16" t="n"/>
      <c r="L231" s="16" t="n"/>
      <c r="M231" s="16" t="n"/>
      <c r="N231" s="16" t="n"/>
      <c r="O231" s="16" t="n"/>
      <c r="P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K232" s="16" t="n"/>
      <c r="L232" s="16" t="n"/>
      <c r="M232" s="16" t="n"/>
      <c r="N232" s="16" t="n"/>
      <c r="O232" s="16" t="n"/>
      <c r="P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K233" s="16" t="n"/>
      <c r="L233" s="16" t="n"/>
      <c r="M233" s="16" t="n"/>
      <c r="N233" s="16" t="n"/>
      <c r="O233" s="16" t="n"/>
      <c r="P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K234" s="16" t="n"/>
      <c r="L234" s="16" t="n"/>
      <c r="M234" s="16" t="n"/>
      <c r="N234" s="16" t="n"/>
      <c r="O234" s="16" t="n"/>
      <c r="P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K235" s="16" t="n"/>
      <c r="L235" s="16" t="n"/>
      <c r="M235" s="16" t="n"/>
      <c r="N235" s="16" t="n"/>
      <c r="O235" s="16" t="n"/>
      <c r="P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K236" s="16" t="n"/>
      <c r="L236" s="16" t="n"/>
      <c r="M236" s="16" t="n"/>
      <c r="N236" s="16" t="n"/>
      <c r="O236" s="16" t="n"/>
      <c r="P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K237" s="16" t="n"/>
      <c r="L237" s="16" t="n"/>
      <c r="M237" s="16" t="n"/>
      <c r="N237" s="16" t="n"/>
      <c r="O237" s="16" t="n"/>
      <c r="P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K238" s="16" t="n"/>
      <c r="L238" s="16" t="n"/>
      <c r="M238" s="16" t="n"/>
      <c r="N238" s="16" t="n"/>
      <c r="O238" s="16" t="n"/>
      <c r="P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K239" s="16" t="n"/>
      <c r="L239" s="16" t="n"/>
      <c r="M239" s="16" t="n"/>
      <c r="N239" s="16" t="n"/>
      <c r="O239" s="16" t="n"/>
      <c r="P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K240" s="16" t="n"/>
      <c r="L240" s="16" t="n"/>
      <c r="M240" s="16" t="n"/>
      <c r="N240" s="16" t="n"/>
      <c r="O240" s="16" t="n"/>
      <c r="P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K241" s="16" t="n"/>
      <c r="L241" s="16" t="n"/>
      <c r="M241" s="16" t="n"/>
      <c r="N241" s="16" t="n"/>
      <c r="O241" s="16" t="n"/>
      <c r="P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K242" s="16" t="n"/>
      <c r="L242" s="16" t="n"/>
      <c r="M242" s="16" t="n"/>
      <c r="N242" s="16" t="n"/>
      <c r="O242" s="16" t="n"/>
      <c r="P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K243" s="16" t="n"/>
      <c r="L243" s="16" t="n"/>
      <c r="M243" s="16" t="n"/>
      <c r="N243" s="16" t="n"/>
      <c r="O243" s="16" t="n"/>
      <c r="P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K244" s="16" t="n"/>
      <c r="L244" s="16" t="n"/>
      <c r="M244" s="16" t="n"/>
      <c r="N244" s="16" t="n"/>
      <c r="O244" s="16" t="n"/>
      <c r="P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K245" s="16" t="n"/>
      <c r="L245" s="16" t="n"/>
      <c r="M245" s="16" t="n"/>
      <c r="N245" s="16" t="n"/>
      <c r="O245" s="16" t="n"/>
      <c r="P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K246" s="16" t="n"/>
      <c r="L246" s="16" t="n"/>
      <c r="M246" s="16" t="n"/>
      <c r="N246" s="16" t="n"/>
      <c r="O246" s="16" t="n"/>
      <c r="P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K247" s="16" t="n"/>
      <c r="L247" s="16" t="n"/>
      <c r="M247" s="16" t="n"/>
      <c r="N247" s="16" t="n"/>
      <c r="O247" s="16" t="n"/>
      <c r="P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K248" s="16" t="n"/>
      <c r="L248" s="16" t="n"/>
      <c r="M248" s="16" t="n"/>
      <c r="N248" s="16" t="n"/>
      <c r="O248" s="16" t="n"/>
      <c r="P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K249" s="16" t="n"/>
      <c r="L249" s="16" t="n"/>
      <c r="M249" s="16" t="n"/>
      <c r="N249" s="16" t="n"/>
      <c r="O249" s="16" t="n"/>
      <c r="P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K250" s="16" t="n"/>
      <c r="L250" s="16" t="n"/>
      <c r="M250" s="16" t="n"/>
      <c r="N250" s="16" t="n"/>
      <c r="O250" s="16" t="n"/>
      <c r="P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K251" s="16" t="n"/>
      <c r="L251" s="16" t="n"/>
      <c r="M251" s="16" t="n"/>
      <c r="N251" s="16" t="n"/>
      <c r="O251" s="16" t="n"/>
      <c r="P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K252" s="16" t="n"/>
      <c r="L252" s="16" t="n"/>
      <c r="M252" s="16" t="n"/>
      <c r="N252" s="16" t="n"/>
      <c r="O252" s="16" t="n"/>
      <c r="P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K253" s="16" t="n"/>
      <c r="L253" s="16" t="n"/>
      <c r="M253" s="16" t="n"/>
      <c r="N253" s="16" t="n"/>
      <c r="O253" s="16" t="n"/>
      <c r="P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K254" s="16" t="n"/>
      <c r="L254" s="16" t="n"/>
      <c r="M254" s="16" t="n"/>
      <c r="N254" s="16" t="n"/>
      <c r="O254" s="16" t="n"/>
      <c r="P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K255" s="16" t="n"/>
      <c r="L255" s="16" t="n"/>
      <c r="M255" s="16" t="n"/>
      <c r="N255" s="16" t="n"/>
      <c r="O255" s="16" t="n"/>
      <c r="P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K256" s="16" t="n"/>
      <c r="L256" s="16" t="n"/>
      <c r="M256" s="16" t="n"/>
      <c r="N256" s="16" t="n"/>
      <c r="O256" s="16" t="n"/>
      <c r="P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K257" s="16" t="n"/>
      <c r="L257" s="16" t="n"/>
      <c r="M257" s="16" t="n"/>
      <c r="N257" s="16" t="n"/>
      <c r="O257" s="16" t="n"/>
      <c r="P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K258" s="16" t="n"/>
      <c r="L258" s="16" t="n"/>
      <c r="M258" s="16" t="n"/>
      <c r="N258" s="16" t="n"/>
      <c r="O258" s="16" t="n"/>
      <c r="P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K259" s="16" t="n"/>
      <c r="L259" s="16" t="n"/>
      <c r="M259" s="16" t="n"/>
      <c r="N259" s="16" t="n"/>
      <c r="O259" s="16" t="n"/>
      <c r="P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K260" s="16" t="n"/>
      <c r="L260" s="16" t="n"/>
      <c r="M260" s="16" t="n"/>
      <c r="N260" s="16" t="n"/>
      <c r="O260" s="16" t="n"/>
      <c r="P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K261" s="16" t="n"/>
      <c r="L261" s="16" t="n"/>
      <c r="M261" s="16" t="n"/>
      <c r="N261" s="16" t="n"/>
      <c r="O261" s="16" t="n"/>
      <c r="P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K262" s="16" t="n"/>
      <c r="L262" s="16" t="n"/>
      <c r="M262" s="16" t="n"/>
      <c r="N262" s="16" t="n"/>
      <c r="O262" s="16" t="n"/>
      <c r="P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K263" s="16" t="n"/>
      <c r="L263" s="16" t="n"/>
      <c r="M263" s="16" t="n"/>
      <c r="N263" s="16" t="n"/>
      <c r="O263" s="16" t="n"/>
      <c r="P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K264" s="16" t="n"/>
      <c r="L264" s="16" t="n"/>
      <c r="M264" s="16" t="n"/>
      <c r="N264" s="16" t="n"/>
      <c r="O264" s="16" t="n"/>
      <c r="P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K265" s="16" t="n"/>
      <c r="L265" s="16" t="n"/>
      <c r="M265" s="16" t="n"/>
      <c r="N265" s="16" t="n"/>
      <c r="O265" s="16" t="n"/>
      <c r="P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K266" s="16" t="n"/>
      <c r="L266" s="16" t="n"/>
      <c r="M266" s="16" t="n"/>
      <c r="N266" s="16" t="n"/>
      <c r="O266" s="16" t="n"/>
      <c r="P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K267" s="16" t="n"/>
      <c r="L267" s="16" t="n"/>
      <c r="M267" s="16" t="n"/>
      <c r="N267" s="16" t="n"/>
      <c r="O267" s="16" t="n"/>
      <c r="P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K268" s="16" t="n"/>
      <c r="L268" s="16" t="n"/>
      <c r="M268" s="16" t="n"/>
      <c r="N268" s="16" t="n"/>
      <c r="O268" s="16" t="n"/>
      <c r="P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K269" s="16" t="n"/>
      <c r="L269" s="16" t="n"/>
      <c r="M269" s="16" t="n"/>
      <c r="N269" s="16" t="n"/>
      <c r="O269" s="16" t="n"/>
      <c r="P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K270" s="16" t="n"/>
      <c r="L270" s="16" t="n"/>
      <c r="M270" s="16" t="n"/>
      <c r="N270" s="16" t="n"/>
      <c r="O270" s="16" t="n"/>
      <c r="P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K271" s="16" t="n"/>
      <c r="L271" s="16" t="n"/>
      <c r="M271" s="16" t="n"/>
      <c r="N271" s="16" t="n"/>
      <c r="O271" s="16" t="n"/>
      <c r="P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K272" s="16" t="n"/>
      <c r="L272" s="16" t="n"/>
      <c r="M272" s="16" t="n"/>
      <c r="N272" s="16" t="n"/>
      <c r="O272" s="16" t="n"/>
      <c r="P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K273" s="16" t="n"/>
      <c r="L273" s="16" t="n"/>
      <c r="M273" s="16" t="n"/>
      <c r="N273" s="16" t="n"/>
      <c r="O273" s="16" t="n"/>
      <c r="P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K274" s="16" t="n"/>
      <c r="L274" s="16" t="n"/>
      <c r="M274" s="16" t="n"/>
      <c r="N274" s="16" t="n"/>
      <c r="O274" s="16" t="n"/>
      <c r="P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K275" s="16" t="n"/>
      <c r="L275" s="16" t="n"/>
      <c r="M275" s="16" t="n"/>
      <c r="N275" s="16" t="n"/>
      <c r="O275" s="16" t="n"/>
      <c r="P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K276" s="16" t="n"/>
      <c r="L276" s="16" t="n"/>
      <c r="M276" s="16" t="n"/>
      <c r="N276" s="16" t="n"/>
      <c r="O276" s="16" t="n"/>
      <c r="P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K277" s="16" t="n"/>
      <c r="L277" s="16" t="n"/>
      <c r="M277" s="16" t="n"/>
      <c r="N277" s="16" t="n"/>
      <c r="O277" s="16" t="n"/>
      <c r="P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K278" s="16" t="n"/>
      <c r="L278" s="16" t="n"/>
      <c r="M278" s="16" t="n"/>
      <c r="N278" s="16" t="n"/>
      <c r="O278" s="16" t="n"/>
      <c r="P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K279" s="16" t="n"/>
      <c r="L279" s="16" t="n"/>
      <c r="M279" s="16" t="n"/>
      <c r="N279" s="16" t="n"/>
      <c r="O279" s="16" t="n"/>
      <c r="P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K280" s="16" t="n"/>
      <c r="L280" s="16" t="n"/>
      <c r="M280" s="16" t="n"/>
      <c r="N280" s="16" t="n"/>
      <c r="O280" s="16" t="n"/>
      <c r="P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K281" s="16" t="n"/>
      <c r="L281" s="16" t="n"/>
      <c r="M281" s="16" t="n"/>
      <c r="N281" s="16" t="n"/>
      <c r="O281" s="16" t="n"/>
      <c r="P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K282" s="16" t="n"/>
      <c r="L282" s="16" t="n"/>
      <c r="M282" s="16" t="n"/>
      <c r="N282" s="16" t="n"/>
      <c r="O282" s="16" t="n"/>
      <c r="P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K283" s="16" t="n"/>
      <c r="L283" s="16" t="n"/>
      <c r="M283" s="16" t="n"/>
      <c r="N283" s="16" t="n"/>
      <c r="O283" s="16" t="n"/>
      <c r="P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K284" s="16" t="n"/>
      <c r="L284" s="16" t="n"/>
      <c r="M284" s="16" t="n"/>
      <c r="N284" s="16" t="n"/>
      <c r="O284" s="16" t="n"/>
      <c r="P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K285" s="16" t="n"/>
      <c r="L285" s="16" t="n"/>
      <c r="M285" s="16" t="n"/>
      <c r="N285" s="16" t="n"/>
      <c r="O285" s="16" t="n"/>
      <c r="P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K286" s="16" t="n"/>
      <c r="L286" s="16" t="n"/>
      <c r="M286" s="16" t="n"/>
      <c r="N286" s="16" t="n"/>
      <c r="O286" s="16" t="n"/>
      <c r="P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K287" s="16" t="n"/>
      <c r="L287" s="16" t="n"/>
      <c r="M287" s="16" t="n"/>
      <c r="N287" s="16" t="n"/>
      <c r="O287" s="16" t="n"/>
      <c r="P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K288" s="16" t="n"/>
      <c r="L288" s="16" t="n"/>
      <c r="M288" s="16" t="n"/>
      <c r="N288" s="16" t="n"/>
      <c r="O288" s="16" t="n"/>
      <c r="P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K289" s="16" t="n"/>
      <c r="L289" s="16" t="n"/>
      <c r="M289" s="16" t="n"/>
      <c r="N289" s="16" t="n"/>
      <c r="O289" s="16" t="n"/>
      <c r="P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K290" s="16" t="n"/>
      <c r="L290" s="16" t="n"/>
      <c r="M290" s="16" t="n"/>
      <c r="N290" s="16" t="n"/>
      <c r="O290" s="16" t="n"/>
      <c r="P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K291" s="16" t="n"/>
      <c r="L291" s="16" t="n"/>
      <c r="M291" s="16" t="n"/>
      <c r="N291" s="16" t="n"/>
      <c r="O291" s="16" t="n"/>
      <c r="P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K292" s="16" t="n"/>
      <c r="L292" s="16" t="n"/>
      <c r="M292" s="16" t="n"/>
      <c r="N292" s="16" t="n"/>
      <c r="O292" s="16" t="n"/>
      <c r="P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K293" s="16" t="n"/>
      <c r="L293" s="16" t="n"/>
      <c r="M293" s="16" t="n"/>
      <c r="N293" s="16" t="n"/>
      <c r="O293" s="16" t="n"/>
      <c r="P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K294" s="16" t="n"/>
      <c r="L294" s="16" t="n"/>
      <c r="M294" s="16" t="n"/>
      <c r="N294" s="16" t="n"/>
      <c r="O294" s="16" t="n"/>
      <c r="P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K295" s="16" t="n"/>
      <c r="L295" s="16" t="n"/>
      <c r="M295" s="16" t="n"/>
      <c r="N295" s="16" t="n"/>
      <c r="O295" s="16" t="n"/>
      <c r="P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K296" s="16" t="n"/>
      <c r="L296" s="16" t="n"/>
      <c r="M296" s="16" t="n"/>
      <c r="N296" s="16" t="n"/>
      <c r="O296" s="16" t="n"/>
      <c r="P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K297" s="16" t="n"/>
      <c r="L297" s="16" t="n"/>
      <c r="M297" s="16" t="n"/>
      <c r="N297" s="16" t="n"/>
      <c r="O297" s="16" t="n"/>
      <c r="P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K298" s="16" t="n"/>
      <c r="L298" s="16" t="n"/>
      <c r="M298" s="16" t="n"/>
      <c r="N298" s="16" t="n"/>
      <c r="O298" s="16" t="n"/>
      <c r="P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K299" s="16" t="n"/>
      <c r="L299" s="16" t="n"/>
      <c r="M299" s="16" t="n"/>
      <c r="N299" s="16" t="n"/>
      <c r="O299" s="16" t="n"/>
      <c r="P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K300" s="16" t="n"/>
      <c r="L300" s="16" t="n"/>
      <c r="M300" s="16" t="n"/>
      <c r="N300" s="16" t="n"/>
      <c r="O300" s="16" t="n"/>
      <c r="P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K301" s="16" t="n"/>
      <c r="L301" s="16" t="n"/>
      <c r="M301" s="16" t="n"/>
      <c r="N301" s="16" t="n"/>
      <c r="O301" s="16" t="n"/>
      <c r="P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K302" s="16" t="n"/>
      <c r="L302" s="16" t="n"/>
      <c r="M302" s="16" t="n"/>
      <c r="N302" s="16" t="n"/>
      <c r="O302" s="16" t="n"/>
      <c r="P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K303" s="16" t="n"/>
      <c r="L303" s="16" t="n"/>
      <c r="M303" s="16" t="n"/>
      <c r="N303" s="16" t="n"/>
      <c r="O303" s="16" t="n"/>
      <c r="P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K304" s="16" t="n"/>
      <c r="L304" s="16" t="n"/>
      <c r="M304" s="16" t="n"/>
      <c r="N304" s="16" t="n"/>
      <c r="O304" s="16" t="n"/>
      <c r="P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K305" s="16" t="n"/>
      <c r="L305" s="16" t="n"/>
      <c r="M305" s="16" t="n"/>
      <c r="N305" s="16" t="n"/>
      <c r="O305" s="16" t="n"/>
      <c r="P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K306" s="16" t="n"/>
      <c r="L306" s="16" t="n"/>
      <c r="M306" s="16" t="n"/>
      <c r="N306" s="16" t="n"/>
      <c r="O306" s="16" t="n"/>
      <c r="P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K307" s="16" t="n"/>
      <c r="L307" s="16" t="n"/>
      <c r="M307" s="16" t="n"/>
      <c r="N307" s="16" t="n"/>
      <c r="O307" s="16" t="n"/>
      <c r="P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K308" s="16" t="n"/>
      <c r="L308" s="16" t="n"/>
      <c r="M308" s="16" t="n"/>
      <c r="N308" s="16" t="n"/>
      <c r="O308" s="16" t="n"/>
      <c r="P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K309" s="16" t="n"/>
      <c r="L309" s="16" t="n"/>
      <c r="M309" s="16" t="n"/>
      <c r="N309" s="16" t="n"/>
      <c r="O309" s="16" t="n"/>
      <c r="P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K310" s="16" t="n"/>
      <c r="L310" s="16" t="n"/>
      <c r="M310" s="16" t="n"/>
      <c r="N310" s="16" t="n"/>
      <c r="O310" s="16" t="n"/>
      <c r="P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K311" s="16" t="n"/>
      <c r="L311" s="16" t="n"/>
      <c r="M311" s="16" t="n"/>
      <c r="N311" s="16" t="n"/>
      <c r="O311" s="16" t="n"/>
      <c r="P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K312" s="16" t="n"/>
      <c r="L312" s="16" t="n"/>
      <c r="M312" s="16" t="n"/>
      <c r="N312" s="16" t="n"/>
      <c r="O312" s="16" t="n"/>
      <c r="P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K313" s="16" t="n"/>
      <c r="L313" s="16" t="n"/>
      <c r="M313" s="16" t="n"/>
      <c r="N313" s="16" t="n"/>
      <c r="O313" s="16" t="n"/>
      <c r="P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K314" s="16" t="n"/>
      <c r="L314" s="16" t="n"/>
      <c r="M314" s="16" t="n"/>
      <c r="N314" s="16" t="n"/>
      <c r="O314" s="16" t="n"/>
      <c r="P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K315" s="16" t="n"/>
      <c r="L315" s="16" t="n"/>
      <c r="M315" s="16" t="n"/>
      <c r="N315" s="16" t="n"/>
      <c r="O315" s="16" t="n"/>
      <c r="P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K316" s="16" t="n"/>
      <c r="L316" s="16" t="n"/>
      <c r="M316" s="16" t="n"/>
      <c r="N316" s="16" t="n"/>
      <c r="O316" s="16" t="n"/>
      <c r="P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K317" s="16" t="n"/>
      <c r="L317" s="16" t="n"/>
      <c r="M317" s="16" t="n"/>
      <c r="N317" s="16" t="n"/>
      <c r="O317" s="16" t="n"/>
      <c r="P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K318" s="16" t="n"/>
      <c r="L318" s="16" t="n"/>
      <c r="M318" s="16" t="n"/>
      <c r="N318" s="16" t="n"/>
      <c r="O318" s="16" t="n"/>
      <c r="P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K319" s="16" t="n"/>
      <c r="L319" s="16" t="n"/>
      <c r="M319" s="16" t="n"/>
      <c r="N319" s="16" t="n"/>
      <c r="O319" s="16" t="n"/>
      <c r="P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K320" s="16" t="n"/>
      <c r="L320" s="16" t="n"/>
      <c r="M320" s="16" t="n"/>
      <c r="N320" s="16" t="n"/>
      <c r="O320" s="16" t="n"/>
      <c r="P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K321" s="16" t="n"/>
      <c r="L321" s="16" t="n"/>
      <c r="M321" s="16" t="n"/>
      <c r="N321" s="16" t="n"/>
      <c r="O321" s="16" t="n"/>
      <c r="P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K322" s="16" t="n"/>
      <c r="L322" s="16" t="n"/>
      <c r="M322" s="16" t="n"/>
      <c r="N322" s="16" t="n"/>
      <c r="O322" s="16" t="n"/>
      <c r="P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K323" s="16" t="n"/>
      <c r="L323" s="16" t="n"/>
      <c r="M323" s="16" t="n"/>
      <c r="N323" s="16" t="n"/>
      <c r="O323" s="16" t="n"/>
      <c r="P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K324" s="16" t="n"/>
      <c r="L324" s="16" t="n"/>
      <c r="M324" s="16" t="n"/>
      <c r="N324" s="16" t="n"/>
      <c r="O324" s="16" t="n"/>
      <c r="P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K325" s="16" t="n"/>
      <c r="L325" s="16" t="n"/>
      <c r="M325" s="16" t="n"/>
      <c r="N325" s="16" t="n"/>
      <c r="O325" s="16" t="n"/>
      <c r="P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K326" s="16" t="n"/>
      <c r="L326" s="16" t="n"/>
      <c r="M326" s="16" t="n"/>
      <c r="N326" s="16" t="n"/>
      <c r="O326" s="16" t="n"/>
      <c r="P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K327" s="16" t="n"/>
      <c r="L327" s="16" t="n"/>
      <c r="M327" s="16" t="n"/>
      <c r="N327" s="16" t="n"/>
      <c r="O327" s="16" t="n"/>
      <c r="P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K328" s="16" t="n"/>
      <c r="L328" s="16" t="n"/>
      <c r="M328" s="16" t="n"/>
      <c r="N328" s="16" t="n"/>
      <c r="O328" s="16" t="n"/>
      <c r="P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K329" s="16" t="n"/>
      <c r="L329" s="16" t="n"/>
      <c r="M329" s="16" t="n"/>
      <c r="N329" s="16" t="n"/>
      <c r="O329" s="16" t="n"/>
      <c r="P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K330" s="16" t="n"/>
      <c r="L330" s="16" t="n"/>
      <c r="M330" s="16" t="n"/>
      <c r="N330" s="16" t="n"/>
      <c r="O330" s="16" t="n"/>
      <c r="P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K331" s="16" t="n"/>
      <c r="L331" s="16" t="n"/>
      <c r="M331" s="16" t="n"/>
      <c r="N331" s="16" t="n"/>
      <c r="O331" s="16" t="n"/>
      <c r="P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K332" s="16" t="n"/>
      <c r="L332" s="16" t="n"/>
      <c r="M332" s="16" t="n"/>
      <c r="N332" s="16" t="n"/>
      <c r="O332" s="16" t="n"/>
      <c r="P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K333" s="16" t="n"/>
      <c r="L333" s="16" t="n"/>
      <c r="M333" s="16" t="n"/>
      <c r="N333" s="16" t="n"/>
      <c r="O333" s="16" t="n"/>
      <c r="P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K334" s="16" t="n"/>
      <c r="L334" s="16" t="n"/>
      <c r="M334" s="16" t="n"/>
      <c r="N334" s="16" t="n"/>
      <c r="O334" s="16" t="n"/>
      <c r="P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K335" s="16" t="n"/>
      <c r="L335" s="16" t="n"/>
      <c r="M335" s="16" t="n"/>
      <c r="N335" s="16" t="n"/>
      <c r="O335" s="16" t="n"/>
      <c r="P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K336" s="16" t="n"/>
      <c r="L336" s="16" t="n"/>
      <c r="M336" s="16" t="n"/>
      <c r="N336" s="16" t="n"/>
      <c r="O336" s="16" t="n"/>
      <c r="P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K337" s="16" t="n"/>
      <c r="L337" s="16" t="n"/>
      <c r="M337" s="16" t="n"/>
      <c r="N337" s="16" t="n"/>
      <c r="O337" s="16" t="n"/>
      <c r="P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K338" s="16" t="n"/>
      <c r="L338" s="16" t="n"/>
      <c r="M338" s="16" t="n"/>
      <c r="N338" s="16" t="n"/>
      <c r="O338" s="16" t="n"/>
      <c r="P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K339" s="16" t="n"/>
      <c r="L339" s="16" t="n"/>
      <c r="M339" s="16" t="n"/>
      <c r="N339" s="16" t="n"/>
      <c r="O339" s="16" t="n"/>
      <c r="P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K340" s="16" t="n"/>
      <c r="L340" s="16" t="n"/>
      <c r="M340" s="16" t="n"/>
      <c r="N340" s="16" t="n"/>
      <c r="O340" s="16" t="n"/>
      <c r="P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K341" s="16" t="n"/>
      <c r="L341" s="16" t="n"/>
      <c r="M341" s="16" t="n"/>
      <c r="N341" s="16" t="n"/>
      <c r="O341" s="16" t="n"/>
      <c r="P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K342" s="16" t="n"/>
      <c r="L342" s="16" t="n"/>
      <c r="M342" s="16" t="n"/>
      <c r="N342" s="16" t="n"/>
      <c r="O342" s="16" t="n"/>
      <c r="P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K343" s="16" t="n"/>
      <c r="L343" s="16" t="n"/>
      <c r="M343" s="16" t="n"/>
      <c r="N343" s="16" t="n"/>
      <c r="O343" s="16" t="n"/>
      <c r="P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K344" s="16" t="n"/>
      <c r="L344" s="16" t="n"/>
      <c r="M344" s="16" t="n"/>
      <c r="N344" s="16" t="n"/>
      <c r="O344" s="16" t="n"/>
      <c r="P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K345" s="16" t="n"/>
      <c r="L345" s="16" t="n"/>
      <c r="M345" s="16" t="n"/>
      <c r="N345" s="16" t="n"/>
      <c r="O345" s="16" t="n"/>
      <c r="P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K346" s="16" t="n"/>
      <c r="L346" s="16" t="n"/>
      <c r="M346" s="16" t="n"/>
      <c r="N346" s="16" t="n"/>
      <c r="O346" s="16" t="n"/>
      <c r="P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K347" s="16" t="n"/>
      <c r="L347" s="16" t="n"/>
      <c r="M347" s="16" t="n"/>
      <c r="N347" s="16" t="n"/>
      <c r="O347" s="16" t="n"/>
      <c r="P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K348" s="16" t="n"/>
      <c r="L348" s="16" t="n"/>
      <c r="M348" s="16" t="n"/>
      <c r="N348" s="16" t="n"/>
      <c r="O348" s="16" t="n"/>
      <c r="P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K349" s="16" t="n"/>
      <c r="L349" s="16" t="n"/>
      <c r="M349" s="16" t="n"/>
      <c r="N349" s="16" t="n"/>
      <c r="O349" s="16" t="n"/>
      <c r="P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K350" s="16" t="n"/>
      <c r="L350" s="16" t="n"/>
      <c r="M350" s="16" t="n"/>
      <c r="N350" s="16" t="n"/>
      <c r="O350" s="16" t="n"/>
      <c r="P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K351" s="16" t="n"/>
      <c r="L351" s="16" t="n"/>
      <c r="M351" s="16" t="n"/>
      <c r="N351" s="16" t="n"/>
      <c r="O351" s="16" t="n"/>
      <c r="P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K352" s="16" t="n"/>
      <c r="L352" s="16" t="n"/>
      <c r="M352" s="16" t="n"/>
      <c r="N352" s="16" t="n"/>
      <c r="O352" s="16" t="n"/>
      <c r="P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K353" s="16" t="n"/>
      <c r="L353" s="16" t="n"/>
      <c r="M353" s="16" t="n"/>
      <c r="N353" s="16" t="n"/>
      <c r="O353" s="16" t="n"/>
      <c r="P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K354" s="16" t="n"/>
      <c r="L354" s="16" t="n"/>
      <c r="M354" s="16" t="n"/>
      <c r="N354" s="16" t="n"/>
      <c r="O354" s="16" t="n"/>
      <c r="P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K355" s="16" t="n"/>
      <c r="L355" s="16" t="n"/>
      <c r="M355" s="16" t="n"/>
      <c r="N355" s="16" t="n"/>
      <c r="O355" s="16" t="n"/>
      <c r="P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K356" s="16" t="n"/>
      <c r="L356" s="16" t="n"/>
      <c r="M356" s="16" t="n"/>
      <c r="N356" s="16" t="n"/>
      <c r="O356" s="16" t="n"/>
      <c r="P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K357" s="16" t="n"/>
      <c r="L357" s="16" t="n"/>
      <c r="M357" s="16" t="n"/>
      <c r="N357" s="16" t="n"/>
      <c r="O357" s="16" t="n"/>
      <c r="P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K358" s="16" t="n"/>
      <c r="L358" s="16" t="n"/>
      <c r="M358" s="16" t="n"/>
      <c r="N358" s="16" t="n"/>
      <c r="O358" s="16" t="n"/>
      <c r="P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K359" s="16" t="n"/>
      <c r="L359" s="16" t="n"/>
      <c r="M359" s="16" t="n"/>
      <c r="N359" s="16" t="n"/>
      <c r="O359" s="16" t="n"/>
      <c r="P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K360" s="16" t="n"/>
      <c r="L360" s="16" t="n"/>
      <c r="M360" s="16" t="n"/>
      <c r="N360" s="16" t="n"/>
      <c r="O360" s="16" t="n"/>
      <c r="P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K361" s="16" t="n"/>
      <c r="L361" s="16" t="n"/>
      <c r="M361" s="16" t="n"/>
      <c r="N361" s="16" t="n"/>
      <c r="O361" s="16" t="n"/>
      <c r="P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K362" s="16" t="n"/>
      <c r="L362" s="16" t="n"/>
      <c r="M362" s="16" t="n"/>
      <c r="N362" s="16" t="n"/>
      <c r="O362" s="16" t="n"/>
      <c r="P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K363" s="16" t="n"/>
      <c r="L363" s="16" t="n"/>
      <c r="M363" s="16" t="n"/>
      <c r="N363" s="16" t="n"/>
      <c r="O363" s="16" t="n"/>
      <c r="P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K364" s="16" t="n"/>
      <c r="L364" s="16" t="n"/>
      <c r="M364" s="16" t="n"/>
      <c r="N364" s="16" t="n"/>
      <c r="O364" s="16" t="n"/>
      <c r="P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K365" s="16" t="n"/>
      <c r="L365" s="16" t="n"/>
      <c r="M365" s="16" t="n"/>
      <c r="N365" s="16" t="n"/>
      <c r="O365" s="16" t="n"/>
      <c r="P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K366" s="16" t="n"/>
      <c r="L366" s="16" t="n"/>
      <c r="M366" s="16" t="n"/>
      <c r="N366" s="16" t="n"/>
      <c r="O366" s="16" t="n"/>
      <c r="P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K367" s="16" t="n"/>
      <c r="L367" s="16" t="n"/>
      <c r="M367" s="16" t="n"/>
      <c r="N367" s="16" t="n"/>
      <c r="O367" s="16" t="n"/>
      <c r="P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K368" s="16" t="n"/>
      <c r="L368" s="16" t="n"/>
      <c r="M368" s="16" t="n"/>
      <c r="N368" s="16" t="n"/>
      <c r="O368" s="16" t="n"/>
      <c r="P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K369" s="16" t="n"/>
      <c r="L369" s="16" t="n"/>
      <c r="M369" s="16" t="n"/>
      <c r="N369" s="16" t="n"/>
      <c r="O369" s="16" t="n"/>
      <c r="P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K370" s="16" t="n"/>
      <c r="L370" s="16" t="n"/>
      <c r="M370" s="16" t="n"/>
      <c r="N370" s="16" t="n"/>
      <c r="O370" s="16" t="n"/>
      <c r="P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K371" s="16" t="n"/>
      <c r="L371" s="16" t="n"/>
      <c r="M371" s="16" t="n"/>
      <c r="N371" s="16" t="n"/>
      <c r="O371" s="16" t="n"/>
      <c r="P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K372" s="16" t="n"/>
      <c r="L372" s="16" t="n"/>
      <c r="M372" s="16" t="n"/>
      <c r="N372" s="16" t="n"/>
      <c r="O372" s="16" t="n"/>
      <c r="P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K373" s="16" t="n"/>
      <c r="L373" s="16" t="n"/>
      <c r="M373" s="16" t="n"/>
      <c r="N373" s="16" t="n"/>
      <c r="O373" s="16" t="n"/>
      <c r="P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K374" s="16" t="n"/>
      <c r="L374" s="16" t="n"/>
      <c r="M374" s="16" t="n"/>
      <c r="N374" s="16" t="n"/>
      <c r="O374" s="16" t="n"/>
      <c r="P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K375" s="16" t="n"/>
      <c r="L375" s="16" t="n"/>
      <c r="M375" s="16" t="n"/>
      <c r="N375" s="16" t="n"/>
      <c r="O375" s="16" t="n"/>
      <c r="P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K376" s="16" t="n"/>
      <c r="L376" s="16" t="n"/>
      <c r="M376" s="16" t="n"/>
      <c r="N376" s="16" t="n"/>
      <c r="O376" s="16" t="n"/>
      <c r="P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K377" s="16" t="n"/>
      <c r="L377" s="16" t="n"/>
      <c r="M377" s="16" t="n"/>
      <c r="N377" s="16" t="n"/>
      <c r="O377" s="16" t="n"/>
      <c r="P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K378" s="16" t="n"/>
      <c r="L378" s="16" t="n"/>
      <c r="M378" s="16" t="n"/>
      <c r="N378" s="16" t="n"/>
      <c r="O378" s="16" t="n"/>
      <c r="P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K379" s="16" t="n"/>
      <c r="L379" s="16" t="n"/>
      <c r="M379" s="16" t="n"/>
      <c r="N379" s="16" t="n"/>
      <c r="O379" s="16" t="n"/>
      <c r="P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K380" s="16" t="n"/>
      <c r="L380" s="16" t="n"/>
      <c r="M380" s="16" t="n"/>
      <c r="N380" s="16" t="n"/>
      <c r="O380" s="16" t="n"/>
      <c r="P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K381" s="16" t="n"/>
      <c r="L381" s="16" t="n"/>
      <c r="M381" s="16" t="n"/>
      <c r="N381" s="16" t="n"/>
      <c r="O381" s="16" t="n"/>
      <c r="P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K382" s="16" t="n"/>
      <c r="L382" s="16" t="n"/>
      <c r="M382" s="16" t="n"/>
      <c r="N382" s="16" t="n"/>
      <c r="O382" s="16" t="n"/>
      <c r="P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K383" s="16" t="n"/>
      <c r="L383" s="16" t="n"/>
      <c r="M383" s="16" t="n"/>
      <c r="N383" s="16" t="n"/>
      <c r="O383" s="16" t="n"/>
      <c r="P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K384" s="16" t="n"/>
      <c r="L384" s="16" t="n"/>
      <c r="M384" s="16" t="n"/>
      <c r="N384" s="16" t="n"/>
      <c r="O384" s="16" t="n"/>
      <c r="P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K385" s="16" t="n"/>
      <c r="L385" s="16" t="n"/>
      <c r="M385" s="16" t="n"/>
      <c r="N385" s="16" t="n"/>
      <c r="O385" s="16" t="n"/>
      <c r="P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K386" s="16" t="n"/>
      <c r="L386" s="16" t="n"/>
      <c r="M386" s="16" t="n"/>
      <c r="N386" s="16" t="n"/>
      <c r="O386" s="16" t="n"/>
      <c r="P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K387" s="16" t="n"/>
      <c r="L387" s="16" t="n"/>
      <c r="M387" s="16" t="n"/>
      <c r="N387" s="16" t="n"/>
      <c r="O387" s="16" t="n"/>
      <c r="P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K388" s="16" t="n"/>
      <c r="L388" s="16" t="n"/>
      <c r="M388" s="16" t="n"/>
      <c r="N388" s="16" t="n"/>
      <c r="O388" s="16" t="n"/>
      <c r="P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K389" s="16" t="n"/>
      <c r="L389" s="16" t="n"/>
      <c r="M389" s="16" t="n"/>
      <c r="N389" s="16" t="n"/>
      <c r="O389" s="16" t="n"/>
      <c r="P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K390" s="16" t="n"/>
      <c r="L390" s="16" t="n"/>
      <c r="M390" s="16" t="n"/>
      <c r="N390" s="16" t="n"/>
      <c r="O390" s="16" t="n"/>
      <c r="P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K391" s="16" t="n"/>
      <c r="L391" s="16" t="n"/>
      <c r="M391" s="16" t="n"/>
      <c r="N391" s="16" t="n"/>
      <c r="O391" s="16" t="n"/>
      <c r="P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K392" s="16" t="n"/>
      <c r="L392" s="16" t="n"/>
      <c r="M392" s="16" t="n"/>
      <c r="N392" s="16" t="n"/>
      <c r="O392" s="16" t="n"/>
      <c r="P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K393" s="16" t="n"/>
      <c r="L393" s="16" t="n"/>
      <c r="M393" s="16" t="n"/>
      <c r="N393" s="16" t="n"/>
      <c r="O393" s="16" t="n"/>
      <c r="P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K394" s="16" t="n"/>
      <c r="L394" s="16" t="n"/>
      <c r="M394" s="16" t="n"/>
      <c r="N394" s="16" t="n"/>
      <c r="O394" s="16" t="n"/>
      <c r="P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K395" s="16" t="n"/>
      <c r="L395" s="16" t="n"/>
      <c r="M395" s="16" t="n"/>
      <c r="N395" s="16" t="n"/>
      <c r="O395" s="16" t="n"/>
      <c r="P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K396" s="16" t="n"/>
      <c r="L396" s="16" t="n"/>
      <c r="M396" s="16" t="n"/>
      <c r="N396" s="16" t="n"/>
      <c r="O396" s="16" t="n"/>
      <c r="P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K397" s="16" t="n"/>
      <c r="L397" s="16" t="n"/>
      <c r="M397" s="16" t="n"/>
      <c r="N397" s="16" t="n"/>
      <c r="O397" s="16" t="n"/>
      <c r="P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K398" s="16" t="n"/>
      <c r="L398" s="16" t="n"/>
      <c r="M398" s="16" t="n"/>
      <c r="N398" s="16" t="n"/>
      <c r="O398" s="16" t="n"/>
      <c r="P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K399" s="16" t="n"/>
      <c r="L399" s="16" t="n"/>
      <c r="M399" s="16" t="n"/>
      <c r="N399" s="16" t="n"/>
      <c r="O399" s="16" t="n"/>
      <c r="P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K400" s="16" t="n"/>
      <c r="L400" s="16" t="n"/>
      <c r="M400" s="16" t="n"/>
      <c r="N400" s="16" t="n"/>
      <c r="O400" s="16" t="n"/>
      <c r="P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K401" s="16" t="n"/>
      <c r="L401" s="16" t="n"/>
      <c r="M401" s="16" t="n"/>
      <c r="N401" s="16" t="n"/>
      <c r="O401" s="16" t="n"/>
      <c r="P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K402" s="16" t="n"/>
      <c r="L402" s="16" t="n"/>
      <c r="M402" s="16" t="n"/>
      <c r="N402" s="16" t="n"/>
      <c r="O402" s="16" t="n"/>
      <c r="P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K403" s="16" t="n"/>
      <c r="L403" s="16" t="n"/>
      <c r="M403" s="16" t="n"/>
      <c r="N403" s="16" t="n"/>
      <c r="O403" s="16" t="n"/>
      <c r="P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K404" s="16" t="n"/>
      <c r="L404" s="16" t="n"/>
      <c r="M404" s="16" t="n"/>
      <c r="N404" s="16" t="n"/>
      <c r="O404" s="16" t="n"/>
      <c r="P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K405" s="16" t="n"/>
      <c r="L405" s="16" t="n"/>
      <c r="M405" s="16" t="n"/>
      <c r="N405" s="16" t="n"/>
      <c r="O405" s="16" t="n"/>
      <c r="P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K406" s="16" t="n"/>
      <c r="L406" s="16" t="n"/>
      <c r="M406" s="16" t="n"/>
      <c r="N406" s="16" t="n"/>
      <c r="O406" s="16" t="n"/>
      <c r="P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K407" s="16" t="n"/>
      <c r="L407" s="16" t="n"/>
      <c r="M407" s="16" t="n"/>
      <c r="N407" s="16" t="n"/>
      <c r="O407" s="16" t="n"/>
      <c r="P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K408" s="16" t="n"/>
      <c r="L408" s="16" t="n"/>
      <c r="M408" s="16" t="n"/>
      <c r="N408" s="16" t="n"/>
      <c r="O408" s="16" t="n"/>
      <c r="P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K409" s="16" t="n"/>
      <c r="L409" s="16" t="n"/>
      <c r="M409" s="16" t="n"/>
      <c r="N409" s="16" t="n"/>
      <c r="O409" s="16" t="n"/>
      <c r="P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K410" s="16" t="n"/>
      <c r="L410" s="16" t="n"/>
      <c r="M410" s="16" t="n"/>
      <c r="N410" s="16" t="n"/>
      <c r="O410" s="16" t="n"/>
      <c r="P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K411" s="16" t="n"/>
      <c r="L411" s="16" t="n"/>
      <c r="M411" s="16" t="n"/>
      <c r="N411" s="16" t="n"/>
      <c r="O411" s="16" t="n"/>
      <c r="P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K412" s="16" t="n"/>
      <c r="L412" s="16" t="n"/>
      <c r="M412" s="16" t="n"/>
      <c r="N412" s="16" t="n"/>
      <c r="O412" s="16" t="n"/>
      <c r="P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K413" s="16" t="n"/>
      <c r="L413" s="16" t="n"/>
      <c r="M413" s="16" t="n"/>
      <c r="N413" s="16" t="n"/>
      <c r="O413" s="16" t="n"/>
      <c r="P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K414" s="16" t="n"/>
      <c r="L414" s="16" t="n"/>
      <c r="M414" s="16" t="n"/>
      <c r="N414" s="16" t="n"/>
      <c r="O414" s="16" t="n"/>
      <c r="P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K415" s="16" t="n"/>
      <c r="L415" s="16" t="n"/>
      <c r="M415" s="16" t="n"/>
      <c r="N415" s="16" t="n"/>
      <c r="O415" s="16" t="n"/>
      <c r="P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K416" s="16" t="n"/>
      <c r="L416" s="16" t="n"/>
      <c r="M416" s="16" t="n"/>
      <c r="N416" s="16" t="n"/>
      <c r="O416" s="16" t="n"/>
      <c r="P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K417" s="16" t="n"/>
      <c r="L417" s="16" t="n"/>
      <c r="M417" s="16" t="n"/>
      <c r="N417" s="16" t="n"/>
      <c r="O417" s="16" t="n"/>
      <c r="P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K418" s="16" t="n"/>
      <c r="L418" s="16" t="n"/>
      <c r="M418" s="16" t="n"/>
      <c r="N418" s="16" t="n"/>
      <c r="O418" s="16" t="n"/>
      <c r="P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K419" s="16" t="n"/>
      <c r="L419" s="16" t="n"/>
      <c r="M419" s="16" t="n"/>
      <c r="N419" s="16" t="n"/>
      <c r="O419" s="16" t="n"/>
      <c r="P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K420" s="16" t="n"/>
      <c r="L420" s="16" t="n"/>
      <c r="M420" s="16" t="n"/>
      <c r="N420" s="16" t="n"/>
      <c r="O420" s="16" t="n"/>
      <c r="P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K421" s="16" t="n"/>
      <c r="L421" s="16" t="n"/>
      <c r="M421" s="16" t="n"/>
      <c r="N421" s="16" t="n"/>
      <c r="O421" s="16" t="n"/>
      <c r="P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K422" s="16" t="n"/>
      <c r="L422" s="16" t="n"/>
      <c r="M422" s="16" t="n"/>
      <c r="N422" s="16" t="n"/>
      <c r="O422" s="16" t="n"/>
      <c r="P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K423" s="16" t="n"/>
      <c r="L423" s="16" t="n"/>
      <c r="M423" s="16" t="n"/>
      <c r="N423" s="16" t="n"/>
      <c r="O423" s="16" t="n"/>
      <c r="P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K424" s="16" t="n"/>
      <c r="L424" s="16" t="n"/>
      <c r="M424" s="16" t="n"/>
      <c r="N424" s="16" t="n"/>
      <c r="O424" s="16" t="n"/>
      <c r="P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K425" s="16" t="n"/>
      <c r="L425" s="16" t="n"/>
      <c r="M425" s="16" t="n"/>
      <c r="N425" s="16" t="n"/>
      <c r="O425" s="16" t="n"/>
      <c r="P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K426" s="16" t="n"/>
      <c r="L426" s="16" t="n"/>
      <c r="M426" s="16" t="n"/>
      <c r="N426" s="16" t="n"/>
      <c r="O426" s="16" t="n"/>
      <c r="P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K427" s="16" t="n"/>
      <c r="L427" s="16" t="n"/>
      <c r="M427" s="16" t="n"/>
      <c r="N427" s="16" t="n"/>
      <c r="O427" s="16" t="n"/>
      <c r="P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K428" s="16" t="n"/>
      <c r="L428" s="16" t="n"/>
      <c r="M428" s="16" t="n"/>
      <c r="N428" s="16" t="n"/>
      <c r="O428" s="16" t="n"/>
      <c r="P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K429" s="16" t="n"/>
      <c r="L429" s="16" t="n"/>
      <c r="M429" s="16" t="n"/>
      <c r="N429" s="16" t="n"/>
      <c r="O429" s="16" t="n"/>
      <c r="P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K430" s="16" t="n"/>
      <c r="L430" s="16" t="n"/>
      <c r="M430" s="16" t="n"/>
      <c r="N430" s="16" t="n"/>
      <c r="O430" s="16" t="n"/>
      <c r="P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K431" s="16" t="n"/>
      <c r="L431" s="16" t="n"/>
      <c r="M431" s="16" t="n"/>
      <c r="N431" s="16" t="n"/>
      <c r="O431" s="16" t="n"/>
      <c r="P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K432" s="16" t="n"/>
      <c r="L432" s="16" t="n"/>
      <c r="M432" s="16" t="n"/>
      <c r="N432" s="16" t="n"/>
      <c r="O432" s="16" t="n"/>
      <c r="P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K433" s="16" t="n"/>
      <c r="L433" s="16" t="n"/>
      <c r="M433" s="16" t="n"/>
      <c r="N433" s="16" t="n"/>
      <c r="O433" s="16" t="n"/>
      <c r="P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K434" s="16" t="n"/>
      <c r="L434" s="16" t="n"/>
      <c r="M434" s="16" t="n"/>
      <c r="N434" s="16" t="n"/>
      <c r="O434" s="16" t="n"/>
      <c r="P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K435" s="16" t="n"/>
      <c r="L435" s="16" t="n"/>
      <c r="M435" s="16" t="n"/>
      <c r="N435" s="16" t="n"/>
      <c r="O435" s="16" t="n"/>
      <c r="P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K436" s="16" t="n"/>
      <c r="L436" s="16" t="n"/>
      <c r="M436" s="16" t="n"/>
      <c r="N436" s="16" t="n"/>
      <c r="O436" s="16" t="n"/>
      <c r="P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K437" s="16" t="n"/>
      <c r="L437" s="16" t="n"/>
      <c r="M437" s="16" t="n"/>
      <c r="N437" s="16" t="n"/>
      <c r="O437" s="16" t="n"/>
      <c r="P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K438" s="16" t="n"/>
      <c r="L438" s="16" t="n"/>
      <c r="M438" s="16" t="n"/>
      <c r="N438" s="16" t="n"/>
      <c r="O438" s="16" t="n"/>
      <c r="P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K439" s="16" t="n"/>
      <c r="L439" s="16" t="n"/>
      <c r="M439" s="16" t="n"/>
      <c r="N439" s="16" t="n"/>
      <c r="O439" s="16" t="n"/>
      <c r="P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K440" s="16" t="n"/>
      <c r="L440" s="16" t="n"/>
      <c r="M440" s="16" t="n"/>
      <c r="N440" s="16" t="n"/>
      <c r="O440" s="16" t="n"/>
      <c r="P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K441" s="16" t="n"/>
      <c r="L441" s="16" t="n"/>
      <c r="M441" s="16" t="n"/>
      <c r="N441" s="16" t="n"/>
      <c r="O441" s="16" t="n"/>
      <c r="P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K442" s="16" t="n"/>
      <c r="L442" s="16" t="n"/>
      <c r="M442" s="16" t="n"/>
      <c r="N442" s="16" t="n"/>
      <c r="O442" s="16" t="n"/>
      <c r="P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K443" s="16" t="n"/>
      <c r="L443" s="16" t="n"/>
      <c r="M443" s="16" t="n"/>
      <c r="N443" s="16" t="n"/>
      <c r="O443" s="16" t="n"/>
      <c r="P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K444" s="16" t="n"/>
      <c r="L444" s="16" t="n"/>
      <c r="M444" s="16" t="n"/>
      <c r="N444" s="16" t="n"/>
      <c r="O444" s="16" t="n"/>
      <c r="P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K445" s="16" t="n"/>
      <c r="L445" s="16" t="n"/>
      <c r="M445" s="16" t="n"/>
      <c r="N445" s="16" t="n"/>
      <c r="O445" s="16" t="n"/>
      <c r="P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K446" s="16" t="n"/>
      <c r="L446" s="16" t="n"/>
      <c r="M446" s="16" t="n"/>
      <c r="N446" s="16" t="n"/>
      <c r="O446" s="16" t="n"/>
      <c r="P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K447" s="16" t="n"/>
      <c r="L447" s="16" t="n"/>
      <c r="M447" s="16" t="n"/>
      <c r="N447" s="16" t="n"/>
      <c r="O447" s="16" t="n"/>
      <c r="P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K448" s="16" t="n"/>
      <c r="L448" s="16" t="n"/>
      <c r="M448" s="16" t="n"/>
      <c r="N448" s="16" t="n"/>
      <c r="O448" s="16" t="n"/>
      <c r="P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K449" s="16" t="n"/>
      <c r="L449" s="16" t="n"/>
      <c r="M449" s="16" t="n"/>
      <c r="N449" s="16" t="n"/>
      <c r="O449" s="16" t="n"/>
      <c r="P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K450" s="16" t="n"/>
      <c r="L450" s="16" t="n"/>
      <c r="M450" s="16" t="n"/>
      <c r="N450" s="16" t="n"/>
      <c r="O450" s="16" t="n"/>
      <c r="P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K451" s="16" t="n"/>
      <c r="L451" s="16" t="n"/>
      <c r="M451" s="16" t="n"/>
      <c r="N451" s="16" t="n"/>
      <c r="O451" s="16" t="n"/>
      <c r="P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K452" s="16" t="n"/>
      <c r="L452" s="16" t="n"/>
      <c r="M452" s="16" t="n"/>
      <c r="N452" s="16" t="n"/>
      <c r="O452" s="16" t="n"/>
      <c r="P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K453" s="16" t="n"/>
      <c r="L453" s="16" t="n"/>
      <c r="M453" s="16" t="n"/>
      <c r="N453" s="16" t="n"/>
      <c r="O453" s="16" t="n"/>
      <c r="P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K454" s="16" t="n"/>
      <c r="L454" s="16" t="n"/>
      <c r="M454" s="16" t="n"/>
      <c r="N454" s="16" t="n"/>
      <c r="O454" s="16" t="n"/>
      <c r="P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K455" s="16" t="n"/>
      <c r="L455" s="16" t="n"/>
      <c r="M455" s="16" t="n"/>
      <c r="N455" s="16" t="n"/>
      <c r="O455" s="16" t="n"/>
      <c r="P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K456" s="16" t="n"/>
      <c r="L456" s="16" t="n"/>
      <c r="M456" s="16" t="n"/>
      <c r="N456" s="16" t="n"/>
      <c r="O456" s="16" t="n"/>
      <c r="P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K457" s="16" t="n"/>
      <c r="L457" s="16" t="n"/>
      <c r="M457" s="16" t="n"/>
      <c r="N457" s="16" t="n"/>
      <c r="O457" s="16" t="n"/>
      <c r="P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K458" s="16" t="n"/>
      <c r="L458" s="16" t="n"/>
      <c r="M458" s="16" t="n"/>
      <c r="N458" s="16" t="n"/>
      <c r="O458" s="16" t="n"/>
      <c r="P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K459" s="16" t="n"/>
      <c r="L459" s="16" t="n"/>
      <c r="M459" s="16" t="n"/>
      <c r="N459" s="16" t="n"/>
      <c r="O459" s="16" t="n"/>
      <c r="P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K460" s="16" t="n"/>
      <c r="L460" s="16" t="n"/>
      <c r="M460" s="16" t="n"/>
      <c r="N460" s="16" t="n"/>
      <c r="O460" s="16" t="n"/>
      <c r="P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K461" s="16" t="n"/>
      <c r="L461" s="16" t="n"/>
      <c r="M461" s="16" t="n"/>
      <c r="N461" s="16" t="n"/>
      <c r="O461" s="16" t="n"/>
      <c r="P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K462" s="16" t="n"/>
      <c r="L462" s="16" t="n"/>
      <c r="M462" s="16" t="n"/>
      <c r="N462" s="16" t="n"/>
      <c r="O462" s="16" t="n"/>
      <c r="P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K463" s="16" t="n"/>
      <c r="L463" s="16" t="n"/>
      <c r="M463" s="16" t="n"/>
      <c r="N463" s="16" t="n"/>
      <c r="O463" s="16" t="n"/>
      <c r="P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K464" s="16" t="n"/>
      <c r="L464" s="16" t="n"/>
      <c r="M464" s="16" t="n"/>
      <c r="N464" s="16" t="n"/>
      <c r="O464" s="16" t="n"/>
      <c r="P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K465" s="16" t="n"/>
      <c r="L465" s="16" t="n"/>
      <c r="M465" s="16" t="n"/>
      <c r="N465" s="16" t="n"/>
      <c r="O465" s="16" t="n"/>
      <c r="P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K466" s="16" t="n"/>
      <c r="L466" s="16" t="n"/>
      <c r="M466" s="16" t="n"/>
      <c r="N466" s="16" t="n"/>
      <c r="O466" s="16" t="n"/>
      <c r="P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K467" s="16" t="n"/>
      <c r="L467" s="16" t="n"/>
      <c r="M467" s="16" t="n"/>
      <c r="N467" s="16" t="n"/>
      <c r="O467" s="16" t="n"/>
      <c r="P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K468" s="16" t="n"/>
      <c r="L468" s="16" t="n"/>
      <c r="M468" s="16" t="n"/>
      <c r="N468" s="16" t="n"/>
      <c r="O468" s="16" t="n"/>
      <c r="P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K469" s="16" t="n"/>
      <c r="L469" s="16" t="n"/>
      <c r="M469" s="16" t="n"/>
      <c r="N469" s="16" t="n"/>
      <c r="O469" s="16" t="n"/>
      <c r="P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K470" s="16" t="n"/>
      <c r="L470" s="16" t="n"/>
      <c r="M470" s="16" t="n"/>
      <c r="N470" s="16" t="n"/>
      <c r="O470" s="16" t="n"/>
      <c r="P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K471" s="16" t="n"/>
      <c r="L471" s="16" t="n"/>
      <c r="M471" s="16" t="n"/>
      <c r="N471" s="16" t="n"/>
      <c r="O471" s="16" t="n"/>
      <c r="P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K472" s="16" t="n"/>
      <c r="L472" s="16" t="n"/>
      <c r="M472" s="16" t="n"/>
      <c r="N472" s="16" t="n"/>
      <c r="O472" s="16" t="n"/>
      <c r="P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K473" s="16" t="n"/>
      <c r="L473" s="16" t="n"/>
      <c r="M473" s="16" t="n"/>
      <c r="N473" s="16" t="n"/>
      <c r="O473" s="16" t="n"/>
      <c r="P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K474" s="16" t="n"/>
      <c r="L474" s="16" t="n"/>
      <c r="M474" s="16" t="n"/>
      <c r="N474" s="16" t="n"/>
      <c r="O474" s="16" t="n"/>
      <c r="P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K475" s="16" t="n"/>
      <c r="L475" s="16" t="n"/>
      <c r="M475" s="16" t="n"/>
      <c r="N475" s="16" t="n"/>
      <c r="O475" s="16" t="n"/>
      <c r="P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K476" s="16" t="n"/>
      <c r="L476" s="16" t="n"/>
      <c r="M476" s="16" t="n"/>
      <c r="N476" s="16" t="n"/>
      <c r="O476" s="16" t="n"/>
      <c r="P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K477" s="16" t="n"/>
      <c r="L477" s="16" t="n"/>
      <c r="M477" s="16" t="n"/>
      <c r="N477" s="16" t="n"/>
      <c r="O477" s="16" t="n"/>
      <c r="P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K478" s="16" t="n"/>
      <c r="L478" s="16" t="n"/>
      <c r="M478" s="16" t="n"/>
      <c r="N478" s="16" t="n"/>
      <c r="O478" s="16" t="n"/>
      <c r="P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K479" s="16" t="n"/>
      <c r="L479" s="16" t="n"/>
      <c r="M479" s="16" t="n"/>
      <c r="N479" s="16" t="n"/>
      <c r="O479" s="16" t="n"/>
      <c r="P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K480" s="16" t="n"/>
      <c r="L480" s="16" t="n"/>
      <c r="M480" s="16" t="n"/>
      <c r="N480" s="16" t="n"/>
      <c r="O480" s="16" t="n"/>
      <c r="P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K481" s="16" t="n"/>
      <c r="L481" s="16" t="n"/>
      <c r="M481" s="16" t="n"/>
      <c r="N481" s="16" t="n"/>
      <c r="O481" s="16" t="n"/>
      <c r="P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K482" s="16" t="n"/>
      <c r="L482" s="16" t="n"/>
      <c r="M482" s="16" t="n"/>
      <c r="N482" s="16" t="n"/>
      <c r="O482" s="16" t="n"/>
      <c r="P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K483" s="16" t="n"/>
      <c r="L483" s="16" t="n"/>
      <c r="M483" s="16" t="n"/>
      <c r="N483" s="16" t="n"/>
      <c r="O483" s="16" t="n"/>
      <c r="P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K484" s="16" t="n"/>
      <c r="L484" s="16" t="n"/>
      <c r="M484" s="16" t="n"/>
      <c r="N484" s="16" t="n"/>
      <c r="O484" s="16" t="n"/>
      <c r="P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K485" s="16" t="n"/>
      <c r="L485" s="16" t="n"/>
      <c r="M485" s="16" t="n"/>
      <c r="N485" s="16" t="n"/>
      <c r="O485" s="16" t="n"/>
      <c r="P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K486" s="16" t="n"/>
      <c r="L486" s="16" t="n"/>
      <c r="M486" s="16" t="n"/>
      <c r="N486" s="16" t="n"/>
      <c r="O486" s="16" t="n"/>
      <c r="P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K487" s="16" t="n"/>
      <c r="L487" s="16" t="n"/>
      <c r="M487" s="16" t="n"/>
      <c r="N487" s="16" t="n"/>
      <c r="O487" s="16" t="n"/>
      <c r="P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K488" s="16" t="n"/>
      <c r="L488" s="16" t="n"/>
      <c r="M488" s="16" t="n"/>
      <c r="N488" s="16" t="n"/>
      <c r="O488" s="16" t="n"/>
      <c r="P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K489" s="16" t="n"/>
      <c r="L489" s="16" t="n"/>
      <c r="M489" s="16" t="n"/>
      <c r="N489" s="16" t="n"/>
      <c r="O489" s="16" t="n"/>
      <c r="P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K490" s="16" t="n"/>
      <c r="L490" s="16" t="n"/>
      <c r="M490" s="16" t="n"/>
      <c r="N490" s="16" t="n"/>
      <c r="O490" s="16" t="n"/>
      <c r="P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K491" s="16" t="n"/>
      <c r="L491" s="16" t="n"/>
      <c r="M491" s="16" t="n"/>
      <c r="N491" s="16" t="n"/>
      <c r="O491" s="16" t="n"/>
      <c r="P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K492" s="16" t="n"/>
      <c r="L492" s="16" t="n"/>
      <c r="M492" s="16" t="n"/>
      <c r="N492" s="16" t="n"/>
      <c r="O492" s="16" t="n"/>
      <c r="P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K493" s="16" t="n"/>
      <c r="L493" s="16" t="n"/>
      <c r="M493" s="16" t="n"/>
      <c r="N493" s="16" t="n"/>
      <c r="O493" s="16" t="n"/>
      <c r="P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K494" s="16" t="n"/>
      <c r="L494" s="16" t="n"/>
      <c r="M494" s="16" t="n"/>
      <c r="N494" s="16" t="n"/>
      <c r="O494" s="16" t="n"/>
      <c r="P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K495" s="16" t="n"/>
      <c r="L495" s="16" t="n"/>
      <c r="M495" s="16" t="n"/>
      <c r="N495" s="16" t="n"/>
      <c r="O495" s="16" t="n"/>
      <c r="P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K496" s="16" t="n"/>
      <c r="L496" s="16" t="n"/>
      <c r="M496" s="16" t="n"/>
      <c r="N496" s="16" t="n"/>
      <c r="O496" s="16" t="n"/>
      <c r="P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K497" s="16" t="n"/>
      <c r="L497" s="16" t="n"/>
      <c r="M497" s="16" t="n"/>
      <c r="N497" s="16" t="n"/>
      <c r="O497" s="16" t="n"/>
      <c r="P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K498" s="16" t="n"/>
      <c r="L498" s="16" t="n"/>
      <c r="M498" s="16" t="n"/>
      <c r="N498" s="16" t="n"/>
      <c r="O498" s="16" t="n"/>
      <c r="P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K499" s="16" t="n"/>
      <c r="L499" s="16" t="n"/>
      <c r="M499" s="16" t="n"/>
      <c r="N499" s="16" t="n"/>
      <c r="O499" s="16" t="n"/>
      <c r="P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K500" s="16" t="n"/>
      <c r="L500" s="16" t="n"/>
      <c r="M500" s="16" t="n"/>
      <c r="N500" s="16" t="n"/>
      <c r="O500" s="16" t="n"/>
      <c r="P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K501" s="16" t="n"/>
      <c r="L501" s="16" t="n"/>
      <c r="M501" s="16" t="n"/>
      <c r="N501" s="16" t="n"/>
      <c r="O501" s="16" t="n"/>
      <c r="P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K502" s="16" t="n"/>
      <c r="L502" s="16" t="n"/>
      <c r="M502" s="16" t="n"/>
      <c r="N502" s="16" t="n"/>
      <c r="O502" s="16" t="n"/>
      <c r="P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K503" s="16" t="n"/>
      <c r="L503" s="16" t="n"/>
      <c r="M503" s="16" t="n"/>
      <c r="N503" s="16" t="n"/>
      <c r="O503" s="16" t="n"/>
      <c r="P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K504" s="16" t="n"/>
      <c r="L504" s="16" t="n"/>
      <c r="M504" s="16" t="n"/>
      <c r="N504" s="16" t="n"/>
      <c r="O504" s="16" t="n"/>
      <c r="P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K505" s="16" t="n"/>
      <c r="L505" s="16" t="n"/>
      <c r="M505" s="16" t="n"/>
      <c r="N505" s="16" t="n"/>
      <c r="O505" s="16" t="n"/>
      <c r="P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K506" s="16" t="n"/>
      <c r="L506" s="16" t="n"/>
      <c r="M506" s="16" t="n"/>
      <c r="N506" s="16" t="n"/>
      <c r="O506" s="16" t="n"/>
      <c r="P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K507" s="16" t="n"/>
      <c r="L507" s="16" t="n"/>
      <c r="M507" s="16" t="n"/>
      <c r="N507" s="16" t="n"/>
      <c r="O507" s="16" t="n"/>
      <c r="P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K508" s="16" t="n"/>
      <c r="L508" s="16" t="n"/>
      <c r="M508" s="16" t="n"/>
      <c r="N508" s="16" t="n"/>
      <c r="O508" s="16" t="n"/>
      <c r="P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K509" s="16" t="n"/>
      <c r="L509" s="16" t="n"/>
      <c r="M509" s="16" t="n"/>
      <c r="N509" s="16" t="n"/>
      <c r="O509" s="16" t="n"/>
      <c r="P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K510" s="16" t="n"/>
      <c r="L510" s="16" t="n"/>
      <c r="M510" s="16" t="n"/>
      <c r="N510" s="16" t="n"/>
      <c r="O510" s="16" t="n"/>
      <c r="P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K511" s="16" t="n"/>
      <c r="L511" s="16" t="n"/>
      <c r="M511" s="16" t="n"/>
      <c r="N511" s="16" t="n"/>
      <c r="O511" s="16" t="n"/>
      <c r="P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K512" s="16" t="n"/>
      <c r="L512" s="16" t="n"/>
      <c r="M512" s="16" t="n"/>
      <c r="N512" s="16" t="n"/>
      <c r="O512" s="16" t="n"/>
      <c r="P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K513" s="16" t="n"/>
      <c r="L513" s="16" t="n"/>
      <c r="M513" s="16" t="n"/>
      <c r="N513" s="16" t="n"/>
      <c r="O513" s="16" t="n"/>
      <c r="P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K514" s="16" t="n"/>
      <c r="L514" s="16" t="n"/>
      <c r="M514" s="16" t="n"/>
      <c r="N514" s="16" t="n"/>
      <c r="O514" s="16" t="n"/>
      <c r="P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K515" s="16" t="n"/>
      <c r="L515" s="16" t="n"/>
      <c r="M515" s="16" t="n"/>
      <c r="N515" s="16" t="n"/>
      <c r="O515" s="16" t="n"/>
      <c r="P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K516" s="16" t="n"/>
      <c r="L516" s="16" t="n"/>
      <c r="M516" s="16" t="n"/>
      <c r="N516" s="16" t="n"/>
      <c r="O516" s="16" t="n"/>
      <c r="P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K517" s="16" t="n"/>
      <c r="L517" s="16" t="n"/>
      <c r="M517" s="16" t="n"/>
      <c r="N517" s="16" t="n"/>
      <c r="O517" s="16" t="n"/>
      <c r="P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K518" s="16" t="n"/>
      <c r="L518" s="16" t="n"/>
      <c r="M518" s="16" t="n"/>
      <c r="N518" s="16" t="n"/>
      <c r="O518" s="16" t="n"/>
      <c r="P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K519" s="16" t="n"/>
      <c r="L519" s="16" t="n"/>
      <c r="M519" s="16" t="n"/>
      <c r="N519" s="16" t="n"/>
      <c r="O519" s="16" t="n"/>
      <c r="P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K520" s="16" t="n"/>
      <c r="L520" s="16" t="n"/>
      <c r="M520" s="16" t="n"/>
      <c r="N520" s="16" t="n"/>
      <c r="O520" s="16" t="n"/>
      <c r="P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K521" s="16" t="n"/>
      <c r="L521" s="16" t="n"/>
      <c r="M521" s="16" t="n"/>
      <c r="N521" s="16" t="n"/>
      <c r="O521" s="16" t="n"/>
      <c r="P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K522" s="16" t="n"/>
      <c r="L522" s="16" t="n"/>
      <c r="M522" s="16" t="n"/>
      <c r="N522" s="16" t="n"/>
      <c r="O522" s="16" t="n"/>
      <c r="P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K523" s="16" t="n"/>
      <c r="L523" s="16" t="n"/>
      <c r="M523" s="16" t="n"/>
      <c r="N523" s="16" t="n"/>
      <c r="O523" s="16" t="n"/>
      <c r="P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K524" s="16" t="n"/>
      <c r="L524" s="16" t="n"/>
      <c r="M524" s="16" t="n"/>
      <c r="N524" s="16" t="n"/>
      <c r="O524" s="16" t="n"/>
      <c r="P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K525" s="16" t="n"/>
      <c r="L525" s="16" t="n"/>
      <c r="M525" s="16" t="n"/>
      <c r="N525" s="16" t="n"/>
      <c r="O525" s="16" t="n"/>
      <c r="P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K526" s="16" t="n"/>
      <c r="L526" s="16" t="n"/>
      <c r="M526" s="16" t="n"/>
      <c r="N526" s="16" t="n"/>
      <c r="O526" s="16" t="n"/>
      <c r="P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K527" s="16" t="n"/>
      <c r="L527" s="16" t="n"/>
      <c r="M527" s="16" t="n"/>
      <c r="N527" s="16" t="n"/>
      <c r="O527" s="16" t="n"/>
      <c r="P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K528" s="16" t="n"/>
      <c r="L528" s="16" t="n"/>
      <c r="M528" s="16" t="n"/>
      <c r="N528" s="16" t="n"/>
      <c r="O528" s="16" t="n"/>
      <c r="P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K529" s="16" t="n"/>
      <c r="L529" s="16" t="n"/>
      <c r="M529" s="16" t="n"/>
      <c r="N529" s="16" t="n"/>
      <c r="O529" s="16" t="n"/>
      <c r="P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K530" s="16" t="n"/>
      <c r="L530" s="16" t="n"/>
      <c r="M530" s="16" t="n"/>
      <c r="N530" s="16" t="n"/>
      <c r="O530" s="16" t="n"/>
      <c r="P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K531" s="16" t="n"/>
      <c r="L531" s="16" t="n"/>
      <c r="M531" s="16" t="n"/>
      <c r="N531" s="16" t="n"/>
      <c r="O531" s="16" t="n"/>
      <c r="P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K532" s="16" t="n"/>
      <c r="L532" s="16" t="n"/>
      <c r="M532" s="16" t="n"/>
      <c r="N532" s="16" t="n"/>
      <c r="O532" s="16" t="n"/>
      <c r="P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K533" s="16" t="n"/>
      <c r="L533" s="16" t="n"/>
      <c r="M533" s="16" t="n"/>
      <c r="N533" s="16" t="n"/>
      <c r="O533" s="16" t="n"/>
      <c r="P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K534" s="16" t="n"/>
      <c r="L534" s="16" t="n"/>
      <c r="M534" s="16" t="n"/>
      <c r="N534" s="16" t="n"/>
      <c r="O534" s="16" t="n"/>
      <c r="P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K535" s="16" t="n"/>
      <c r="L535" s="16" t="n"/>
      <c r="M535" s="16" t="n"/>
      <c r="N535" s="16" t="n"/>
      <c r="O535" s="16" t="n"/>
      <c r="P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K536" s="16" t="n"/>
      <c r="L536" s="16" t="n"/>
      <c r="M536" s="16" t="n"/>
      <c r="N536" s="16" t="n"/>
      <c r="O536" s="16" t="n"/>
      <c r="P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K537" s="16" t="n"/>
      <c r="L537" s="16" t="n"/>
      <c r="M537" s="16" t="n"/>
      <c r="N537" s="16" t="n"/>
      <c r="O537" s="16" t="n"/>
      <c r="P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K538" s="16" t="n"/>
      <c r="L538" s="16" t="n"/>
      <c r="M538" s="16" t="n"/>
      <c r="N538" s="16" t="n"/>
      <c r="O538" s="16" t="n"/>
      <c r="P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K539" s="16" t="n"/>
      <c r="L539" s="16" t="n"/>
      <c r="M539" s="16" t="n"/>
      <c r="N539" s="16" t="n"/>
      <c r="O539" s="16" t="n"/>
      <c r="P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K540" s="16" t="n"/>
      <c r="L540" s="16" t="n"/>
      <c r="M540" s="16" t="n"/>
      <c r="N540" s="16" t="n"/>
      <c r="O540" s="16" t="n"/>
      <c r="P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K541" s="16" t="n"/>
      <c r="L541" s="16" t="n"/>
      <c r="M541" s="16" t="n"/>
      <c r="N541" s="16" t="n"/>
      <c r="O541" s="16" t="n"/>
      <c r="P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K542" s="16" t="n"/>
      <c r="L542" s="16" t="n"/>
      <c r="M542" s="16" t="n"/>
      <c r="N542" s="16" t="n"/>
      <c r="O542" s="16" t="n"/>
      <c r="P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K543" s="16" t="n"/>
      <c r="L543" s="16" t="n"/>
      <c r="M543" s="16" t="n"/>
      <c r="N543" s="16" t="n"/>
      <c r="O543" s="16" t="n"/>
      <c r="P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K544" s="16" t="n"/>
      <c r="L544" s="16" t="n"/>
      <c r="M544" s="16" t="n"/>
      <c r="N544" s="16" t="n"/>
      <c r="O544" s="16" t="n"/>
      <c r="P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K545" s="16" t="n"/>
      <c r="L545" s="16" t="n"/>
      <c r="M545" s="16" t="n"/>
      <c r="N545" s="16" t="n"/>
      <c r="O545" s="16" t="n"/>
      <c r="P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K546" s="16" t="n"/>
      <c r="L546" s="16" t="n"/>
      <c r="M546" s="16" t="n"/>
      <c r="N546" s="16" t="n"/>
      <c r="O546" s="16" t="n"/>
      <c r="P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K547" s="16" t="n"/>
      <c r="L547" s="16" t="n"/>
      <c r="M547" s="16" t="n"/>
      <c r="N547" s="16" t="n"/>
      <c r="O547" s="16" t="n"/>
      <c r="P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K548" s="16" t="n"/>
      <c r="L548" s="16" t="n"/>
      <c r="M548" s="16" t="n"/>
      <c r="N548" s="16" t="n"/>
      <c r="O548" s="16" t="n"/>
      <c r="P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K549" s="16" t="n"/>
      <c r="L549" s="16" t="n"/>
      <c r="M549" s="16" t="n"/>
      <c r="N549" s="16" t="n"/>
      <c r="O549" s="16" t="n"/>
      <c r="P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K550" s="16" t="n"/>
      <c r="L550" s="16" t="n"/>
      <c r="M550" s="16" t="n"/>
      <c r="N550" s="16" t="n"/>
      <c r="O550" s="16" t="n"/>
      <c r="P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K551" s="16" t="n"/>
      <c r="L551" s="16" t="n"/>
      <c r="M551" s="16" t="n"/>
      <c r="N551" s="16" t="n"/>
      <c r="O551" s="16" t="n"/>
      <c r="P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K552" s="16" t="n"/>
      <c r="L552" s="16" t="n"/>
      <c r="M552" s="16" t="n"/>
      <c r="N552" s="16" t="n"/>
      <c r="O552" s="16" t="n"/>
      <c r="P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Have 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"&amp;COUNTIF(N3:N545,"Yes")</f>
        <v/>
      </c>
      <c r="P2" s="3">
        <f>"Booster Pack - Unseen Presence / "&amp;COUNTIF(O3:O545,"Yes")</f>
        <v/>
      </c>
      <c r="Q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coins, attacking player loses 20 Crystals per each head(s).</t>
        </is>
      </c>
      <c r="I3" t="inlineStr">
        <is>
          <t>Flip N coin→coins</t>
        </is>
      </c>
      <c r="J3" s="14" t="n"/>
      <c r="K3" s="15" t="inlineStr">
        <is>
          <t>Yes</t>
        </is>
      </c>
      <c r="L3" s="14" t="n"/>
      <c r="M3" s="15" t="inlineStr">
        <is>
          <t>Yes</t>
        </is>
      </c>
      <c r="N3" s="14" t="n"/>
      <c r="O3" s="15" t="inlineStr">
        <is>
          <t>Yes</t>
        </is>
      </c>
      <c r="P3" s="14" t="n"/>
      <c r="Q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wording polish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wording polish</t>
        </is>
      </c>
      <c r="J5" s="16" t="n"/>
      <c r="K5" s="17" t="inlineStr">
        <is>
          <t>Yes</t>
        </is>
      </c>
      <c r="L5" s="16" t="n"/>
      <c r="M5" s="17" t="inlineStr">
        <is>
          <t>Yes</t>
        </is>
      </c>
      <c r="N5" s="16" t="n"/>
      <c r="O5" s="17" t="inlineStr">
        <is>
          <t>Yes</t>
        </is>
      </c>
      <c r="P5" s="16" t="n"/>
      <c r="Q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J6" s="16" t="n"/>
      <c r="K6" s="17" t="inlineStr">
        <is>
          <t>Yes</t>
        </is>
      </c>
      <c r="L6" s="16" t="n"/>
      <c r="M6" s="17" t="inlineStr">
        <is>
          <t>Yes</t>
        </is>
      </c>
      <c r="N6" s="16" t="n"/>
      <c r="O6" s="17" t="inlineStr">
        <is>
          <t>Yes</t>
        </is>
      </c>
      <c r="P6" s="16" t="n"/>
      <c r="Q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 and DEF until the trapper’s turn ends</t>
        </is>
      </c>
      <c r="I7" t="inlineStr">
        <is>
          <t>ATK&amp;DEF→ATK and DEF</t>
        </is>
      </c>
      <c r="J7" s="16" t="n"/>
      <c r="K7" s="17" t="inlineStr">
        <is>
          <t>Yes</t>
        </is>
      </c>
      <c r="L7" s="16" t="n"/>
      <c r="M7" s="17" t="inlineStr">
        <is>
          <t>Yes</t>
        </is>
      </c>
      <c r="N7" s="16" t="n"/>
      <c r="O7" s="16" t="n"/>
      <c r="P7" s="17" t="inlineStr">
        <is>
          <t>Yes</t>
        </is>
      </c>
      <c r="Q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J8" s="16" t="n"/>
      <c r="K8" s="17" t="inlineStr">
        <is>
          <t>Yes</t>
        </is>
      </c>
      <c r="L8" s="16" t="n"/>
      <c r="M8" s="17" t="inlineStr">
        <is>
          <t>Yes</t>
        </is>
      </c>
      <c r="N8" s="16" t="n"/>
      <c r="O8" s="16" t="n"/>
      <c r="P8" s="16" t="n"/>
      <c r="Q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J9" s="16" t="n"/>
      <c r="K9" s="17" t="inlineStr">
        <is>
          <t>Yes</t>
        </is>
      </c>
      <c r="L9" s="16" t="n"/>
      <c r="M9" s="17" t="inlineStr">
        <is>
          <t>Yes</t>
        </is>
      </c>
      <c r="N9" s="16" t="n"/>
      <c r="O9" s="17" t="inlineStr">
        <is>
          <t>Yes</t>
        </is>
      </c>
      <c r="P9" s="16" t="n"/>
      <c r="Q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6" t="n"/>
      <c r="P11" s="17" t="inlineStr">
        <is>
          <t>Yes</t>
        </is>
      </c>
      <c r="Q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J12" s="16" t="n"/>
      <c r="K12" s="17" t="inlineStr">
        <is>
          <t>Yes</t>
        </is>
      </c>
      <c r="L12" s="16" t="n"/>
      <c r="M12" s="16" t="n"/>
      <c r="N12" s="16" t="n"/>
      <c r="O12" s="16" t="n"/>
      <c r="P12" s="16" t="n"/>
      <c r="Q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J14" s="16" t="n"/>
      <c r="K14" s="17" t="inlineStr">
        <is>
          <t>Yes</t>
        </is>
      </c>
      <c r="L14" s="16" t="n"/>
      <c r="M14" s="17" t="inlineStr">
        <is>
          <t>Yes</t>
        </is>
      </c>
      <c r="N14" s="16" t="n"/>
      <c r="O14" s="16" t="n"/>
      <c r="P14" s="16" t="n"/>
      <c r="Q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J15" s="16" t="n"/>
      <c r="K15" s="17" t="inlineStr">
        <is>
          <t>Yes</t>
        </is>
      </c>
      <c r="L15" s="16" t="n"/>
      <c r="M15" s="17" t="inlineStr">
        <is>
          <t>Yes</t>
        </is>
      </c>
      <c r="N15" s="16" t="n"/>
      <c r="O15" s="16" t="n"/>
      <c r="P15" s="16" t="n"/>
      <c r="Q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7" t="inlineStr">
        <is>
          <t>Yes</t>
        </is>
      </c>
      <c r="Q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6" t="n"/>
      <c r="P17" s="16" t="n"/>
      <c r="Q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J18" s="16" t="n"/>
      <c r="K18" s="17" t="inlineStr">
        <is>
          <t>Yes</t>
        </is>
      </c>
      <c r="L18" s="16" t="n"/>
      <c r="M18" s="17" t="inlineStr">
        <is>
          <t>Yes</t>
        </is>
      </c>
      <c r="N18" s="16" t="n"/>
      <c r="O18" s="17" t="inlineStr">
        <is>
          <t>Yes</t>
        </is>
      </c>
      <c r="P18" s="16" t="n"/>
      <c r="Q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 and DEF. It lose more 5 ATK and DEF for each trap cards in trapper’s void</t>
        </is>
      </c>
      <c r="I20" t="inlineStr">
        <is>
          <t>ATK&amp;DEF→ATK and DEF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coins, attacking player loses 50 Crystals per each head(s).</t>
        </is>
      </c>
      <c r="I21" t="inlineStr">
        <is>
          <t>Flip N coin→coins</t>
        </is>
      </c>
      <c r="J21" s="16" t="n"/>
      <c r="K21" s="17" t="inlineStr">
        <is>
          <t>Yes</t>
        </is>
      </c>
      <c r="L21" s="16" t="n"/>
      <c r="M21" s="17" t="inlineStr">
        <is>
          <t>Yes</t>
        </is>
      </c>
      <c r="N21" s="16" t="n"/>
      <c r="O21" s="17" t="inlineStr">
        <is>
          <t>Yes</t>
        </is>
      </c>
      <c r="P21" s="16" t="n"/>
      <c r="Q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coins, attacking player loses 100 Crystals per each head(s).</t>
        </is>
      </c>
      <c r="I22" t="inlineStr">
        <is>
          <t>Flip N coin→coins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J23" s="16" t="n"/>
      <c r="K23" s="17" t="inlineStr">
        <is>
          <t>Yes</t>
        </is>
      </c>
      <c r="L23" s="16" t="n"/>
      <c r="M23" s="16" t="n"/>
      <c r="N23" s="16" t="n"/>
      <c r="O23" s="16" t="n"/>
      <c r="P23" s="16" t="n"/>
      <c r="Q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J25" s="16" t="n"/>
      <c r="K25" s="17" t="inlineStr">
        <is>
          <t>Yes</t>
        </is>
      </c>
      <c r="L25" s="16" t="n"/>
      <c r="M25" s="16" t="n"/>
      <c r="N25" s="16" t="n"/>
      <c r="O25" s="16" t="n"/>
      <c r="P25" s="16" t="n"/>
      <c r="Q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1000 or less.</t>
        </is>
      </c>
      <c r="I26" t="inlineStr">
        <is>
          <t>Head→Heads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1000 or less.</t>
        </is>
      </c>
      <c r="I27" t="inlineStr">
        <is>
          <t>Head→Heads</t>
        </is>
      </c>
      <c r="J27" s="16" t="n"/>
      <c r="K27" s="17" t="inlineStr">
        <is>
          <t>Yes</t>
        </is>
      </c>
      <c r="L27" s="16" t="n"/>
      <c r="M27" s="16" t="n"/>
      <c r="N27" s="16" t="n"/>
      <c r="O27" s="16" t="n"/>
      <c r="P27" s="16" t="n"/>
      <c r="Q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1000 or less.</t>
        </is>
      </c>
      <c r="I28" t="inlineStr">
        <is>
          <t>Head→Heads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1000 or less.</t>
        </is>
      </c>
      <c r="I29" t="inlineStr">
        <is>
          <t>Head→Heads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1000 or less.</t>
        </is>
      </c>
      <c r="I30" t="inlineStr">
        <is>
          <t>Head→Heads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1000 or less.</t>
        </is>
      </c>
      <c r="I31" t="inlineStr">
        <is>
          <t>Head→Heads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1000 or less.</t>
        </is>
      </c>
      <c r="I32" t="inlineStr">
        <is>
          <t>Head→Heads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J33" s="16" t="n"/>
      <c r="K33" s="17" t="inlineStr">
        <is>
          <t>Yes</t>
        </is>
      </c>
      <c r="L33" s="16" t="n"/>
      <c r="M33" s="16" t="n"/>
      <c r="N33" s="16" t="n"/>
      <c r="O33" s="16" t="n"/>
      <c r="P33" s="16" t="n"/>
      <c r="Q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J34" s="16" t="n"/>
      <c r="K34" s="17" t="inlineStr">
        <is>
          <t>Yes</t>
        </is>
      </c>
      <c r="L34" s="16" t="n"/>
      <c r="M34" s="16" t="n"/>
      <c r="N34" s="16" t="n"/>
      <c r="O34" s="16" t="n"/>
      <c r="P34" s="16" t="n"/>
      <c r="Q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J35" s="16" t="n"/>
      <c r="K35" s="17" t="inlineStr">
        <is>
          <t>Yes</t>
        </is>
      </c>
      <c r="L35" s="16" t="n"/>
      <c r="M35" s="16" t="n"/>
      <c r="N35" s="16" t="n"/>
      <c r="O35" s="16" t="n"/>
      <c r="P35" s="16" t="n"/>
      <c r="Q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J36" s="16" t="n"/>
      <c r="K36" s="17" t="inlineStr">
        <is>
          <t>Yes</t>
        </is>
      </c>
      <c r="L36" s="16" t="n"/>
      <c r="M36" s="16" t="n"/>
      <c r="N36" s="16" t="n"/>
      <c r="O36" s="16" t="n"/>
      <c r="P36" s="16" t="n"/>
      <c r="Q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J37" s="16" t="n"/>
      <c r="K37" s="17" t="inlineStr">
        <is>
          <t>Yes</t>
        </is>
      </c>
      <c r="L37" s="16" t="n"/>
      <c r="M37" s="16" t="n"/>
      <c r="N37" s="16" t="n"/>
      <c r="O37" s="16" t="n"/>
      <c r="P37" s="16" t="n"/>
      <c r="Q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J38" s="16" t="n"/>
      <c r="K38" s="17" t="inlineStr">
        <is>
          <t>Yes</t>
        </is>
      </c>
      <c r="L38" s="16" t="n"/>
      <c r="M38" s="16" t="n"/>
      <c r="N38" s="16" t="n"/>
      <c r="O38" s="16" t="n"/>
      <c r="P38" s="16" t="n"/>
      <c r="Q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wording polish</t>
        </is>
      </c>
      <c r="J39" s="16" t="n"/>
      <c r="K39" s="17" t="inlineStr">
        <is>
          <t>Yes</t>
        </is>
      </c>
      <c r="L39" s="16" t="n"/>
      <c r="M39" s="16" t="n"/>
      <c r="N39" s="16" t="n"/>
      <c r="O39" s="16" t="n"/>
      <c r="P39" s="16" t="n"/>
      <c r="Q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wording polish</t>
        </is>
      </c>
      <c r="J40" s="16" t="n"/>
      <c r="K40" s="17" t="inlineStr">
        <is>
          <t>Yes</t>
        </is>
      </c>
      <c r="L40" s="16" t="n"/>
      <c r="M40" s="16" t="n"/>
      <c r="N40" s="16" t="n"/>
      <c r="O40" s="16" t="n"/>
      <c r="P40" s="16" t="n"/>
      <c r="Q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J41" s="16" t="n"/>
      <c r="K41" s="17" t="inlineStr">
        <is>
          <t>Yes</t>
        </is>
      </c>
      <c r="L41" s="16" t="n"/>
      <c r="M41" s="16" t="n"/>
      <c r="N41" s="16" t="n"/>
      <c r="O41" s="16" t="n"/>
      <c r="P41" s="16" t="n"/>
      <c r="Q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J42" s="16" t="n"/>
      <c r="K42" s="17" t="inlineStr">
        <is>
          <t>Yes</t>
        </is>
      </c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 with 400 or less cost.</t>
        </is>
      </c>
      <c r="J43" s="16" t="n"/>
      <c r="K43" s="17" t="inlineStr">
        <is>
          <t>Yes</t>
        </is>
      </c>
      <c r="L43" s="16" t="n"/>
      <c r="M43" s="17" t="inlineStr">
        <is>
          <t>Yes</t>
        </is>
      </c>
      <c r="N43" s="16" t="n"/>
      <c r="O43" s="16" t="n"/>
      <c r="P43" s="17" t="inlineStr">
        <is>
          <t>Yes</t>
        </is>
      </c>
      <c r="Q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J44" s="16" t="n"/>
      <c r="K44" s="17" t="inlineStr">
        <is>
          <t>Yes</t>
        </is>
      </c>
      <c r="L44" s="16" t="n"/>
      <c r="M44" s="17" t="inlineStr">
        <is>
          <t>Yes</t>
        </is>
      </c>
      <c r="N44" s="16" t="n"/>
      <c r="O44" s="16" t="n"/>
      <c r="P44" s="17" t="inlineStr">
        <is>
          <t>Yes</t>
        </is>
      </c>
      <c r="Q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wording polish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wording polish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subject-verb grammar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Fixed incomplete sentence.</t>
        </is>
      </c>
      <c r="J52" s="16" t="n"/>
      <c r="K52" s="17" t="inlineStr">
        <is>
          <t>Yes</t>
        </is>
      </c>
      <c r="L52" s="16" t="n"/>
      <c r="M52" s="17" t="inlineStr">
        <is>
          <t>Yes</t>
        </is>
      </c>
      <c r="N52" s="16" t="n"/>
      <c r="O52" s="16" t="n"/>
      <c r="P52" s="17" t="inlineStr">
        <is>
          <t>Yes</t>
        </is>
      </c>
      <c r="Q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J55" s="16" t="n"/>
      <c r="K55" s="17" t="inlineStr">
        <is>
          <t>Yes</t>
        </is>
      </c>
      <c r="L55" s="16" t="n"/>
      <c r="M55" s="17" t="inlineStr">
        <is>
          <t>Yes</t>
        </is>
      </c>
      <c r="N55" s="16" t="n"/>
      <c r="O55" s="17" t="inlineStr">
        <is>
          <t>Yes</t>
        </is>
      </c>
      <c r="P55" s="16" t="n"/>
      <c r="Q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wording polish</t>
        </is>
      </c>
      <c r="J56" s="16" t="n"/>
      <c r="K56" s="17" t="inlineStr">
        <is>
          <t>Yes</t>
        </is>
      </c>
      <c r="L56" s="16" t="n"/>
      <c r="M56" s="17" t="inlineStr">
        <is>
          <t>Yes</t>
        </is>
      </c>
      <c r="N56" s="16" t="n"/>
      <c r="O56" s="17" t="inlineStr">
        <is>
          <t>Yes</t>
        </is>
      </c>
      <c r="P56" s="16" t="n"/>
      <c r="Q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wording polish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wording polish</t>
        </is>
      </c>
      <c r="J58" s="16" t="n"/>
      <c r="K58" s="17" t="inlineStr">
        <is>
          <t>Yes</t>
        </is>
      </c>
      <c r="L58" s="16" t="n"/>
      <c r="M58" s="17" t="inlineStr">
        <is>
          <t>Yes</t>
        </is>
      </c>
      <c r="N58" s="16" t="n"/>
      <c r="O58" s="16" t="n"/>
      <c r="P58" s="16" t="n"/>
      <c r="Q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equal to half of the unit’s cost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coins, Heads:, the attacker lose -5 ATK for each head(s) until attacker’s next turn ends.</t>
        </is>
      </c>
      <c r="I60" t="inlineStr">
        <is>
          <t>Flip N coin→coins; Head→Heads</t>
        </is>
      </c>
      <c r="J60" s="16" t="n"/>
      <c r="K60" s="17" t="inlineStr">
        <is>
          <t>Yes</t>
        </is>
      </c>
      <c r="L60" s="16" t="n"/>
      <c r="M60" s="17" t="inlineStr">
        <is>
          <t>Yes</t>
        </is>
      </c>
      <c r="N60" s="16" t="n"/>
      <c r="O60" s="16" t="n"/>
      <c r="P60" s="17" t="inlineStr">
        <is>
          <t>Yes</t>
        </is>
      </c>
      <c r="Q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1000 or less Crystal, drain Crystal from attacker until both players have same amount of Crystals</t>
        </is>
      </c>
      <c r="I61" t="inlineStr">
        <is>
          <t>wording polish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20 or less ATK. Attacker side pay no Crystal cost.</t>
        </is>
      </c>
      <c r="I62" t="inlineStr">
        <is>
          <t>wording polish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J91" s="16" t="n"/>
      <c r="K91" s="16" t="n"/>
      <c r="L91" s="16" t="n"/>
      <c r="M91" s="16" t="n"/>
      <c r="N91" s="16" t="n"/>
      <c r="O91" s="16" t="n"/>
      <c r="P91" s="16" t="n"/>
      <c r="Q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Comment</t>
        </is>
      </c>
      <c r="J2" s="3" t="inlineStr">
        <is>
          <t>Formula</t>
        </is>
      </c>
      <c r="K2" s="3" t="inlineStr">
        <is>
          <t>Illustration</t>
        </is>
      </c>
      <c r="L2" s="3" t="inlineStr">
        <is>
          <t>Suggested cost</t>
        </is>
      </c>
      <c r="M2" s="3" t="inlineStr">
        <is>
          <t>Demo</t>
        </is>
      </c>
      <c r="N2" s="3" t="inlineStr">
        <is>
          <t>Test 1</t>
        </is>
      </c>
      <c r="O2" s="3">
        <f>"Booster Pack - Blightsilver / "&amp;COUNTIF(N3:N556,"Yes")</f>
        <v/>
      </c>
      <c r="P2" s="3">
        <f>"Booster Pack - Unseen Presence / "&amp;COUNTIF(O3:O556,"Yes")</f>
        <v/>
      </c>
      <c r="Q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Shortened; cell terminology.</t>
        </is>
      </c>
      <c r="J3" s="14" t="n"/>
      <c r="K3" s="15" t="inlineStr">
        <is>
          <t>Yes</t>
        </is>
      </c>
      <c r="L3" s="14" t="n"/>
      <c r="M3" s="14" t="n"/>
      <c r="N3" s="14" t="n"/>
      <c r="O3" s="14" t="n"/>
      <c r="P3" s="14" t="n"/>
      <c r="Q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J4" s="16" t="n"/>
      <c r="K4" s="17" t="inlineStr">
        <is>
          <t>Yes</t>
        </is>
      </c>
      <c r="L4" s="16" t="n"/>
      <c r="M4" s="17" t="inlineStr">
        <is>
          <t>Yes</t>
        </is>
      </c>
      <c r="N4" s="16" t="n"/>
      <c r="O4" s="17" t="inlineStr">
        <is>
          <t>Yes</t>
        </is>
      </c>
      <c r="P4" s="16" t="n"/>
      <c r="Q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J5" s="16" t="n"/>
      <c r="K5" s="17" t="inlineStr">
        <is>
          <t>Yes</t>
        </is>
      </c>
      <c r="L5" s="16" t="n"/>
      <c r="M5" s="16" t="n"/>
      <c r="N5" s="16" t="n"/>
      <c r="O5" s="16" t="n"/>
      <c r="P5" s="16" t="n"/>
      <c r="Q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J6" s="16" t="n"/>
      <c r="K6" s="17" t="inlineStr">
        <is>
          <t>Yes</t>
        </is>
      </c>
      <c r="L6" s="16" t="n"/>
      <c r="M6" s="16" t="n"/>
      <c r="N6" s="16" t="n"/>
      <c r="O6" s="16" t="n"/>
      <c r="P6" s="16" t="n"/>
      <c r="Q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square→cell</t>
        </is>
      </c>
      <c r="J7" s="16" t="n"/>
      <c r="K7" s="17" t="inlineStr">
        <is>
          <t>Yes</t>
        </is>
      </c>
      <c r="L7" s="16" t="n"/>
      <c r="M7" s="16" t="n"/>
      <c r="N7" s="16" t="n"/>
      <c r="O7" s="16" t="n"/>
      <c r="P7" s="16" t="n"/>
      <c r="Q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square→cell</t>
        </is>
      </c>
      <c r="J8" s="16" t="n"/>
      <c r="K8" s="17" t="inlineStr">
        <is>
          <t>Yes</t>
        </is>
      </c>
      <c r="L8" s="16" t="n"/>
      <c r="M8" s="16" t="n"/>
      <c r="N8" s="16" t="n"/>
      <c r="O8" s="16" t="n"/>
      <c r="P8" s="16" t="n"/>
      <c r="Q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Shortened; cell/Crystal cost.</t>
        </is>
      </c>
      <c r="J9" s="16" t="n"/>
      <c r="K9" s="17" t="inlineStr">
        <is>
          <t>Yes</t>
        </is>
      </c>
      <c r="L9" s="16" t="n"/>
      <c r="M9" s="16" t="n"/>
      <c r="N9" s="16" t="n"/>
      <c r="O9" s="16" t="n"/>
      <c r="P9" s="16" t="n"/>
      <c r="Q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J10" s="16" t="n"/>
      <c r="K10" s="17" t="inlineStr">
        <is>
          <t>Yes</t>
        </is>
      </c>
      <c r="L10" s="16" t="n"/>
      <c r="M10" s="17" t="inlineStr">
        <is>
          <t>Yes</t>
        </is>
      </c>
      <c r="N10" s="16" t="n"/>
      <c r="O10" s="16" t="n"/>
      <c r="P10" s="17" t="inlineStr">
        <is>
          <t>Yes</t>
        </is>
      </c>
      <c r="Q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J11" s="16" t="n"/>
      <c r="K11" s="17" t="inlineStr">
        <is>
          <t>Yes</t>
        </is>
      </c>
      <c r="L11" s="16" t="n"/>
      <c r="M11" s="17" t="inlineStr">
        <is>
          <t>Yes</t>
        </is>
      </c>
      <c r="N11" s="16" t="n"/>
      <c r="O11" s="17" t="inlineStr">
        <is>
          <t>Yes</t>
        </is>
      </c>
      <c r="P11" s="16" t="n"/>
      <c r="Q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wording polish</t>
        </is>
      </c>
      <c r="J12" s="16" t="n"/>
      <c r="K12" s="17" t="inlineStr">
        <is>
          <t>Yes</t>
        </is>
      </c>
      <c r="L12" s="16" t="n"/>
      <c r="M12" s="17" t="inlineStr">
        <is>
          <t>Yes</t>
        </is>
      </c>
      <c r="N12" s="16" t="n"/>
      <c r="O12" s="16" t="n"/>
      <c r="P12" s="17" t="inlineStr">
        <is>
          <t>Yes</t>
        </is>
      </c>
      <c r="Q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wording polish</t>
        </is>
      </c>
      <c r="J13" s="16" t="n"/>
      <c r="K13" s="17" t="inlineStr">
        <is>
          <t>Yes</t>
        </is>
      </c>
      <c r="L13" s="16" t="n"/>
      <c r="M13" s="17" t="inlineStr">
        <is>
          <t>Yes</t>
        </is>
      </c>
      <c r="N13" s="16" t="n"/>
      <c r="O13" s="16" t="n"/>
      <c r="P13" s="17" t="inlineStr">
        <is>
          <t>Yes</t>
        </is>
      </c>
      <c r="Q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wording polish</t>
        </is>
      </c>
      <c r="J14" s="16" t="n"/>
      <c r="K14" s="17" t="inlineStr">
        <is>
          <t>Yes</t>
        </is>
      </c>
      <c r="L14" s="16" t="n"/>
      <c r="M14" s="16" t="n"/>
      <c r="N14" s="16" t="n"/>
      <c r="O14" s="16" t="n"/>
      <c r="P14" s="16" t="n"/>
      <c r="Q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Shortened; Exposed/cell/Crystal cost.</t>
        </is>
      </c>
      <c r="J15" s="16" t="n"/>
      <c r="K15" s="17" t="inlineStr">
        <is>
          <t>Yes</t>
        </is>
      </c>
      <c r="L15" s="16" t="n"/>
      <c r="M15" s="16" t="n"/>
      <c r="N15" s="16" t="n"/>
      <c r="O15" s="16" t="n"/>
      <c r="P15" s="16" t="n"/>
      <c r="Q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wording polish</t>
        </is>
      </c>
      <c r="J16" s="16" t="n"/>
      <c r="K16" s="17" t="inlineStr">
        <is>
          <t>Yes</t>
        </is>
      </c>
      <c r="L16" s="16" t="n"/>
      <c r="M16" s="17" t="inlineStr">
        <is>
          <t>Yes</t>
        </is>
      </c>
      <c r="N16" s="16" t="n"/>
      <c r="O16" s="16" t="n"/>
      <c r="P16" s="16" t="n"/>
      <c r="Q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 and DEF in Reckoning until turn’s end</t>
        </is>
      </c>
      <c r="I17" t="inlineStr">
        <is>
          <t>ATK&amp;DEF→ATK and DEF</t>
        </is>
      </c>
      <c r="J17" s="16" t="n"/>
      <c r="K17" s="17" t="inlineStr">
        <is>
          <t>Yes</t>
        </is>
      </c>
      <c r="L17" s="16" t="n"/>
      <c r="M17" s="17" t="inlineStr">
        <is>
          <t>Yes</t>
        </is>
      </c>
      <c r="N17" s="16" t="n"/>
      <c r="O17" s="17" t="inlineStr">
        <is>
          <t>Yes</t>
        </is>
      </c>
      <c r="P17" s="16" t="n"/>
      <c r="Q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J18" s="16" t="n"/>
      <c r="K18" s="17" t="inlineStr">
        <is>
          <t>Yes</t>
        </is>
      </c>
      <c r="L18" s="16" t="n"/>
      <c r="M18" s="16" t="n"/>
      <c r="N18" s="16" t="n"/>
      <c r="O18" s="16" t="n"/>
      <c r="P18" s="16" t="n"/>
      <c r="Q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J19" s="16" t="n"/>
      <c r="K19" s="17" t="inlineStr">
        <is>
          <t>Yes</t>
        </is>
      </c>
      <c r="L19" s="16" t="n"/>
      <c r="M19" s="16" t="n"/>
      <c r="N19" s="16" t="n"/>
      <c r="O19" s="16" t="n"/>
      <c r="P19" s="16" t="n"/>
      <c r="Q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wording polish</t>
        </is>
      </c>
      <c r="J20" s="16" t="n"/>
      <c r="K20" s="17" t="inlineStr">
        <is>
          <t>Yes</t>
        </is>
      </c>
      <c r="L20" s="16" t="n"/>
      <c r="M20" s="16" t="n"/>
      <c r="N20" s="16" t="n"/>
      <c r="O20" s="16" t="n"/>
      <c r="P20" s="16" t="n"/>
      <c r="Q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J21" s="16" t="n"/>
      <c r="K21" s="17" t="inlineStr">
        <is>
          <t>Yes</t>
        </is>
      </c>
      <c r="L21" s="16" t="n"/>
      <c r="M21" s="16" t="n"/>
      <c r="N21" s="16" t="n"/>
      <c r="O21" s="16" t="n"/>
      <c r="P21" s="16" t="n"/>
      <c r="Q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wording polish</t>
        </is>
      </c>
      <c r="J22" s="16" t="n"/>
      <c r="K22" s="17" t="inlineStr">
        <is>
          <t>Yes</t>
        </is>
      </c>
      <c r="L22" s="16" t="n"/>
      <c r="M22" s="16" t="n"/>
      <c r="N22" s="16" t="n"/>
      <c r="O22" s="16" t="n"/>
      <c r="P22" s="16" t="n"/>
      <c r="Q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shortened</t>
        </is>
      </c>
      <c r="J23" s="16" t="n"/>
      <c r="K23" s="17" t="inlineStr">
        <is>
          <t>Yes</t>
        </is>
      </c>
      <c r="L23" s="16" t="n"/>
      <c r="M23" s="17" t="inlineStr">
        <is>
          <t>Yes</t>
        </is>
      </c>
      <c r="N23" s="16" t="n"/>
      <c r="O23" s="16" t="n"/>
      <c r="P23" s="16" t="n"/>
      <c r="Q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wording polish</t>
        </is>
      </c>
      <c r="J24" s="16" t="n"/>
      <c r="K24" s="17" t="inlineStr">
        <is>
          <t>Yes</t>
        </is>
      </c>
      <c r="L24" s="16" t="n"/>
      <c r="M24" s="16" t="n"/>
      <c r="N24" s="16" t="n"/>
      <c r="O24" s="16" t="n"/>
      <c r="P24" s="16" t="n"/>
      <c r="Q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Shortened; Exposed terminology.</t>
        </is>
      </c>
      <c r="J25" s="16" t="n"/>
      <c r="K25" s="17" t="inlineStr">
        <is>
          <t>Yes</t>
        </is>
      </c>
      <c r="L25" s="16" t="n"/>
      <c r="M25" s="17" t="inlineStr">
        <is>
          <t>Yes</t>
        </is>
      </c>
      <c r="N25" s="16" t="n"/>
      <c r="O25" s="16" t="n"/>
      <c r="P25" s="16" t="n"/>
      <c r="Q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your only attacker this turn. Cannot use if you already attacked.</t>
        </is>
      </c>
      <c r="I26" t="inlineStr">
        <is>
          <t>Shortened; Exposed terminology.</t>
        </is>
      </c>
      <c r="J26" s="16" t="n"/>
      <c r="K26" s="17" t="inlineStr">
        <is>
          <t>Yes</t>
        </is>
      </c>
      <c r="L26" s="16" t="n"/>
      <c r="M26" s="16" t="n"/>
      <c r="N26" s="16" t="n"/>
      <c r="O26" s="16" t="n"/>
      <c r="P26" s="16" t="n"/>
      <c r="Q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J27" s="16" t="n"/>
      <c r="K27" s="17" t="inlineStr">
        <is>
          <t>Yes</t>
        </is>
      </c>
      <c r="L27" s="16" t="n"/>
      <c r="M27" s="17" t="inlineStr">
        <is>
          <t>Yes</t>
        </is>
      </c>
      <c r="N27" s="16" t="n"/>
      <c r="O27" s="17" t="inlineStr">
        <is>
          <t>Yes</t>
        </is>
      </c>
      <c r="P27" s="16" t="n"/>
      <c r="Q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J28" s="16" t="n"/>
      <c r="K28" s="17" t="inlineStr">
        <is>
          <t>Yes</t>
        </is>
      </c>
      <c r="L28" s="16" t="n"/>
      <c r="M28" s="16" t="n"/>
      <c r="N28" s="16" t="n"/>
      <c r="O28" s="16" t="n"/>
      <c r="P28" s="16" t="n"/>
      <c r="Q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 and DEF bonuses or debuffs to another ally unit.</t>
        </is>
      </c>
      <c r="I29" t="inlineStr">
        <is>
          <t>ATK&amp;DEF→ATK and DEF</t>
        </is>
      </c>
      <c r="J29" s="16" t="n"/>
      <c r="K29" s="17" t="inlineStr">
        <is>
          <t>Yes</t>
        </is>
      </c>
      <c r="L29" s="16" t="n"/>
      <c r="M29" s="16" t="n"/>
      <c r="N29" s="16" t="n"/>
      <c r="O29" s="16" t="n"/>
      <c r="P29" s="16" t="n"/>
      <c r="Q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its ATK and DEF become 0 permanently.</t>
        </is>
      </c>
      <c r="I30" t="inlineStr">
        <is>
          <t>Fixed 'the this'; terminology.</t>
        </is>
      </c>
      <c r="J30" s="16" t="n"/>
      <c r="K30" s="17" t="inlineStr">
        <is>
          <t>Yes</t>
        </is>
      </c>
      <c r="L30" s="16" t="n"/>
      <c r="M30" s="16" t="n"/>
      <c r="N30" s="16" t="n"/>
      <c r="O30" s="16" t="n"/>
      <c r="P30" s="16" t="n"/>
      <c r="Q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your next turn.</t>
        </is>
      </c>
      <c r="I31" t="inlineStr">
        <is>
          <t>Removed dangling 'This player.'; shortened.</t>
        </is>
      </c>
      <c r="J31" s="16" t="n"/>
      <c r="K31" s="17" t="inlineStr">
        <is>
          <t>Yes</t>
        </is>
      </c>
      <c r="L31" s="16" t="n"/>
      <c r="M31" s="16" t="n"/>
      <c r="N31" s="16" t="n"/>
      <c r="O31" s="16" t="n"/>
      <c r="P31" s="16" t="n"/>
      <c r="Q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wording polish</t>
        </is>
      </c>
      <c r="J32" s="16" t="n"/>
      <c r="K32" s="17" t="inlineStr">
        <is>
          <t>Yes</t>
        </is>
      </c>
      <c r="L32" s="16" t="n"/>
      <c r="M32" s="16" t="n"/>
      <c r="N32" s="16" t="n"/>
      <c r="O32" s="16" t="n"/>
      <c r="P32" s="16" t="n"/>
      <c r="Q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wording polish</t>
        </is>
      </c>
      <c r="J33" s="16" t="n"/>
      <c r="K33" s="17" t="inlineStr">
        <is>
          <t>Yes</t>
        </is>
      </c>
      <c r="L33" s="16" t="n"/>
      <c r="M33" s="17" t="inlineStr">
        <is>
          <t>Yes</t>
        </is>
      </c>
      <c r="N33" s="16" t="n"/>
      <c r="O33" s="16" t="n"/>
      <c r="P33" s="16" t="n"/>
      <c r="Q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wording polish</t>
        </is>
      </c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wording polish</t>
        </is>
      </c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Heads:, receive 600 Crystals. Always Heads, if trapper’s Crystal is 1000 or less.</t>
        </is>
      </c>
      <c r="I37" t="inlineStr">
        <is>
          <t>Head→Heads</t>
        </is>
      </c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 and DEF on 1 Exposed unit until the end of this turn</t>
        </is>
      </c>
      <c r="I39" t="inlineStr">
        <is>
          <t>ATK&amp;DEF→ATK and DEF</t>
        </is>
      </c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Heads:, receive 100 Crystals.</t>
        </is>
      </c>
      <c r="I42" t="inlineStr">
        <is>
          <t>Head→Heads</t>
        </is>
      </c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Heads:, receive 200 Crystals. Tails:, lose 400 Crystals</t>
        </is>
      </c>
      <c r="I43" t="inlineStr">
        <is>
          <t>Head→Heads; Tail→Tails</t>
        </is>
      </c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wording polish</t>
        </is>
      </c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wording polish</t>
        </is>
      </c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Heads:, +5 ATK to 1 ally unit until this turn ends.</t>
        </is>
      </c>
      <c r="I52" t="inlineStr">
        <is>
          <t>Head→Heads</t>
        </is>
      </c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Heads:, +5 DEF to 1 ally unit until this turn ends.</t>
        </is>
      </c>
      <c r="I53" t="inlineStr">
        <is>
          <t>Head→Heads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 becomes 0 permanently.</t>
        </is>
      </c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 and DEF permanently</t>
        </is>
      </c>
      <c r="I55" t="inlineStr">
        <is>
          <t>ATK&amp;DEF→ATK and DEF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 becomes 0 permanently.</t>
        </is>
      </c>
      <c r="I65" t="inlineStr">
        <is>
          <t>wording polish</t>
        </is>
      </c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 becomes 0 permanently.</t>
        </is>
      </c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 and DEF</t>
        </is>
      </c>
      <c r="I67" t="inlineStr">
        <is>
          <t>ATK&amp;DEF→ATK and DEF</t>
        </is>
      </c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Head→Heads</t>
        </is>
      </c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wording polish</t>
        </is>
      </c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 and DEF to 1 ally Arcane unit until the end of foe’s turn.</t>
        </is>
      </c>
      <c r="I72" t="inlineStr">
        <is>
          <t>ATK&amp;DEF→ATK and DEF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your Tech cards.</t>
        </is>
      </c>
      <c r="I74" t="inlineStr">
        <is>
          <t>Cosmo→Cosmic typo; shorten.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J78" s="16" t="n"/>
      <c r="K78" s="16" t="n"/>
      <c r="L78" s="16" t="n"/>
      <c r="M78" s="16" t="n"/>
      <c r="N78" s="16" t="n"/>
      <c r="O78" s="16" t="n"/>
      <c r="P78" s="16" t="n"/>
      <c r="Q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Heads:, reveal 2 cell on foe's side of the field</t>
        </is>
      </c>
      <c r="I83" t="inlineStr">
        <is>
          <t>square→cell; Head→Heads</t>
        </is>
      </c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Heads:, reveal 1 cell on foe's side of the field</t>
        </is>
      </c>
      <c r="I84" t="inlineStr">
        <is>
          <t>square→cell; Head→Heads</t>
        </is>
      </c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wording polish</t>
        </is>
      </c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wording polish</t>
        </is>
      </c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wording polish</t>
        </is>
      </c>
      <c r="J91" s="16" t="n"/>
      <c r="K91" s="17" t="inlineStr">
        <is>
          <t>Need Revise</t>
        </is>
      </c>
      <c r="L91" s="16" t="n"/>
      <c r="M91" s="16" t="n"/>
      <c r="N91" s="16" t="n"/>
      <c r="O91" s="16" t="n"/>
      <c r="P91" s="16" t="n"/>
      <c r="Q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J92" s="16" t="n"/>
      <c r="K92" s="16" t="n"/>
      <c r="L92" s="16" t="n"/>
      <c r="M92" s="16" t="n"/>
      <c r="N92" s="16" t="n"/>
      <c r="O92" s="16" t="n"/>
      <c r="P92" s="16" t="n"/>
      <c r="Q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J93" s="16" t="n"/>
      <c r="K93" s="16" t="n"/>
      <c r="L93" s="16" t="n"/>
      <c r="M93" s="16" t="n"/>
      <c r="N93" s="16" t="n"/>
      <c r="O93" s="16" t="n"/>
      <c r="P93" s="16" t="n"/>
      <c r="Q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5 or less card on the field, destroy 1 foe’s card.</t>
        </is>
      </c>
      <c r="J95" s="16" t="n"/>
      <c r="K95" s="16" t="n"/>
      <c r="L95" s="16" t="n"/>
      <c r="M95" s="16" t="n"/>
      <c r="N95" s="16" t="n"/>
      <c r="O95" s="16" t="n"/>
      <c r="P95" s="16" t="n"/>
      <c r="Q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J96" s="16" t="n"/>
      <c r="K96" s="16" t="n"/>
      <c r="L96" s="16" t="n"/>
      <c r="M96" s="16" t="n"/>
      <c r="N96" s="16" t="n"/>
      <c r="O96" s="16" t="n"/>
      <c r="P96" s="16" t="n"/>
      <c r="Q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J97" s="16" t="n"/>
      <c r="K97" s="16" t="n"/>
      <c r="L97" s="16" t="n"/>
      <c r="M97" s="16" t="n"/>
      <c r="N97" s="16" t="n"/>
      <c r="O97" s="16" t="n"/>
      <c r="P97" s="16" t="n"/>
      <c r="Q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J98" s="16" t="n"/>
      <c r="K98" s="16" t="n"/>
      <c r="L98" s="16" t="n"/>
      <c r="M98" s="16" t="n"/>
      <c r="N98" s="16" t="n"/>
      <c r="O98" s="16" t="n"/>
      <c r="P98" s="16" t="n"/>
      <c r="Q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wording polish</t>
        </is>
      </c>
      <c r="J99" s="16" t="n"/>
      <c r="K99" s="16" t="n"/>
      <c r="L99" s="16" t="n"/>
      <c r="M99" s="16" t="n"/>
      <c r="N99" s="16" t="n"/>
      <c r="O99" s="16" t="n"/>
      <c r="P99" s="16" t="n"/>
      <c r="Q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J100" s="16" t="n"/>
      <c r="K100" s="16" t="n"/>
      <c r="L100" s="16" t="n"/>
      <c r="M100" s="16" t="n"/>
      <c r="N100" s="16" t="n"/>
      <c r="O100" s="16" t="n"/>
      <c r="P100" s="16" t="n"/>
      <c r="Q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wording polish</t>
        </is>
      </c>
      <c r="J101" s="16" t="n"/>
      <c r="K101" s="16" t="n"/>
      <c r="L101" s="16" t="n"/>
      <c r="M101" s="16" t="n"/>
      <c r="N101" s="16" t="n"/>
      <c r="O101" s="16" t="n"/>
      <c r="P101" s="16" t="n"/>
      <c r="Q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wording polish</t>
        </is>
      </c>
      <c r="J102" s="16" t="n"/>
      <c r="K102" s="16" t="n"/>
      <c r="L102" s="16" t="n"/>
      <c r="M102" s="16" t="n"/>
      <c r="N102" s="16" t="n"/>
      <c r="O102" s="16" t="n"/>
      <c r="P102" s="16" t="n"/>
      <c r="Q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 and DEF becomes 0 permanently. It cannot be destroyed until the end of foe’s turn.</t>
        </is>
      </c>
      <c r="I103" t="inlineStr">
        <is>
          <t>ATK&amp;DEF→ATK and DEF</t>
        </is>
      </c>
      <c r="J103" s="16" t="n"/>
      <c r="K103" s="16" t="n"/>
      <c r="L103" s="16" t="n"/>
      <c r="M103" s="16" t="n"/>
      <c r="N103" s="16" t="n"/>
      <c r="O103" s="16" t="n"/>
      <c r="P103" s="16" t="n"/>
      <c r="Q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equal to number of heads. Foe pay no Crystal cost.</t>
        </is>
      </c>
      <c r="I104" t="inlineStr">
        <is>
          <t>wording polish</t>
        </is>
      </c>
      <c r="J104" s="16" t="n"/>
      <c r="K104" s="17" t="inlineStr">
        <is>
          <t>Yes</t>
        </is>
      </c>
      <c r="L104" s="16" t="n"/>
      <c r="M104" s="16" t="n"/>
      <c r="N104" s="16" t="n"/>
      <c r="O104" s="16" t="n"/>
      <c r="P104" s="16" t="n"/>
      <c r="Q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equal to number of heads</t>
        </is>
      </c>
      <c r="J105" s="16" t="n"/>
      <c r="K105" s="16" t="n"/>
      <c r="L105" s="16" t="n"/>
      <c r="M105" s="16" t="n"/>
      <c r="N105" s="16" t="n"/>
      <c r="O105" s="16" t="n"/>
      <c r="P105" s="16" t="n"/>
      <c r="Q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J106" s="16" t="n"/>
      <c r="K106" s="16" t="n"/>
      <c r="L106" s="16" t="n"/>
      <c r="M106" s="16" t="n"/>
      <c r="N106" s="16" t="n"/>
      <c r="O106" s="16" t="n"/>
      <c r="P106" s="16" t="n"/>
      <c r="Q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Shortened; Exposed/cell/Crystal cost.</t>
        </is>
      </c>
      <c r="J107" s="16" t="n"/>
      <c r="K107" s="16" t="n"/>
      <c r="L107" s="16" t="n"/>
      <c r="M107" s="16" t="n"/>
      <c r="N107" s="16" t="n"/>
      <c r="O107" s="16" t="n"/>
      <c r="P107" s="16" t="n"/>
      <c r="Q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wording polish</t>
        </is>
      </c>
      <c r="J108" s="16" t="n"/>
      <c r="K108" s="16" t="n"/>
      <c r="L108" s="16" t="n"/>
      <c r="M108" s="16" t="n"/>
      <c r="N108" s="16" t="n"/>
      <c r="O108" s="16" t="n"/>
      <c r="P108" s="16" t="n"/>
      <c r="Q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with units costing 800 or more cost. Cannot use if already attacked.</t>
        </is>
      </c>
      <c r="I109" t="inlineStr">
        <is>
          <t>wording polish</t>
        </is>
      </c>
      <c r="J109" s="16" t="n"/>
      <c r="K109" s="16" t="n"/>
      <c r="L109" s="16" t="n"/>
      <c r="M109" s="16" t="n"/>
      <c r="N109" s="16" t="n"/>
      <c r="O109" s="16" t="n"/>
      <c r="P109" s="16" t="n"/>
      <c r="Q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with units costing 600 or less cost. Cannot use if already attacked.</t>
        </is>
      </c>
      <c r="I110" t="inlineStr">
        <is>
          <t>wording polish</t>
        </is>
      </c>
      <c r="J110" s="16" t="n"/>
      <c r="K110" s="16" t="n"/>
      <c r="L110" s="16" t="n"/>
      <c r="M110" s="16" t="n"/>
      <c r="N110" s="16" t="n"/>
      <c r="O110" s="16" t="n"/>
      <c r="P110" s="16" t="n"/>
      <c r="Q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with units costing 300 or less cost. Cannot use if already attacked.</t>
        </is>
      </c>
      <c r="I111" t="inlineStr">
        <is>
          <t>wording polish</t>
        </is>
      </c>
      <c r="J111" s="16" t="n"/>
      <c r="K111" s="16" t="n"/>
      <c r="L111" s="16" t="n"/>
      <c r="M111" s="16" t="n"/>
      <c r="N111" s="16" t="n"/>
      <c r="O111" s="16" t="n"/>
      <c r="P111" s="16" t="n"/>
      <c r="Q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J112" s="16" t="n"/>
      <c r="K112" s="16" t="n"/>
      <c r="L112" s="16" t="n"/>
      <c r="M112" s="16" t="n"/>
      <c r="N112" s="16" t="n"/>
      <c r="O112" s="16" t="n"/>
      <c r="P112" s="16" t="n"/>
      <c r="Q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J113" s="16" t="n"/>
      <c r="K113" s="16" t="n"/>
      <c r="L113" s="16" t="n"/>
      <c r="M113" s="16" t="n"/>
      <c r="N113" s="16" t="n"/>
      <c r="O113" s="16" t="n"/>
      <c r="P113" s="16" t="n"/>
      <c r="Q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2026-06-14T12:54:20Z</dcterms:created>
  <dcterms:modified xsi:type="dcterms:W3CDTF">2026-06-14T12:54:21Z</dcterms:modified>
</cp:coreProperties>
</file>