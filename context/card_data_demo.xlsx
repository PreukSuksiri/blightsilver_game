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Character" sheetId="2" r:id="rId5"/>
    <sheet name="Union" sheetId="3" r:id="rId6"/>
    <sheet name="Trap" sheetId="4" r:id="rId7"/>
    <sheet name="Tech" sheetId="5" r:id="rId8"/>
    <sheet name="Count" sheetId="6" r:id="rId9"/>
  </sheets>
</workbook>
</file>

<file path=xl/sharedStrings.xml><?xml version="1.0" encoding="utf-8"?>
<sst xmlns="http://schemas.openxmlformats.org/spreadsheetml/2006/main" uniqueCount="1305">
  <si>
    <t>Table 1</t>
  </si>
  <si>
    <t>Affinity</t>
  </si>
  <si>
    <t>Key strength</t>
  </si>
  <si>
    <t>Divine</t>
  </si>
  <si>
    <t>High defense, Anti-Chaos bonus</t>
  </si>
  <si>
    <t>Chaos</t>
  </si>
  <si>
    <t>High cost, powerful characters</t>
  </si>
  <si>
    <t>Arcane</t>
  </si>
  <si>
    <t>Spending a lot of crystal to maximize power in short time. A glass cannon.</t>
  </si>
  <si>
    <t>Nature</t>
  </si>
  <si>
    <t>Balanced, Union heavy</t>
  </si>
  <si>
    <t>Bio</t>
  </si>
  <si>
    <t>Few character,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</si>
  <si>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</si>
  <si>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</si>
  <si>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</si>
  <si>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</si>
  <si>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</si>
  <si>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</si>
  <si>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</si>
  <si>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</si>
  <si>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</si>
  <si>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</si>
  <si>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</si>
  <si>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</si>
  <si>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</si>
  <si>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</si>
  <si>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</si>
  <si>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</si>
  <si>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</si>
  <si>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47</t>
  </si>
  <si>
    <t>Booster Pack - Wind of Dominance / 51</t>
  </si>
  <si>
    <t>Pyromancer</t>
  </si>
  <si>
    <t>Character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</si>
  <si>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</si>
  <si>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</si>
  <si>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</si>
  <si>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</si>
  <si>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</si>
  <si>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</si>
  <si>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</si>
  <si>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</si>
  <si>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</si>
  <si>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</si>
  <si>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</si>
  <si>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</si>
  <si>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</si>
  <si>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</si>
  <si>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</si>
  <si>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</si>
  <si>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</si>
  <si>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</si>
  <si>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</si>
  <si>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Whisperor</t>
  </si>
  <si>
    <t>+30 ATK and DEF for each face-up ‘wisp’ card on their own field</t>
  </si>
  <si>
    <t>Leorudus the Warlord</t>
  </si>
  <si>
    <t xml:space="preserve">+20 ATK and 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</si>
  <si>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</si>
  <si>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</si>
  <si>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</si>
  <si>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</si>
  <si>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</si>
  <si>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 and DEF for each other face-up Nature card on your field</t>
  </si>
  <si>
    <t>Ironclad Sentinel</t>
  </si>
  <si>
    <t>Immune to 0-cost Traps. This Character cannot be destroyed by Tech Cards.</t>
  </si>
  <si>
    <t>Tomb Bandit</t>
  </si>
  <si>
    <t>This Character cannot be destroyed by Traps.</t>
  </si>
  <si>
    <t>Scout Probe</t>
  </si>
  <si>
    <t>Choose and reveal any adjacent square after it attacked.</t>
  </si>
  <si>
    <t>Lab Zombie</t>
  </si>
  <si>
    <t>With Mutagen Flag, this card gain +25 ATK against Nature or Anima Characters.</t>
  </si>
  <si>
    <t>Lab Bloater</t>
  </si>
  <si>
    <t xml:space="preserve">With Mutagen Flag, destroy the attacker after this card has been attacked. Also, the owner of this card does not pay Crystal Cost when it is destroyed.	</t>
  </si>
  <si>
    <t>Lab Crawler</t>
  </si>
  <si>
    <t>With Mutagen Flag, this card can attack twice</t>
  </si>
  <si>
    <t>Pit Lord</t>
  </si>
  <si>
    <t>his card is destroyed if battle with Divine Character. After this card attacked, halve its ATK and 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</si>
  <si>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</si>
  <si>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</si>
  <si>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</si>
  <si>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</si>
  <si>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</si>
  <si>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character</t>
  </si>
  <si>
    <t xml:space="preserve">War Genie </t>
  </si>
  <si>
    <t>-10 ATK permanently after it attacked</t>
  </si>
  <si>
    <t>Grand Wizard</t>
  </si>
  <si>
    <t>In battle calculation, flip a coin, if head, +30 ATK and DEF until the end of this turn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</si>
  <si>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</si>
  <si>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</si>
  <si>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</si>
  <si>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</si>
  <si>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</si>
  <si>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</si>
  <si>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</si>
  <si>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</si>
  <si>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</si>
  <si>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</si>
  <si>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</si>
  <si>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</si>
  <si>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</t>
  </si>
  <si>
    <t>Immortal Vampire</t>
  </si>
  <si>
    <t xml:space="preserve">+50 ATK for each other face-up Chaos card on their own field. If it battles with Divine Character, destroy this card. </t>
  </si>
  <si>
    <t>Vampire Servant</t>
  </si>
  <si>
    <t>If a 'Vampire' card will be destroyed, destroy this card instead. Can be triggered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</si>
  <si>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</si>
  <si>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</si>
  <si>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</si>
  <si>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</si>
  <si>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</si>
  <si>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</si>
  <si>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</si>
  <si>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</si>
  <si>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</si>
  <si>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</si>
  <si>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</si>
  <si>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character card is destroy, you can copy ATK, DEF, Crystal Cost of the destroyed card to this card instead. Can be triggered face-down.</t>
  </si>
  <si>
    <t>Death Stag</t>
  </si>
  <si>
    <t>Champion of the Valley</t>
  </si>
  <si>
    <t>+10 ATK permanently if it destroyed a character.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</si>
  <si>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</si>
  <si>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</si>
  <si>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</si>
  <si>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</si>
  <si>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</si>
  <si>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</si>
  <si>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</si>
  <si>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</si>
  <si>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</si>
  <si>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</si>
  <si>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</si>
  <si>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</si>
  <si>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</si>
  <si>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</si>
  <si>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</si>
  <si>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At battle calculation, flip a coin. If head: +20 ATK and DEF. If tail -20 ATK and DEF</t>
  </si>
  <si>
    <t>Armored Wolf</t>
  </si>
  <si>
    <t>Once during battle calculation, you can +50 ATK and -50 ATK permanently</t>
  </si>
  <si>
    <t>Berserker of Ice Sea</t>
  </si>
  <si>
    <t>If this card is exposed, increase its attack by 50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</si>
  <si>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</si>
  <si>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</si>
  <si>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</si>
  <si>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</si>
  <si>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</si>
  <si>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</si>
  <si>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</si>
  <si>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</si>
  <si>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</si>
  <si>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this card survive battle, gain ATK and DEF equal to the card it battled</t>
  </si>
  <si>
    <t>Wide smile lady</t>
  </si>
  <si>
    <t>Nuki the Tanuki</t>
  </si>
  <si>
    <t>At battle calculation, flip a coin, if head, swap this card’s position with any of character card on their own field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</si>
  <si>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</si>
  <si>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</si>
  <si>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</si>
  <si>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</si>
  <si>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</si>
  <si>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</si>
  <si>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</si>
  <si>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</si>
  <si>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</si>
  <si>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</si>
  <si>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</si>
  <si>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</si>
  <si>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</si>
  <si>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</si>
  <si>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</si>
  <si>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</si>
  <si>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</si>
  <si>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</si>
  <si>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</si>
  <si>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</si>
  <si>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AK if exposed</t>
  </si>
  <si>
    <t>Bomber Fairy</t>
  </si>
  <si>
    <t>Once, if destroyed a card, this card an attack 1 more time</t>
  </si>
  <si>
    <t>Totem Granpa</t>
  </si>
  <si>
    <t>+20 DEF vs Nature</t>
  </si>
  <si>
    <t>Golden Senju</t>
  </si>
  <si>
    <t>If this card attacked non-character card, this card can attack again, up to 3 times.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</si>
  <si>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</si>
  <si>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</si>
  <si>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</si>
  <si>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</si>
  <si>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</si>
  <si>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</si>
  <si>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</si>
  <si>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</si>
  <si>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+10 ATK and -10 DEF while performing attack.</t>
  </si>
  <si>
    <t>Lucky Statue</t>
  </si>
  <si>
    <t>+20 DEF vs Chaos</t>
  </si>
  <si>
    <t>Flame Seraph</t>
  </si>
  <si>
    <t>Halo Guardian</t>
  </si>
  <si>
    <t>+5 ATK and DEF for each face-up Chaos card on opponent’s field</t>
  </si>
  <si>
    <t>Benjamin the Holy Craftsman</t>
  </si>
  <si>
    <t>+10 ATK and DEF to other Divine card on their own field</t>
  </si>
  <si>
    <t>Raijin</t>
  </si>
  <si>
    <t>Moonrise Gentleman</t>
  </si>
  <si>
    <t>+10 DEF and -10 ATK while performing defense.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</si>
  <si>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</si>
  <si>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</si>
  <si>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</si>
  <si>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</si>
  <si>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</si>
  <si>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</si>
  <si>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</si>
  <si>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</si>
  <si>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</si>
  <si>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</si>
  <si>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</si>
  <si>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</si>
  <si>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character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</si>
  <si>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</si>
  <si>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</si>
  <si>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</si>
  <si>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</si>
  <si>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</si>
  <si>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</si>
  <si>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At battle calculation, flip a coin,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</si>
  <si>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</si>
  <si>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</si>
  <si>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</si>
  <si>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</si>
  <si>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</si>
  <si>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</si>
  <si>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</si>
  <si>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</si>
  <si>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</si>
  <si>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</si>
  <si>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</si>
  <si>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</si>
  <si>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</si>
  <si>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</si>
  <si>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</si>
  <si>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</si>
  <si>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</si>
  <si>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</si>
  <si>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</si>
  <si>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</si>
  <si>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</si>
  <si>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</si>
  <si>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</si>
  <si>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At battle calculation, destroy Chaos card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</si>
  <si>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</si>
  <si>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</si>
  <si>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</si>
  <si>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</si>
  <si>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</si>
  <si>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</si>
  <si>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</si>
  <si>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</si>
  <si>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</si>
  <si>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at the end of your turn. Remove the bonus after battle calculation.</t>
  </si>
  <si>
    <t>Miner Probe</t>
  </si>
  <si>
    <t>If this card attacks a dead end card, you receive 20 crystals</t>
  </si>
  <si>
    <t>Mine Guard</t>
  </si>
  <si>
    <t>If ‘Miner’ card will be destroyed, you can destroy this card instead. Can be triggered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</si>
  <si>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</si>
  <si>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</si>
  <si>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</si>
  <si>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</si>
  <si>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</si>
  <si>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</si>
  <si>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</si>
  <si>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</si>
  <si>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</si>
  <si>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</si>
  <si>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</si>
  <si>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</si>
  <si>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</si>
  <si>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</si>
  <si>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</si>
  <si>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</si>
  <si>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</si>
  <si>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Character that destroyed this card cannot attack until the end of your opponent’s turn.</t>
  </si>
  <si>
    <t>Skeleton Scout</t>
  </si>
  <si>
    <t>Once, attack again if this card attacked dead end card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</si>
  <si>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</si>
  <si>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</si>
  <si>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</si>
  <si>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</si>
  <si>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</si>
  <si>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</si>
  <si>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opponent’s side of the field.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</si>
  <si>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</si>
  <si>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</si>
  <si>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</si>
  <si>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</si>
  <si>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</si>
  <si>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</si>
  <si>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</si>
  <si>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+5 ATK if at the end of opponent’s turn, this card survived.</t>
  </si>
  <si>
    <t>Rotten Dog</t>
  </si>
  <si>
    <t>Grave Worm</t>
  </si>
  <si>
    <t>Whenever your opponent lose crystal, they lose 20 more crystals</t>
  </si>
  <si>
    <t>Coffin Spider</t>
  </si>
  <si>
    <t>Mysterious Miner</t>
  </si>
  <si>
    <t>When it successfully attacked, reveal 1 cell on your opponent’s field</t>
  </si>
  <si>
    <t>Staircase Lady</t>
  </si>
  <si>
    <t>Feral Vampire</t>
  </si>
  <si>
    <t>Destroy is card when battling with Divine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</si>
  <si>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</si>
  <si>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</si>
  <si>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</si>
  <si>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</si>
  <si>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</si>
  <si>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</si>
  <si>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</si>
  <si>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</si>
  <si>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</si>
  <si>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</si>
  <si>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</si>
  <si>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Destroy is card when battling with Divine card. At battle calculation, -5 ATK and DEF to the defender permanently. Also +ATK and DEF to this card permamently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</si>
  <si>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</si>
  <si>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</si>
  <si>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</si>
  <si>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</si>
  <si>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</si>
  <si>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</si>
  <si>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</si>
  <si>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</si>
  <si>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</si>
  <si>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</si>
  <si>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</si>
  <si>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</si>
  <si>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opponent lose crystal, they lose 100 more crystals</t>
  </si>
  <si>
    <t>Nanami the Long Neck</t>
  </si>
  <si>
    <t>If this card is revealed, your opponent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</si>
  <si>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</si>
  <si>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</si>
  <si>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</si>
  <si>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</si>
  <si>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</si>
  <si>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</si>
  <si>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</si>
  <si>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opponent attacker or defender without resolving damage calculation.</t>
  </si>
  <si>
    <t>Oni</t>
  </si>
  <si>
    <t>Nostra the Necromancer</t>
  </si>
  <si>
    <t>While this is face-up, whenever your card is destroyed, revive character with ATK and DEF not exceed 50 and place on any of your empty cell</t>
  </si>
  <si>
    <t>Bone Dragon</t>
  </si>
  <si>
    <t>When it’s destroyed, at the end of opponent’s turn, flip a coin. If head, revive it.</t>
  </si>
  <si>
    <t>Eldritch Overlord</t>
  </si>
  <si>
    <t>+10 ATK for each card in opponent’s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</si>
  <si>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</si>
  <si>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</si>
  <si>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</si>
  <si>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</si>
  <si>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</si>
  <si>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</si>
  <si>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</si>
  <si>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</si>
  <si>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</si>
  <si>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</si>
  <si>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</si>
  <si>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</si>
  <si>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</si>
  <si>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card cannot attack on the next of opponent’s turn</t>
  </si>
  <si>
    <t>Mad Raccoon</t>
  </si>
  <si>
    <t>Armored Money</t>
  </si>
  <si>
    <t>+10 ATK if there is face-up Nature card</t>
  </si>
  <si>
    <t>Magical Butterfly</t>
  </si>
  <si>
    <t>Whenever opponent’s tech card is activated, +10 ATK and 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</si>
  <si>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</si>
  <si>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</si>
  <si>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</si>
  <si>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</si>
  <si>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</si>
  <si>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</si>
  <si>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</si>
  <si>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</si>
  <si>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</si>
  <si>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</si>
  <si>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</si>
  <si>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</si>
  <si>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</si>
  <si>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</si>
  <si>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</si>
  <si>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</si>
  <si>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character at the end of this turn. This effect can be used faced down.</t>
  </si>
  <si>
    <t>White Tiger</t>
  </si>
  <si>
    <t>At battle calculation, -15 ATK to the attacker</t>
  </si>
  <si>
    <t>Sickle Mantis</t>
  </si>
  <si>
    <t>At battle calculation, -10 DEF to the defender</t>
  </si>
  <si>
    <t>Flame Lizard</t>
  </si>
  <si>
    <t>+20 ATK and DEF vs Nature</t>
  </si>
  <si>
    <t>Ostrich Cannon</t>
  </si>
  <si>
    <t>This card cannot attack during your next turn.</t>
  </si>
  <si>
    <t>Shotgun Shark</t>
  </si>
  <si>
    <t>Steel Eagle</t>
  </si>
  <si>
    <t>After this card attacked (survived or not), reveal 1 of your opponent’s face-down cell</t>
  </si>
  <si>
    <t>Warfare Bear</t>
  </si>
  <si>
    <t>+50 ATK vs Anima</t>
  </si>
  <si>
    <t>Dew the Frog Knight</t>
  </si>
  <si>
    <t>Shock Jellyfish</t>
  </si>
  <si>
    <t>If this card defended, opponent’s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</si>
  <si>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</si>
  <si>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</si>
  <si>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</si>
  <si>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</si>
  <si>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</si>
  <si>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Opponent cannot select face-down card as an attack target</t>
  </si>
  <si>
    <t>Death Cobra</t>
  </si>
  <si>
    <t>At the end of this turn, select 1 face-up card on your opponent’s field. Put 1 venom flag on it.</t>
  </si>
  <si>
    <t>Blood Hound</t>
  </si>
  <si>
    <t>When opponent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</si>
  <si>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</si>
  <si>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</si>
  <si>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</si>
  <si>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opponent’s card, gain 300 crystals</t>
  </si>
  <si>
    <t>Wending the Wise Princess</t>
  </si>
  <si>
    <t>Once, when this card is revealed, choose either reveal 1 card on opponent’s field or put 1 princes flag on your face-up character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</si>
  <si>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</si>
  <si>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</si>
  <si>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</si>
  <si>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</si>
  <si>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</si>
  <si>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</si>
  <si>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</si>
  <si>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character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</si>
  <si>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</si>
  <si>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</si>
  <si>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</si>
  <si>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</si>
  <si>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</si>
  <si>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</si>
  <si>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</si>
  <si>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</si>
  <si>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</si>
  <si>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</si>
  <si>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</si>
  <si>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</si>
  <si>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</si>
  <si>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</si>
  <si>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</si>
  <si>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</si>
  <si>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opponent’s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</si>
  <si>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</si>
  <si>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</si>
  <si>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</si>
  <si>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</si>
  <si>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</si>
  <si>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</si>
  <si>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</si>
  <si>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</si>
  <si>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</si>
  <si>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opponent’s turn, flip a coin. If head, your opponent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</si>
  <si>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</si>
  <si>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</si>
  <si>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</si>
  <si>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</si>
  <si>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</si>
  <si>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</si>
  <si>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</si>
  <si>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</si>
  <si>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</si>
  <si>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</si>
  <si>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</si>
  <si>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</si>
  <si>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</si>
  <si>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opponent’s cell, if tail, it lose 5 ATK</t>
  </si>
  <si>
    <t>Dwarven Bomber</t>
  </si>
  <si>
    <t>After this card battled, flip a coin. If 3 coin, reveal your opponent’s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</si>
  <si>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</si>
  <si>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</si>
  <si>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</si>
  <si>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</si>
  <si>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 and 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</si>
  <si>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</si>
  <si>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</si>
  <si>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</si>
  <si>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</si>
  <si>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</si>
  <si>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</si>
  <si>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</si>
  <si>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</si>
  <si>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</si>
  <si>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</si>
  <si>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</si>
  <si>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</si>
  <si>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</si>
  <si>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</si>
  <si>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</si>
  <si>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</si>
  <si>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</si>
  <si>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</si>
  <si>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</si>
  <si>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 and DEF if there is Union card on your field</t>
  </si>
  <si>
    <t>Bingo the Chrono Rabbit</t>
  </si>
  <si>
    <t>Once, when this card defends, the attacker attack is negated.</t>
  </si>
  <si>
    <t>Book with Fangs</t>
  </si>
  <si>
    <t>+30 ATK and DEF vs Arcane</t>
  </si>
  <si>
    <t>Mad Wyvern</t>
  </si>
  <si>
    <t>Ethereal Enchanter</t>
  </si>
  <si>
    <t>Whenever you use tech, this card gain 50 ATK and DEF until the end of opponent’s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</si>
  <si>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</si>
  <si>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</si>
  <si>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</si>
  <si>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</si>
  <si>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</si>
  <si>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</si>
  <si>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</si>
  <si>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</si>
  <si>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</si>
  <si>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</si>
  <si>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</si>
  <si>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</si>
  <si>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</si>
  <si>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</si>
  <si>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Opponent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</si>
  <si>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</si>
  <si>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</si>
  <si>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</si>
  <si>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 and DEF against Anima</t>
  </si>
  <si>
    <t>Maneating Slime</t>
  </si>
  <si>
    <t>+10 ATK vs Anima</t>
  </si>
  <si>
    <t>Claw Mutant</t>
  </si>
  <si>
    <t>+10 ATK if it has mutagen flag</t>
  </si>
  <si>
    <t>Vile Creeper</t>
  </si>
  <si>
    <t>While this card is face-up, at the end of your opponent’s turn, swap its ATK and DEF</t>
  </si>
  <si>
    <t>Bleacher Squad</t>
  </si>
  <si>
    <t>+20 ATK vs Bio</t>
  </si>
  <si>
    <t>Sweet Lure Pod</t>
  </si>
  <si>
    <t>This turn, opponent can only target this card for an attack.</t>
  </si>
  <si>
    <t>Gamma Emitter</t>
  </si>
  <si>
    <t>+10 ATK and DEF vs Nature</t>
  </si>
  <si>
    <t>Lessor Leech</t>
  </si>
  <si>
    <t>Attacker loses 400 crystals. You gain the same amount.</t>
  </si>
  <si>
    <t>Gluttonous Amoeba</t>
  </si>
  <si>
    <t>If this card battles, opponent’s next attack must target a Dead End.</t>
  </si>
  <si>
    <t>Sticky Grappler</t>
  </si>
  <si>
    <t>If this card defended, flip a coin. If head, turn ends immediately</t>
  </si>
  <si>
    <t>Scarlet Mutant</t>
  </si>
  <si>
    <t>Bladeshifter</t>
  </si>
  <si>
    <t>Once, after this card defended successfully, it permanently lose -40 DEF and permanently gain +40 ATK against attacker’s affinity</t>
  </si>
  <si>
    <t>Rotten Shrieker</t>
  </si>
  <si>
    <t>-10 ATK permanently at the end of your turn</t>
  </si>
  <si>
    <t>Plant 29</t>
  </si>
  <si>
    <t>At the start of your turn, select 1 face-up opponent’s card. Flip a coin, if head, put a venom flag on it. If tail, put mutagen flag on it.</t>
  </si>
  <si>
    <t>Spine Creeper</t>
  </si>
  <si>
    <t>Once, this card can attack twice, but lose 30 ATK at the end of turn.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</si>
  <si>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</si>
  <si>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</si>
  <si>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</si>
  <si>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characters lose 20 ATK and DEF until the end of turn.</t>
  </si>
  <si>
    <t>Black Worms</t>
  </si>
  <si>
    <t>At the end of your turn, -50 crystal for each mutagen flag on the field</t>
  </si>
  <si>
    <t>Hydra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</si>
  <si>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</si>
  <si>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</si>
  <si>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</si>
  <si>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</si>
  <si>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Striker Comet</t>
  </si>
  <si>
    <t>Once face-up, destroy it and the end of this turn</t>
  </si>
  <si>
    <t>Laser Walker</t>
  </si>
  <si>
    <t>Neptune Diver</t>
  </si>
  <si>
    <t>When this card attacks a trap, reveal 1 of your opponent’s cell</t>
  </si>
  <si>
    <t>Moon Rover</t>
  </si>
  <si>
    <t>When this card attacks dead end, reveal 1 of your opponent’s cell</t>
  </si>
  <si>
    <t>Parom the Smuggler</t>
  </si>
  <si>
    <t>Gain 40 crystals each time opponent’s grid is revealed</t>
  </si>
  <si>
    <t>Moon Tribe Marksman</t>
  </si>
  <si>
    <t>If you do not control another Moon card, -10 ATK</t>
  </si>
  <si>
    <t>Moon Tribe Twin Blades</t>
  </si>
  <si>
    <t>If this card attacks, flip a coin. If head, this card can attack twice.</t>
  </si>
  <si>
    <t>Mars Drill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</si>
  <si>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</si>
  <si>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</si>
  <si>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</si>
  <si>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opponent cell.</t>
  </si>
  <si>
    <t>Moon Tribe Demolisher</t>
  </si>
  <si>
    <t>Once, in battle calculation, destroy the defender. If you do not control another Moon card, also destroy this card.</t>
  </si>
  <si>
    <t>Space Junk Janitor</t>
  </si>
  <si>
    <t>During battle, you can choose to destroy 1 of your trap card to +20 ATK and DEF</t>
  </si>
  <si>
    <t>Space Scavenger</t>
  </si>
  <si>
    <t>When this card is face-up, gain 50 crystals per card in your void</t>
  </si>
  <si>
    <t>Electrogazer</t>
  </si>
  <si>
    <t>Negate all zero cost trap on both player’s field</t>
  </si>
  <si>
    <t>Satellite Cannon</t>
  </si>
  <si>
    <t>+20 ATK if attacking the 3x3 center zone. +40 more ATK if attacking the very center cell.</t>
  </si>
  <si>
    <t>This card is not affected by  traps</t>
  </si>
  <si>
    <t>Grand Fort Footsoldier</t>
  </si>
  <si>
    <t>Firework Mania</t>
  </si>
  <si>
    <t>Hairpin Assassin</t>
  </si>
  <si>
    <t>At battle calculation, you can pay 100 crystal. This card gain +10 ATK</t>
  </si>
  <si>
    <t>Grand Fort Archer</t>
  </si>
  <si>
    <t>Once, +10 ATK when attack</t>
  </si>
  <si>
    <t>Grand Fort Mauler</t>
  </si>
  <si>
    <t>Ox Patrol</t>
  </si>
  <si>
    <t>+5 ATK and DEF vs Non-Anima</t>
  </si>
  <si>
    <t>Shepherd Detective</t>
  </si>
  <si>
    <t>After this card attacks, reveal 1 of your opponent’s cell</t>
  </si>
  <si>
    <t>Witchhunter</t>
  </si>
  <si>
    <t>+5 ATK and DEF vs Arcane</t>
  </si>
  <si>
    <t>Silver Spearman</t>
  </si>
  <si>
    <t>+5 ATK vs Chaos</t>
  </si>
  <si>
    <t>Leopard Jailer</t>
  </si>
  <si>
    <t>If this card attacks a character card, the target is unable to attack until the end of their turn.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</si>
  <si>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</si>
  <si>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</si>
  <si>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</si>
  <si>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</si>
  <si>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</si>
  <si>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</si>
  <si>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</si>
  <si>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crystals</t>
  </si>
  <si>
    <t>Gryphon + 1 Divine + 1000 crystals</t>
  </si>
  <si>
    <t>10000
01000
00100
00010
00001</t>
  </si>
  <si>
    <t>Seraphim Fistmaster</t>
  </si>
  <si>
    <t>Double ATK and DEF against ??? Affinity</t>
  </si>
  <si>
    <t>Double ATK and DEF against Chaos</t>
  </si>
  <si>
    <t>1 ??? + 1 ??? + 1500 crystals</t>
  </si>
  <si>
    <t>1 card including ‘Seraph’ name + 1 Divine characters with at least 1000 crystal cost + 1500 crystals</t>
  </si>
  <si>
    <t>11011
10001
00000
10001
11011</t>
  </si>
  <si>
    <t>Gaia Turtle</t>
  </si>
  <si>
    <t>2 ??? + 2000 crystals</t>
  </si>
  <si>
    <t>2 characters with at least 100 DEF + 2000 crystals</t>
  </si>
  <si>
    <t>00000
01010
01110
01110
00000</t>
  </si>
  <si>
    <t>Barros the Collossol</t>
  </si>
  <si>
    <t>2 ???+ 1500 crystals</t>
  </si>
  <si>
    <t>2 Nature (≥ 1000 cost) + 1500 crystals</t>
  </si>
  <si>
    <t>00000
01010
00100
01010
00000</t>
  </si>
  <si>
    <t>Tendrill Tyrant</t>
  </si>
  <si>
    <t>Can attack ? times per turn</t>
  </si>
  <si>
    <t>Can attack 3 times per turn</t>
  </si>
  <si>
    <t>1 ??? + 2 ??? + 1500 crystals</t>
  </si>
  <si>
    <t>Bio card with mutagen flag + 2 Bio cards + 1500 crystals</t>
  </si>
  <si>
    <t>00100
00100
11111
00100
00100</t>
  </si>
  <si>
    <t>Helios the Prideful Fortress</t>
  </si>
  <si>
    <t>As long as there is face-up ???, this card cannot be ???</t>
  </si>
  <si>
    <t>As long as there is face-up cosmic character on their own field, this card cannot be destroyed</t>
  </si>
  <si>
    <t>2 ??? + 1500 crystal</t>
  </si>
  <si>
    <t>2 Cosmic card (≥ 1000 cost)
 + 1500 crystal</t>
  </si>
  <si>
    <t>00100
01010
10001
01010
00100</t>
  </si>
  <si>
    <t>X-Death Squad</t>
  </si>
  <si>
    <t>Pay ????, destroy opponent character during damage calculation. Opponent do not ????</t>
  </si>
  <si>
    <t>Pay 1000, destroy opponent character during damage calculation. Opponent do not lose crystal under this effect.</t>
  </si>
  <si>
    <t>1 ??? + ??? + 1000 crystals</t>
  </si>
  <si>
    <t>1 Anima (≥ 1000 cost) + 2 Anima cards + 1000 crystals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</si>
  <si>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</si>
  <si>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</si>
  <si>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</si>
  <si>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</si>
  <si>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card (≥ 1000 cost) + 1000 crystals</t>
  </si>
  <si>
    <t>00100
01110
01010
01110
00000</t>
  </si>
  <si>
    <t>Interplanetary Assassin</t>
  </si>
  <si>
    <t>+?? ATK vs Cosmic</t>
  </si>
  <si>
    <t>+100 ATK vs Cosmic</t>
  </si>
  <si>
    <t>2 ??? + 1500 crystals</t>
  </si>
  <si>
    <t>2 Cosmic cards (≥ 1000 cost)  + 1500 crystals</t>
  </si>
  <si>
    <t>00100
11111
00000
11111
00100</t>
  </si>
  <si>
    <t>Bioterrorist</t>
  </si>
  <si>
    <t>Destroy this card after ???</t>
  </si>
  <si>
    <t>Destroy this card after battle calculation</t>
  </si>
  <si>
    <t>2 ??? + 1000 crystal</t>
  </si>
  <si>
    <t>2 Bio cards (≥ 1000 cost) + 1000 crystal</t>
  </si>
  <si>
    <t>10001
01010
00000
01010
10001</t>
  </si>
  <si>
    <t>One Winged Angel</t>
  </si>
  <si>
    <t>+??? ATK permanently at ???</t>
  </si>
  <si>
    <t>+30 ATK permanently at the end of your turn</t>
  </si>
  <si>
    <t>1 Cleaver Saint + 1 Divine card + 1500 crystal</t>
  </si>
  <si>
    <t>00011
00011
00011
00011
00011</t>
  </si>
  <si>
    <t>Rocket Tyrant</t>
  </si>
  <si>
    <t>1 ??? + 1 ??? + 1000 crystal</t>
  </si>
  <si>
    <t>1 Bio (≥ 1000 cost) + 1 Anima (≥ 1000 cost) + 1000 crystal</t>
  </si>
  <si>
    <t>10101
01010
10101
01010
10101</t>
  </si>
  <si>
    <t>Lord of Terror</t>
  </si>
  <si>
    <t>-50 ATK if ???</t>
  </si>
  <si>
    <t>-50 ATK if attacks dead end card</t>
  </si>
  <si>
    <t>2 Chaos (≥ 1000 cost) + 1000 crystal</t>
  </si>
  <si>
    <t>00100
00100
00100
11111
00100</t>
  </si>
  <si>
    <t>Armored Dino</t>
  </si>
  <si>
    <t>During battle calculation, pay ??? crystal cost to +??DEF</t>
  </si>
  <si>
    <t>During battle calculation, pay 1000 crystal cost to +60 DEF</t>
  </si>
  <si>
    <t>1 Armored Nature card + 1 Nature (≥ 1000 cost) + 1000 crystals</t>
  </si>
  <si>
    <t>00000
11111
11111
00000
00000</t>
  </si>
  <si>
    <t>Greater Succubus</t>
  </si>
  <si>
    <t>If this card survived a battle, gain ????</t>
  </si>
  <si>
    <t>If this card survived a battle, gain half of ATK and DEF equal to card it battled</t>
  </si>
  <si>
    <t>1 Succubus + 1 Chaos card + 1000 crystals</t>
  </si>
  <si>
    <t>00100
11111
10001
10001
00000</t>
  </si>
  <si>
    <t>Pixie Queen</t>
  </si>
  <si>
    <t>+5 ATK for each ????</t>
  </si>
  <si>
    <t>+5 ATK for each Divine cards on their own field</t>
  </si>
  <si>
    <t>1 Tiny Pixie + 1 Divine card + 1000 crystal</t>
  </si>
  <si>
    <t>00100
00100
10001
10101
01010</t>
  </si>
  <si>
    <t>Diamond Unicorn</t>
  </si>
  <si>
    <t>+15 ATK until ????</t>
  </si>
  <si>
    <t>+15 ATK until the end of this turn, once.</t>
  </si>
  <si>
    <t>1 Ponycorn + 1 Divine card + 1000 crystals</t>
  </si>
  <si>
    <t>Choir Lead Amber</t>
  </si>
  <si>
    <t>+20 ATK to all ?????</t>
  </si>
  <si>
    <t>+20 ATK to all Divine characters on their own field</t>
  </si>
  <si>
    <t>3 ??? + 1000 crystals</t>
  </si>
  <si>
    <t>3 Choir Lady cards + 1000 crystals</t>
  </si>
  <si>
    <t>01100
01011
01001
11000
11000</t>
  </si>
  <si>
    <t>Genesis Mech</t>
  </si>
  <si>
    <t>Once, destroy ???or ??? card</t>
  </si>
  <si>
    <t>Once, destroy Divine or Anima card</t>
  </si>
  <si>
    <t>1 Cruel Angel + 1 Anima Card + 1000 crystals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</si>
  <si>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</si>
  <si>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</si>
  <si>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</si>
  <si>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</si>
  <si>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crystals</t>
  </si>
  <si>
    <t>1 Sphinx character + 1 Divine card + 1000 crystals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</si>
  <si>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</si>
  <si>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</si>
  <si>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</si>
  <si>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</si>
  <si>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crystals</t>
  </si>
  <si>
    <t>1 Sphinx character + 1 Anima + 1000 crystals</t>
  </si>
  <si>
    <t>11111
01110
00100
00000
00000</t>
  </si>
  <si>
    <t>Keeper of Righteous</t>
  </si>
  <si>
    <t>+??? ATK vs ?? and ??</t>
  </si>
  <si>
    <t>+20 ATK vs Chaos and Arcane</t>
  </si>
  <si>
    <t>2 ???+ 2000 crystals</t>
  </si>
  <si>
    <t>2 Sphinx characters + 2000 crystals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</si>
  <si>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</si>
  <si>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</si>
  <si>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</si>
  <si>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</si>
  <si>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crystals</t>
  </si>
  <si>
    <t>00100
00100
00100
00100
00100</t>
  </si>
  <si>
    <t>Raijin and Fujin</t>
  </si>
  <si>
    <t>Raijin + Fujin + 1000 crystals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</si>
  <si>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</si>
  <si>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</si>
  <si>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</si>
  <si>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</si>
  <si>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crystals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</si>
  <si>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</si>
  <si>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</si>
  <si>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</si>
  <si>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</si>
  <si>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Sunrise Lady + Moonrise Gentleman + 1000 crystals</t>
  </si>
  <si>
    <t>11111
00000
00000
00000
00000</t>
  </si>
  <si>
    <t>Twin Axe Saintess</t>
  </si>
  <si>
    <t>This card can ??? per turn</t>
  </si>
  <si>
    <t>This card can attack twice per turn</t>
  </si>
  <si>
    <t>1??? + 1 ??? + 1500 crystals</t>
  </si>
  <si>
    <t>Lady of the Sacred Pond + 1 Anima + 1500 crystals</t>
  </si>
  <si>
    <t>11011
01010
01010
01010
00000</t>
  </si>
  <si>
    <t>Blast Beam Seraph</t>
  </si>
  <si>
    <t>Gerald of the Heavenly Light + 1 Divine + 1500 crystals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</si>
  <si>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</si>
  <si>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</si>
  <si>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</si>
  <si>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</si>
  <si>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monsters with at least 1000 crystal cost + 2000 crystals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</si>
  <si>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</si>
  <si>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</si>
  <si>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</si>
  <si>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</si>
  <si>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+ 1000 crystals</t>
  </si>
  <si>
    <t>11111
01110
01110
00100
00100</t>
  </si>
  <si>
    <t>Kitsune</t>
  </si>
  <si>
    <t>Dark Monk + 1 Chaos + 1000 crystals</t>
  </si>
  <si>
    <t>01100
00110
01100
00110
01100</t>
  </si>
  <si>
    <t>Ten Arms Yaksa</t>
  </si>
  <si>
    <t>This card can attack ??? times. -?? ATK for each successful attack.</t>
  </si>
  <si>
    <t>This card can attack 3 times. -5 ATK for each successful attack.</t>
  </si>
  <si>
    <t>Yaksa + 1 Chaos + 1000 crystals</t>
  </si>
  <si>
    <t>11011
00100
00100
11111
10101</t>
  </si>
  <si>
    <t>Skeleton Overlord</t>
  </si>
  <si>
    <t>3 Skeleton cards + 1000 crystals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</si>
  <si>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</si>
  <si>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</si>
  <si>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</si>
  <si>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</si>
  <si>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crystals</t>
  </si>
  <si>
    <t>4 Chaos card (≥ 1000 cost) + 2000 crystals</t>
  </si>
  <si>
    <t>10001
00000
00000
00000
10001</t>
  </si>
  <si>
    <t>Katana Shark</t>
  </si>
  <si>
    <t>3 sharks card + 1000 crystals</t>
  </si>
  <si>
    <t>11000
00100
00010
00010
00001</t>
  </si>
  <si>
    <t>Ultimate Volcanic Dragon</t>
  </si>
  <si>
    <t>Can attack if ???? on your field. Pay 1000 crystals to ????.</t>
  </si>
  <si>
    <t>Can attack if this is the only face-up card on your field. Pay 1000 crystals to command this card to attack.</t>
  </si>
  <si>
    <t>5 ??? + 3000 crystals</t>
  </si>
  <si>
    <t>5 Nature cards + 3000 crystals</t>
  </si>
  <si>
    <t>10001
00000
00100
00010
10001</t>
  </si>
  <si>
    <t>Rocket Peacock</t>
  </si>
  <si>
    <t>After this card battles, select 1 card on your opponent’s field, flip a coin. If head, ???</t>
  </si>
  <si>
    <t>After this card battles, select 1 card on your opponent’s field, flip a coin. If head, destroy that card</t>
  </si>
  <si>
    <t>Ostrich Cannon + 1 Nature card + 1500 crystals</t>
  </si>
  <si>
    <t>10001
10001
10001
00000
00100</t>
  </si>
  <si>
    <t>Scarlet Shroom</t>
  </si>
  <si>
    <t xml:space="preserve">If ???, put venom flag on all ???. </t>
  </si>
  <si>
    <t>If this card is union summoned, put venom flag on ???</t>
  </si>
  <si>
    <t>2 ??? + 1000 crystals</t>
  </si>
  <si>
    <t>2 Nature cards + 1000 crystals</t>
  </si>
  <si>
    <t>11111
00100
00100
00100
00000</t>
  </si>
  <si>
    <t>Ancient Lizard</t>
  </si>
  <si>
    <t>1 Flame Lizard + 1 Nature card + 1000 crystals</t>
  </si>
  <si>
    <t>00000
00100
01110
00100
00000</t>
  </si>
  <si>
    <t>Beowolf</t>
  </si>
  <si>
    <t>+?? ATK when this card can destroy ???</t>
  </si>
  <si>
    <t>+25 ATK when this card can destroy a character card</t>
  </si>
  <si>
    <t>1 Kulu the Alpha Leader + 1 Anima card + 1000 crystals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</si>
  <si>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</si>
  <si>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</si>
  <si>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</si>
  <si>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</si>
  <si>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crystals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</si>
  <si>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</si>
  <si>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</si>
  <si>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</si>
  <si>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</si>
  <si>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+ 1500 crystals</t>
  </si>
  <si>
    <t>3 cards including ‘princess’ name or card with princess flag + 1500 crystals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</si>
  <si>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</si>
  <si>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</si>
  <si>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</si>
  <si>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</si>
  <si>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+ 1??? + 1500 crystals</t>
  </si>
  <si>
    <t>Wild Centaur + Wild Minotaur + Wild Pegasus + 1500 crystals</t>
  </si>
  <si>
    <t>00000
01110
01010
01110
00000</t>
  </si>
  <si>
    <t>Burning Phoenix</t>
  </si>
  <si>
    <t>This card cannot be destroyed by ???. When this card is targeted by tech, ???</t>
  </si>
  <si>
    <t>This card cannot be destroyed by non-union cards. When this card is targeted by tech, destroy it immediately.</t>
  </si>
  <si>
    <t>1 ??? + 1 ??? + 1 ??? + 2000 crystals</t>
  </si>
  <si>
    <t>1 Arcane (≥ 1000 cost) + 1 Nature (≥ 1000 cost) + 1 Divine (≥ 1000 cost) + 2000 crystals</t>
  </si>
  <si>
    <t>00100
01110
10101
00000
00000</t>
  </si>
  <si>
    <t>Wyriah the Roc</t>
  </si>
  <si>
    <t>This card is unaffected by ???</t>
  </si>
  <si>
    <t>This card is unaffected by trap effect</t>
  </si>
  <si>
    <t>1 ??? + 1 ??? + 2000 crystals</t>
  </si>
  <si>
    <t>1 Steel Eagle + 1 Nature (≥ 1000 cost) + 2000 crystals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</si>
  <si>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</si>
  <si>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</si>
  <si>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</si>
  <si>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</si>
  <si>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crystals</t>
  </si>
  <si>
    <t>Berserk Hyena</t>
  </si>
  <si>
    <t>2 ???+ 1000 crystals</t>
  </si>
  <si>
    <t>2 Nature + 1000 crystals</t>
  </si>
  <si>
    <t>00000
11111
10101
10101
00000</t>
  </si>
  <si>
    <t>Ice Hawk</t>
  </si>
  <si>
    <t>Defender is ??? on next opponent’s turn.</t>
  </si>
  <si>
    <t>Defender is unable to attack on next opponent’s turn.</t>
  </si>
  <si>
    <t>Drill Woodpecker + 1 Nature + 1000 crystals</t>
  </si>
  <si>
    <t>10100
01111
10100
00000
00000</t>
  </si>
  <si>
    <t>False Prophet</t>
  </si>
  <si>
    <t>At the start of your turn, you may flip ???. If it was a ???, destroy this card. If it was character or trap, ???.</t>
  </si>
  <si>
    <t>At the start of your turn, you may flip one of your opponent face-down cards face-up. If it was a Dead End, destroy this card. If it was character or trap, gain 200 crystal</t>
  </si>
  <si>
    <t>2 Divine cards + 1000 crystals</t>
  </si>
  <si>
    <t>00100
01010
00100
00000
00000</t>
  </si>
  <si>
    <t>Dwarven Drill</t>
  </si>
  <si>
    <t>At the end of this turn, reveal ???. You cannot use this effect if ???.</t>
  </si>
  <si>
    <t>At the end of this turn, reveal 2 card on your opponent field. You cannot use this effect if you have already attacked this turn.</t>
  </si>
  <si>
    <t>2 ??? + 1500 crystal.</t>
  </si>
  <si>
    <t>2 Dwarven cards + 1500 crystal.</t>
  </si>
  <si>
    <t>00001
01111
11100
00000
00000</t>
  </si>
  <si>
    <t>Cullan the Flaming Blade</t>
  </si>
  <si>
    <t>+??? ATK and DEF vs Nature</t>
  </si>
  <si>
    <t>+30 ATK and DEF vs Nature</t>
  </si>
  <si>
    <t>1 ??? + 1 ??? + 1000</t>
  </si>
  <si>
    <t>Cullan the Magic Swordsman + Red Mage + 1000 crystals</t>
  </si>
  <si>
    <t>00001
00010
01100
01110
10000</t>
  </si>
  <si>
    <t>The Undertaker</t>
  </si>
  <si>
    <t>Whenever an opponent destroys one of your cards, gain +15 ATK permanently (max +60).</t>
  </si>
  <si>
    <t>Mad Doctor + 1 Chaos card + 1000 crystals</t>
  </si>
  <si>
    <t xml:space="preserve">00000
00000 
01110
01110
01110
</t>
  </si>
  <si>
    <t>Colorful Mage</t>
  </si>
  <si>
    <t>-10 ATK and DEF permanently if battles against non-Arcane card.</t>
  </si>
  <si>
    <t>Red Mage + Green Mage + Blue Mage + 1000 crystals</t>
  </si>
  <si>
    <t>Ethereal Marquees</t>
  </si>
  <si>
    <t>-80 DEF if ???</t>
  </si>
  <si>
    <t>-80 DEF if defends against Arcane card. If this card battles and survived, pay 500 crystal cost</t>
  </si>
  <si>
    <t>Nobleman of Luminaso + 1 Arcane card + 1500 crystals</t>
  </si>
  <si>
    <t>00100
01010
10101
01010
10101</t>
  </si>
  <si>
    <t>Charm Mistress</t>
  </si>
  <si>
    <t>At the beginning of your opponent’s turn, flip a coin. If head, your opponent can only attack once.</t>
  </si>
  <si>
    <t>Alluring Spellcaster + 1 Arcane card + 1500 crystals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</si>
  <si>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</si>
  <si>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</si>
  <si>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</si>
  <si>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+ 1500 crystals.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</si>
  <si>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</si>
  <si>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</si>
  <si>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</si>
  <si>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crystals.</t>
  </si>
  <si>
    <t xml:space="preserve">10001
01010 
00100
01010
10001
</t>
  </si>
  <si>
    <t>Diamond Elemental</t>
  </si>
  <si>
    <t>Fire Elemental + Earth Elemental + 1000 crystals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</si>
  <si>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</si>
  <si>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</si>
  <si>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</si>
  <si>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crystals</t>
  </si>
  <si>
    <t xml:space="preserve">00000
01110 
00100
01110
00000
</t>
  </si>
  <si>
    <t>Cloud Elemental</t>
  </si>
  <si>
    <t>Fire Elemental + Water Elemental + 1000 crystals</t>
  </si>
  <si>
    <t xml:space="preserve">00100
00100 
01110
01110
00000
</t>
  </si>
  <si>
    <t>Thunder Elemental</t>
  </si>
  <si>
    <t>After successful attack, reveal 1 of your opponent’s card</t>
  </si>
  <si>
    <t>Fire Elemental + Wind Elemental + 1000 crystals</t>
  </si>
  <si>
    <t xml:space="preserve">00010
00110 
00100
01100
01000
</t>
  </si>
  <si>
    <t>Wood Elemental</t>
  </si>
  <si>
    <t>At the end of this turn, +10 DEF permanently</t>
  </si>
  <si>
    <t>Water Elemental + Earth Elemental + 1000 crystals</t>
  </si>
  <si>
    <t>Sand Elemental</t>
  </si>
  <si>
    <t>+40 ATK and DEF vs Non-Arcane cards</t>
  </si>
  <si>
    <t>Wind Elemental + Earth Elemental + 1000 crystals</t>
  </si>
  <si>
    <t xml:space="preserve">00000
01110 
01110
01110
00000
</t>
  </si>
  <si>
    <t>Nuclear Elemental</t>
  </si>
  <si>
    <t>At the end of this turn, +10 ATK permanently</t>
  </si>
  <si>
    <t>Mind Elemental + Fire Elemental + 1500 crystals</t>
  </si>
  <si>
    <t>Acid Elemental</t>
  </si>
  <si>
    <t xml:space="preserve">When this card is union summoned, put acid flag on all of your opponent’s face-up card. At the end of opponent’s turn, card with acid flag -10 DEF </t>
  </si>
  <si>
    <t>Mind Elemental + Water Elemental + 1500 crystals</t>
  </si>
  <si>
    <t>Vacuum Elemental</t>
  </si>
  <si>
    <t>Mind Elemental + Wind Elemental + 1500 crystals</t>
  </si>
  <si>
    <t>Magnet Elemental</t>
  </si>
  <si>
    <t>Your opponent’s non-Arcane cards cannot target face-up card other than this card.</t>
  </si>
  <si>
    <t>Mind Elemental + Earth Elemental + 1500 crystals</t>
  </si>
  <si>
    <t>Dwarven Berserker</t>
  </si>
  <si>
    <t>This card can attack twice</t>
  </si>
  <si>
    <t>1 Dwarven card + 1 Arcane or Anima card + 1500 crystals</t>
  </si>
  <si>
    <t xml:space="preserve">01110
10101 
00100
00100
00000
</t>
  </si>
  <si>
    <t>Grand Fort Captain</t>
  </si>
  <si>
    <t>2 Grand Fort card + 1000 crystals</t>
  </si>
  <si>
    <t xml:space="preserve">00000
00100 
01110
00100
00000
</t>
  </si>
  <si>
    <t>Volatile Slasher</t>
  </si>
  <si>
    <t>While this card attacking, it gain +50 ATK bonus vs target’s affinity permanently, once per affinity.</t>
  </si>
  <si>
    <t>1 Bladeshifter + 1 Bio card + 1000 crystals</t>
  </si>
  <si>
    <t xml:space="preserve">10000
01100 
01100
01100
10000
</t>
  </si>
  <si>
    <t>Moon Tribe Shaman</t>
  </si>
  <si>
    <t>Upon union, revive 1 Moon card on your empty cell. Double its cost.</t>
  </si>
  <si>
    <t>1 Moon card+ 1 Cosmic card + 1000 crystals</t>
  </si>
  <si>
    <t xml:space="preserve">10001
01010 
00100
00100
00100
</t>
  </si>
  <si>
    <t>Rebel King</t>
  </si>
  <si>
    <t>At the end of your opponent’s turn, your opponent select 1 of their face-up card (if any) and swap ATK and DEF</t>
  </si>
  <si>
    <t>Jirayu the Rebellious Prince + 1 Anima card + 1000 crystals</t>
  </si>
  <si>
    <t xml:space="preserve">00100
00000 
10101
00100
00100
</t>
  </si>
  <si>
    <t>Kiba the Giant Slayer</t>
  </si>
  <si>
    <t>+30 ATK vs Union</t>
  </si>
  <si>
    <t>Kiyoko the Death Whisper + Silver Spearman + 1500</t>
  </si>
  <si>
    <t xml:space="preserve">01010
01010 
01010
01010
01010
</t>
  </si>
  <si>
    <t>Moon Ninja Lady</t>
  </si>
  <si>
    <t>Once, this card is not destroyed.</t>
  </si>
  <si>
    <t>Kiyoko the Death Whisper + 1 Anima card + 1000</t>
  </si>
  <si>
    <t xml:space="preserve">00100
00100 
01110
00100
00100
</t>
  </si>
  <si>
    <t>Imperial Frame</t>
  </si>
  <si>
    <t>Laser Walker + 1 Cosmic card + 1000</t>
  </si>
  <si>
    <t xml:space="preserve">00000
00111
00011
10000
11100
</t>
  </si>
  <si>
    <t>Giant Meteor Vergaia</t>
  </si>
  <si>
    <t>Once face-up, destroy it and the end of this turn. Select all face-up opponent’s card in adjacent of target cell with 60 DEF or less, destroy them.</t>
  </si>
  <si>
    <t>Striker Comet + 2 Cosmic card + 2000</t>
  </si>
  <si>
    <t xml:space="preserve">10000
01000 
00000
00111
00111
</t>
  </si>
  <si>
    <t>Blood-hungry Mutant</t>
  </si>
  <si>
    <t>If this card destroyed opponent’s card, +80 crystals</t>
  </si>
  <si>
    <t>2 Mutant cards + 1000 crystals</t>
  </si>
  <si>
    <t>00000
01010
10101
01010
00000</t>
  </si>
  <si>
    <t>Gamma Mermaid</t>
  </si>
  <si>
    <t>-20 DEF to non-Bio defender</t>
  </si>
  <si>
    <t>1 Gamma cards + 1 Bio card + 1000</t>
  </si>
  <si>
    <t xml:space="preserve">00000
01110 
01010
01110
00000
</t>
  </si>
  <si>
    <t>Booster Pack - Blightsilver / 9</t>
  </si>
  <si>
    <t>Booster Pack - Unseen Presence / 9</t>
  </si>
  <si>
    <t>Booster Pack - Wind of Dominance / 5</t>
  </si>
  <si>
    <t>Trap Hole</t>
  </si>
  <si>
    <t>Trap</t>
  </si>
  <si>
    <t>Attacking player loses 20 Crystals</t>
  </si>
  <si>
    <t>Hostage</t>
  </si>
  <si>
    <t>Reveal all adjacent cells. Until the end of this turn, these square cannot be selected as attack target until the end of this turn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</si>
  <si>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</si>
  <si>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</si>
  <si>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</si>
  <si>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</si>
  <si>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</si>
  <si>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 and DEF until the end of this turn</t>
  </si>
  <si>
    <t>Explosive Barrels</t>
  </si>
  <si>
    <t xml:space="preserve">Destroy the attacking character. Defending player also lose crystal equal to the attacking monster's cost.
</t>
  </si>
  <si>
    <t xml:space="preserve">Hypnosis </t>
  </si>
  <si>
    <t>The attacking character cannot attack during their next turn</t>
  </si>
  <si>
    <t>Flame Trap</t>
  </si>
  <si>
    <t>Permanently -10 ATK to the Attacking character</t>
  </si>
  <si>
    <t>Echo Barrier</t>
  </si>
  <si>
    <t>All attacker’s characters cannot attack until the end of this turn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</si>
  <si>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</si>
  <si>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</si>
  <si>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</si>
  <si>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</si>
  <si>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</si>
  <si>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character</t>
  </si>
  <si>
    <t>Snare Trap</t>
  </si>
  <si>
    <t>The attacker's effect becomes None until the end of their next turn</t>
  </si>
  <si>
    <t>Brainwash</t>
  </si>
  <si>
    <t>The attacking player chooses their own ally as an attack target</t>
  </si>
  <si>
    <t>Bunker</t>
  </si>
  <si>
    <t>Player cannot select adjacent cell as an attack target until the end of this turn.</t>
  </si>
  <si>
    <t>Foul Gas</t>
  </si>
  <si>
    <t>-5 ATK to all the attacking player’s characters until the end of this turn</t>
  </si>
  <si>
    <t>Choking Gas</t>
  </si>
  <si>
    <t>-20 ATK to all the attacking player’s characters until the end of this turn</t>
  </si>
  <si>
    <t>Potent Poison</t>
  </si>
  <si>
    <t>Attacking character permanently lose 5 ATK and DEF for each trap cards in your void</t>
  </si>
  <si>
    <t>Acid Trap Hole</t>
  </si>
  <si>
    <t>Attacking player loses 50 Crystals</t>
  </si>
  <si>
    <t>Lava Trap Hole</t>
  </si>
  <si>
    <t>Attacking player loses 100 Crystals</t>
  </si>
  <si>
    <t>Fissure</t>
  </si>
  <si>
    <t>Attacking player loses 200 Crystals</t>
  </si>
  <si>
    <t>Soul Blast</t>
  </si>
  <si>
    <t>Attacking player lose 150 Crystals for each character cards in your void</t>
  </si>
  <si>
    <t>Grudge</t>
  </si>
  <si>
    <t>-10 ATK to the attacking monster permanently for each character cards in your void</t>
  </si>
  <si>
    <t>Anti-virus</t>
  </si>
  <si>
    <t>If attacking character Is Bio affinity, flip a coin. If head, destroy it.</t>
  </si>
  <si>
    <t>Witch Hunt</t>
  </si>
  <si>
    <t>If attacking character Is Arcane affinity, flip a coin. If head, destroy it.</t>
  </si>
  <si>
    <t>Standoff</t>
  </si>
  <si>
    <t>If attacking character Is Anima affinity, flip a coin. If head, destroy it.</t>
  </si>
  <si>
    <t>Apple of Adam</t>
  </si>
  <si>
    <t>If attacking character Is Divine affinity, flip a coin. If head, destroy it.</t>
  </si>
  <si>
    <t>Purify</t>
  </si>
  <si>
    <t>If attacking character Is Chaos affinity, flip a coin. If head, destroy it.</t>
  </si>
  <si>
    <t>Solar Flare</t>
  </si>
  <si>
    <t>If attacking character Is Cosmic affinity, flip a coin. If head, destroy it.</t>
  </si>
  <si>
    <t>Hunting Season</t>
  </si>
  <si>
    <t>If attacking character Is Nature affinity, flip a coin. If head, destroy it.</t>
  </si>
  <si>
    <t>Dart Trap</t>
  </si>
  <si>
    <t>If the attacking monster is the first one in that turn, destroy it.</t>
  </si>
  <si>
    <t>Science Cage</t>
  </si>
  <si>
    <t>If attacking character Is Bio affinity, end their turn immediately. Remove all flags from it.</t>
  </si>
  <si>
    <t>Loop Hole</t>
  </si>
  <si>
    <t>If attacking character Is Arcane, the next attack of your opponent on a dead endcard will end the their turn</t>
  </si>
  <si>
    <t>Talisman of Light</t>
  </si>
  <si>
    <t>If attacking character Is Chaos, -20 ATK to that monster permanently</t>
  </si>
  <si>
    <t>Forbidden Grail</t>
  </si>
  <si>
    <t>If attacking character Is Divine, -20 DEF to that monster permanently</t>
  </si>
  <si>
    <t>Electric Fence</t>
  </si>
  <si>
    <t>If attacking character Is Nature, it cannot attack for the rest of their next turn</t>
  </si>
  <si>
    <t>Discourage</t>
  </si>
  <si>
    <t>If attacking character Is Anima -15 ATK to all face-up cards on their field until the end of their turn</t>
  </si>
  <si>
    <t>Galaxy Toll</t>
  </si>
  <si>
    <t>If attacking character Is Cosmic, your opponent choose either pay 800 crystal cost. Or it cannot attack for the rest of their next turn</t>
  </si>
  <si>
    <t>Union Cage</t>
  </si>
  <si>
    <t>If attacking character Is Union card, that character cannot attack until the end of their next turn.</t>
  </si>
  <si>
    <t>Plunder</t>
  </si>
  <si>
    <t>Your opponent choose to let you receive 2000 crystals, or destroy the attacking monster.</t>
  </si>
  <si>
    <t>Decoy Puppet</t>
  </si>
  <si>
    <t>Can be triggered whenever your card battles, 1 attacker’s attack is cancelled</t>
  </si>
  <si>
    <t>Hard Scale</t>
  </si>
  <si>
    <t>Can be triggered whenever your card battles,. +5 DEF to 1 of your card until the end of this turn</t>
  </si>
  <si>
    <t>Steel Scale</t>
  </si>
  <si>
    <t>Can be triggered face-down. +15 DEF to 1 of your card until the end of this turn</t>
  </si>
  <si>
    <t>Trick Door</t>
  </si>
  <si>
    <t>Swap position between 2 face-up characters on your side of the field</t>
  </si>
  <si>
    <t>Boiling Oil</t>
  </si>
  <si>
    <t>Can be triggered face-down. -10 ATK to 1 of your opponent card until the end of this turn</t>
  </si>
  <si>
    <t>Lightning Rod</t>
  </si>
  <si>
    <t>Opponent lose 1000 crystals if they target this card with any tech card</t>
  </si>
  <si>
    <t>Dreamcatcher</t>
  </si>
  <si>
    <t>You can use this trap when your opponent use a tech card. That tech card effect is cancelled. Your opponent can attack for 1 additional time.</t>
  </si>
  <si>
    <t>Stumble</t>
  </si>
  <si>
    <t>Your opponent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</si>
  <si>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</si>
  <si>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</si>
  <si>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</si>
  <si>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character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</si>
  <si>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</si>
  <si>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</si>
  <si>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</si>
  <si>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</si>
  <si>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</si>
  <si>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</si>
  <si>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</si>
  <si>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+5 DEF</t>
  </si>
  <si>
    <t>Protective Instinct</t>
  </si>
  <si>
    <t>Select 1 of your Nature card. Until the end of next turn, that card gain +10 ATK</t>
  </si>
  <si>
    <t>Self-destruct</t>
  </si>
  <si>
    <t>Select 1 of your character card. Until the end of next turn, that card gain +10 ATK, but destroy it at the end of next turn. You do not lose crystal from card destroyed under this effect</t>
  </si>
  <si>
    <t>Bounty</t>
  </si>
  <si>
    <t>Until the end of your turn, if you destroy that character, you receive 200 crystals</t>
  </si>
  <si>
    <t>Pepper Spray</t>
  </si>
  <si>
    <t>Flip 2 coin, if head, the attacking character lose -5 ATK until the end of their next turn.</t>
  </si>
  <si>
    <t>Illustration</t>
  </si>
  <si>
    <t>Booster Pack - Blightsilver / 4</t>
  </si>
  <si>
    <t>Booster Pack - Unseen Presence / 4</t>
  </si>
  <si>
    <t>Booster Pack - Wind of Dominance / 4</t>
  </si>
  <si>
    <t>Welcoming Door</t>
  </si>
  <si>
    <t>Tech</t>
  </si>
  <si>
    <t>Choose any square on your field and reveal it</t>
  </si>
  <si>
    <t>Spy</t>
  </si>
  <si>
    <t>Choose and reveal 1 square on opponent's side of the field</t>
  </si>
  <si>
    <t>Ceasefire</t>
  </si>
  <si>
    <t>Both you and your opponent skip 1 turn (tax is forced to apply)</t>
  </si>
  <si>
    <t>Make Friend</t>
  </si>
  <si>
    <t>Both you and your opponent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</si>
  <si>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</si>
  <si>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opponent's side of the field.</t>
  </si>
  <si>
    <t>Invisible Spy</t>
  </si>
  <si>
    <t>This card only trigger if you have Double Spy card in your void. Reveal 2 square on opponent's side of the field.</t>
  </si>
  <si>
    <t>Corrupted Spy</t>
  </si>
  <si>
    <t>Reveal 3 square on opponent's side of the field. If you found any trap or Character, you pay 700 Crystal or each card found.</t>
  </si>
  <si>
    <t>Tease</t>
  </si>
  <si>
    <t>Your opponent choose and reveal 1 of their square</t>
  </si>
  <si>
    <t>Bribe</t>
  </si>
  <si>
    <t>Your opponent can choose to reveal a creature and receive 700 Crystals or do nothing</t>
  </si>
  <si>
    <t>Release Mutagen</t>
  </si>
  <si>
    <t>Select and reveal (if face-down) 1 of your Bio Character on the field. Add Mutagen Flag to it.</t>
  </si>
  <si>
    <t>Prayer</t>
  </si>
  <si>
    <t>Until your opponent’s turn end, once, if a Divine Character on your side of the field will get destroyed, it is not destroyed.</t>
  </si>
  <si>
    <t>Arcane Nova</t>
  </si>
  <si>
    <t>Destroy 5 face-up opponent Characters. You opponent do not lose crystals under this effect. Discard all of your Tech afterward.</t>
  </si>
  <si>
    <t>Rift Strike</t>
  </si>
  <si>
    <t>Destroy all revealed cards in one row or column</t>
  </si>
  <si>
    <t>Great Diplomacy</t>
  </si>
  <si>
    <t>Turn all characters on your field face up</t>
  </si>
  <si>
    <t>War Supply</t>
  </si>
  <si>
    <t>+10 ATK and DEF for all face up characters until the end of this turn.</t>
  </si>
  <si>
    <t>Harsh Training</t>
  </si>
  <si>
    <t xml:space="preserve"> +10 ATK permanently for 1 character. If used on face-down card, you can turn it face-up and apply this effect.</t>
  </si>
  <si>
    <t>Illegal Steroid</t>
  </si>
  <si>
    <t>+30 ATK for 1 character until the end of this turn. If used on face-down card, you can turn it face-up and apply this effect.</t>
  </si>
  <si>
    <t>Secret Dagger</t>
  </si>
  <si>
    <t>Can only be used on face-down card. Turn that card face-up and +15 ATK until the end of this turn.</t>
  </si>
  <si>
    <t>Garrison</t>
  </si>
  <si>
    <t>Until the end of your opponent’s turn, +DEF 20 for all of your character’s card at battle calculation.</t>
  </si>
  <si>
    <t xml:space="preserve">Bulletproof Vest </t>
  </si>
  <si>
    <t>+15 DEF permanently for 1 face-up character. If used on face-down card, you can turn it face-up and apply this effect.</t>
  </si>
  <si>
    <t>Siege Cannon</t>
  </si>
  <si>
    <t>Until the end of this turn, once, the opponent’s defending character is destroyed.</t>
  </si>
  <si>
    <t>Silence Agent</t>
  </si>
  <si>
    <t>Destroy 1 face-up card</t>
  </si>
  <si>
    <t>Accident</t>
  </si>
  <si>
    <t>Destroy 1 face-up card. If there is no face-up card, the opponent chooses the target by themselves. The owner of that card does not lose Crystal for the destroyed card.</t>
  </si>
  <si>
    <t>Berserk</t>
  </si>
  <si>
    <t>Select 1 face-up character. Until this turn, that character can attack 3 times. Also, you can't command any other character to attack. You can’t use this card if you’ve already commanded an attack.</t>
  </si>
  <si>
    <t>Radar</t>
  </si>
  <si>
    <t>Reveal 3 square on opponent's side of the field</t>
  </si>
  <si>
    <t>Palace Party</t>
  </si>
  <si>
    <t>Reveal 1 of your face-down character. Your opponent must reveal 1 of their face-down character (if any)</t>
  </si>
  <si>
    <t>Essence Transfer</t>
  </si>
  <si>
    <t>Choose 1 of your Characters. Move all its ATK and DEF bonuses or debuffs to another face-up Character on your field. If used on face-down card, you can turn it face-up and apply this effect.</t>
  </si>
  <si>
    <t>Blood Ritual</t>
  </si>
  <si>
    <t>Destroy 1 face-up card on the your field. You don't pay Crystal cost for the destroyed card. Choose 1 of your opponent's face-up character. Its ATK and DEF becomes 0 permanently</t>
  </si>
  <si>
    <t>Arcane Duplication</t>
  </si>
  <si>
    <t>Choose 1 of your face-up Characters. Create a token copy of it on an empty square on your field. Destroy it at the start of your next turn.</t>
  </si>
  <si>
    <t xml:space="preserve">Time Travel </t>
  </si>
  <si>
    <t>Once only, revive 1 character to any unoccupied or empty cell in face-up position. Double its crystal cost.</t>
  </si>
  <si>
    <t>Resurrection</t>
  </si>
  <si>
    <t>Once only, revive 1 character to any unoccupied or empty cell in face-up position. The ability is None and the attack becomes 0</t>
  </si>
  <si>
    <t>Tech Copy</t>
  </si>
  <si>
    <t>Your opponent show 1 tech card in their hand. Add a copy of that card into your Tech Stack.</t>
  </si>
  <si>
    <t>Force Shield</t>
  </si>
  <si>
    <t>Select 1 card on your field. It is not destroyed until the end of your opponent's turn</t>
  </si>
  <si>
    <t>Wisp Light</t>
  </si>
  <si>
    <t>Destroy as many wisp on your side of the field  as you can. Reveal that much square on opponent's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</si>
  <si>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</si>
  <si>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</si>
  <si>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</si>
  <si>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</si>
  <si>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</si>
  <si>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character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</si>
  <si>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</si>
  <si>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</si>
  <si>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</si>
  <si>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</si>
  <si>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</si>
  <si>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</si>
  <si>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</si>
  <si>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</si>
  <si>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</si>
  <si>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Opponent receive 50 crystals</t>
  </si>
  <si>
    <t>Hired Spanker</t>
  </si>
  <si>
    <t xml:space="preserve">Until the end of your opponent's turn, if your opponent attack the selected cell first, your opponent receive 50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</si>
  <si>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</si>
  <si>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</si>
  <si>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</si>
  <si>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</si>
  <si>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</si>
  <si>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character on the field until the end of this turn. Your opponent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</si>
  <si>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</si>
  <si>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</si>
  <si>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</si>
  <si>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</si>
  <si>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</si>
  <si>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</si>
  <si>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</si>
  <si>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character until the end of your turn. If used on face-down card, you can turn it face-up and apply this effect.</t>
  </si>
  <si>
    <t>Flimsy Shield</t>
  </si>
  <si>
    <t>Flip a coin. If head, +5 DEF to one of your character until the end of your opponent’s turn. If used on face-down card, you can turn it face-up and apply this effect.</t>
  </si>
  <si>
    <t>All-out Tactics</t>
  </si>
  <si>
    <t>+10 ATK to one of your character permanently. But its DEF becomes 0 permanently. If used on face-down card, you can turn it face-up and apply this effect.</t>
  </si>
  <si>
    <t>Fair Fight</t>
  </si>
  <si>
    <t>You and your opponent select 1 your their character.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</si>
  <si>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</si>
  <si>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</si>
  <si>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</si>
  <si>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</si>
  <si>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</si>
  <si>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character until the end of your turn. If used on face-down card, you can turn it face-up and apply this effect.</t>
  </si>
  <si>
    <t>Old Shield</t>
  </si>
  <si>
    <t>+5 DEF to one of your character until the end of your opponent’s turn. If used on face-down card, you can turn it face-up and apply this effect.</t>
  </si>
  <si>
    <t>Provoke</t>
  </si>
  <si>
    <t xml:space="preserve">Until the end of your opponent's turn, your opponent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</si>
  <si>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</si>
  <si>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</si>
  <si>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</si>
  <si>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</si>
  <si>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</si>
  <si>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opponent</t>
  </si>
  <si>
    <t>Big Love</t>
  </si>
  <si>
    <t>Send a very big lovely emoticon bubble to your opponent</t>
  </si>
  <si>
    <t>Pretify</t>
  </si>
  <si>
    <t>+20 DEF to one of your or your opponent’s face-up character permanently, but its ATK becomes 0 permanently. If used on your face-down card, you can turn it face-up and apply this effect.</t>
  </si>
  <si>
    <t>Stone Skin</t>
  </si>
  <si>
    <t>+10 DEF to one of your face-up character permanently, but its ATK becomes 0 permanently. If used on your face-down card, you can turn it face-up and apply this effect.</t>
  </si>
  <si>
    <t>Battle Royale</t>
  </si>
  <si>
    <t>You and your opponent select 1 your their character. +30 ATK and DEF to it. If used on face-down card, you can turn it face-up and apply this effect.</t>
  </si>
  <si>
    <t>Guerrilla Tactics</t>
  </si>
  <si>
    <t>Until the end of your opponent's turn. Whenever your opponent attack your dead end card, flip a coin. If head, destroy it.</t>
  </si>
  <si>
    <t>Toll</t>
  </si>
  <si>
    <t>Until the end of your opponent's turn. Your opponent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</si>
  <si>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</si>
  <si>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</si>
  <si>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</si>
  <si>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</si>
  <si>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</si>
  <si>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opponent’s turn. If used on your face-down card, you can turn it face-up and apply this effect.</t>
  </si>
  <si>
    <t>Forest Fire</t>
  </si>
  <si>
    <t>Destroy all Nature cards on your opponent’s field. Discard all of your Tech cards.</t>
  </si>
  <si>
    <t>Black Hole</t>
  </si>
  <si>
    <t>Destroy all Cosmo cards on your opponent’s field. Discard all of your Tech cards.</t>
  </si>
  <si>
    <t>Holy Arrival</t>
  </si>
  <si>
    <t>Destroy all Chaos cards on your opponent’s field. Discard all of your Tech cards.</t>
  </si>
  <si>
    <t>Corrupted Heaven</t>
  </si>
  <si>
    <t>Destroy all Divine cards on your opponent’s field. Discard all of your Tech cards.</t>
  </si>
  <si>
    <t>Earthquake</t>
  </si>
  <si>
    <t>Destroy all Anima cards on your opponent’s field. Discard all of your Tech cards.</t>
  </si>
  <si>
    <t>Lab Self-destruction</t>
  </si>
  <si>
    <t>Destroy all Bio cards on your opponent’s field. Discard all of your Tech cards.</t>
  </si>
  <si>
    <t>Anti-magic Field</t>
  </si>
  <si>
    <t>Destroy all Arcane cards on your opponent’s field. Discard all of your Tech cards.</t>
  </si>
  <si>
    <t>Air Shower</t>
  </si>
  <si>
    <t>Clear all flags on the field</t>
  </si>
  <si>
    <t>Mining Tax</t>
  </si>
  <si>
    <t>Until the end of your opponent’s turn, if any player attacks a dead end card, that player loses 200 crystals</t>
  </si>
  <si>
    <t>Ouija</t>
  </si>
  <si>
    <t>Reveal cell on opponent's side of the field up to number of your character in the void.</t>
  </si>
  <si>
    <t>Deep Mine</t>
  </si>
  <si>
    <t>Flip a coin. If head, reveal 2 square on opponent's side of the field</t>
  </si>
  <si>
    <t>Gold Panning</t>
  </si>
  <si>
    <t>Flip a coin. If head, reveal 1 square on opponent's side of the field</t>
  </si>
  <si>
    <t>Flashlight</t>
  </si>
  <si>
    <t>Reveal 1 row or column on your opponent side of the field. You cannot attack the turn you use this card. You cannot use this card if you’ve already attacked this turn.</t>
  </si>
  <si>
    <t>Lantern</t>
  </si>
  <si>
    <t>Reveal 2 adjacent cells on opponent's side of the field.</t>
  </si>
  <si>
    <t>GPS Tracker</t>
  </si>
  <si>
    <t>Reveal 2 adjacent cells next to face-up character on opponent's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</si>
  <si>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</si>
  <si>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</si>
  <si>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</si>
  <si>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</si>
  <si>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</si>
  <si>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</si>
  <si>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</si>
  <si>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character card can attack twice. But it cannot attack again next turn. If used on your face-down card, you can turn it face-up and apply this effect.</t>
  </si>
  <si>
    <t>Full open fire</t>
  </si>
  <si>
    <t>This turn, you can attack 2 additional times. Next turn, your opponent can also attack 2 additional times</t>
  </si>
  <si>
    <t>Service Charge</t>
  </si>
  <si>
    <t>Until the end of your opponent's turn. Your opponent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</si>
  <si>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</si>
  <si>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</si>
  <si>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</si>
  <si>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</si>
  <si>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</si>
  <si>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opponent choose either clearing all of their bluffs or take 500 damage</t>
  </si>
  <si>
    <t>Silence Zone</t>
  </si>
  <si>
    <t>Clear all bluffs from both you and your opponent. No one can use bluff ever again during this duel.</t>
  </si>
  <si>
    <t>Big Mouth</t>
  </si>
  <si>
    <t>Select 1 cell. Bluff on that cell becomes large permanently</t>
  </si>
  <si>
    <t>Bare Fist Fight</t>
  </si>
  <si>
    <t>Both you and your opponent select and discard 1 tech card from their hand.</t>
  </si>
  <si>
    <t>Mine Detector</t>
  </si>
  <si>
    <t>Reveal 1 card on your opponent’s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</si>
  <si>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</si>
  <si>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</si>
  <si>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</si>
  <si>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</si>
  <si>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</si>
  <si>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character ATK and DEF becomes 0 permanently. It cannot be destroyed until the end of opponent’s turn. If used on your face-down card, you can turn it face-up and apply this effect.</t>
  </si>
  <si>
    <t>Scattered Shot</t>
  </si>
  <si>
    <t>Flip 3 coins. Destroy opponent’s face-up character equal to number of heads. You opponent do not lose crystals under this effect</t>
  </si>
  <si>
    <t>Spotlight</t>
  </si>
  <si>
    <t>Flip 5 coins. Reveal opponent’s cell equal to number of heads</t>
  </si>
  <si>
    <t>Tight Door</t>
  </si>
  <si>
    <t>Next turn, your opponent can attack only once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</si>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</sst>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9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3" borderId="8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  <xf numFmtId="0" fontId="3" borderId="5" applyNumberFormat="0" applyFont="1" applyFill="0" applyBorder="1" applyAlignment="1" applyProtection="0">
      <alignment vertical="center" wrapText="1" readingOrder="1"/>
    </xf>
    <xf numFmtId="0" fontId="3" borderId="6" applyNumberFormat="0" applyFont="1" applyFill="0" applyBorder="1" applyAlignment="1" applyProtection="0">
      <alignment vertical="center" wrapText="1" readingOrder="1"/>
    </xf>
    <xf numFmtId="0" fontId="3" borderId="7" applyNumberFormat="0" applyFont="1" applyFill="0" applyBorder="1" applyAlignment="1" applyProtection="0">
      <alignment vertical="center" wrapText="1" readingOrder="1"/>
    </xf>
    <xf numFmtId="0" fontId="4" borderId="7" applyNumberFormat="0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horizontal="center" vertical="center" wrapText="1" readingOrder="1"/>
    </xf>
    <xf numFmtId="49" fontId="3" borderId="6" applyNumberFormat="1" applyFont="1" applyFill="0" applyBorder="1" applyAlignment="1" applyProtection="0">
      <alignment horizontal="center" vertical="center" wrapText="1" readingOrder="1"/>
    </xf>
    <xf numFmtId="0" fontId="3" borderId="7" applyNumberFormat="0" applyFont="1" applyFill="0" applyBorder="1" applyAlignment="1" applyProtection="0">
      <alignment horizontal="center" vertical="center" wrapText="1" readingOrder="1"/>
    </xf>
    <xf numFmtId="49" fontId="3" borderId="7" applyNumberFormat="1" applyFont="1" applyFill="0" applyBorder="1" applyAlignment="1" applyProtection="0">
      <alignment horizontal="center" vertical="center" wrapText="1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P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6" width="14.4062" style="13" customWidth="1"/>
    <col min="17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"&amp;COUNTIF(N3:N568,"Yes")</f>
        <v>29</v>
      </c>
      <c r="O2" t="s" s="3">
        <f>"Booster Pack - Unseen Presence / "&amp;COUNTIF(O3:O568,"Yes")</f>
        <v>30</v>
      </c>
      <c r="P2" t="s" s="3">
        <f>"Booster Pack - Wind of Dominance / "&amp;COUNTIF(P3:P568,"Yes")</f>
        <v>31</v>
      </c>
    </row>
    <row r="3" ht="20.25" customHeight="1">
      <c r="A3" t="s" s="5">
        <v>32</v>
      </c>
      <c r="B3" t="s" s="6">
        <v>33</v>
      </c>
      <c r="C3" s="14">
        <v>800</v>
      </c>
      <c r="D3" s="14">
        <v>80</v>
      </c>
      <c r="E3" s="14">
        <v>0</v>
      </c>
      <c r="F3" t="s" s="15">
        <v>7</v>
      </c>
      <c r="G3" s="14">
        <v>4</v>
      </c>
      <c r="H3" t="s" s="15">
        <v>34</v>
      </c>
      <c r="I3" s="7"/>
      <c r="J3" t="s" s="15">
        <v>35</v>
      </c>
      <c r="K3" s="14">
        <f>(D3*6)+(E3*4)</f>
        <v>480</v>
      </c>
      <c r="L3" t="s" s="15">
        <v>35</v>
      </c>
      <c r="M3" s="7"/>
      <c r="N3" s="7"/>
      <c r="O3" s="7"/>
      <c r="P3" t="s" s="15">
        <v>35</v>
      </c>
    </row>
    <row r="4" ht="20.05" customHeight="1">
      <c r="A4" t="s" s="8">
        <v>36</v>
      </c>
      <c r="B4" t="s" s="9">
        <v>33</v>
      </c>
      <c r="C4" s="16">
        <v>960</v>
      </c>
      <c r="D4" s="16">
        <v>40</v>
      </c>
      <c r="E4" s="16">
        <v>90</v>
      </c>
      <c r="F4" t="s" s="17">
        <v>3</v>
      </c>
      <c r="G4" s="16">
        <v>4</v>
      </c>
      <c r="H4" t="s" s="17">
        <v>37</v>
      </c>
      <c r="I4" s="10"/>
      <c r="J4" t="s" s="17">
        <v>35</v>
      </c>
      <c r="K4" s="16">
        <f>(D4*6)+(E4*4)</f>
        <v>600</v>
      </c>
      <c r="L4" t="s" s="17">
        <v>35</v>
      </c>
      <c r="M4" s="10"/>
      <c r="N4" t="s" s="17">
        <v>35</v>
      </c>
      <c r="O4" s="10"/>
      <c r="P4" t="s" s="17">
        <v>35</v>
      </c>
    </row>
    <row r="5" ht="32.05" customHeight="1">
      <c r="A5" t="s" s="8">
        <v>38</v>
      </c>
      <c r="B5" t="s" s="9">
        <v>33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39</v>
      </c>
      <c r="I5" s="10"/>
      <c r="J5" t="s" s="17">
        <v>35</v>
      </c>
      <c r="K5" s="16">
        <f>(D5*6)+(E5*4)</f>
        <v>600</v>
      </c>
      <c r="L5" t="s" s="17">
        <v>35</v>
      </c>
      <c r="M5" s="10"/>
      <c r="N5" t="s" s="17">
        <v>35</v>
      </c>
      <c r="O5" s="10"/>
      <c r="P5" t="s" s="17">
        <v>35</v>
      </c>
    </row>
    <row r="6" ht="32.05" customHeight="1">
      <c r="A6" t="s" s="8">
        <v>40</v>
      </c>
      <c r="B6" t="s" s="9">
        <v>33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41</v>
      </c>
      <c r="I6" s="10"/>
      <c r="J6" t="s" s="17">
        <v>35</v>
      </c>
      <c r="K6" s="16">
        <f>(D6*6)+(E6*4)</f>
        <v>500</v>
      </c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42</v>
      </c>
      <c r="B7" t="s" s="9">
        <v>33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43</v>
      </c>
      <c r="I7" s="10"/>
      <c r="J7" t="s" s="17">
        <v>35</v>
      </c>
      <c r="K7" s="16">
        <f>(D7*6)+(E7*4)</f>
        <v>780</v>
      </c>
      <c r="L7" s="10"/>
      <c r="M7" s="10"/>
      <c r="N7" s="10"/>
      <c r="O7" s="10"/>
      <c r="P7" s="10"/>
    </row>
    <row r="8" ht="20.05" customHeight="1">
      <c r="A8" t="s" s="8">
        <v>44</v>
      </c>
      <c r="B8" t="s" s="9">
        <v>33</v>
      </c>
      <c r="C8" s="16">
        <v>550</v>
      </c>
      <c r="D8" s="16">
        <v>70</v>
      </c>
      <c r="E8" s="16">
        <v>30</v>
      </c>
      <c r="F8" t="s" s="17">
        <v>9</v>
      </c>
      <c r="G8" s="16">
        <v>3</v>
      </c>
      <c r="H8" t="s" s="17">
        <v>39</v>
      </c>
      <c r="I8" s="10"/>
      <c r="J8" t="s" s="17">
        <v>35</v>
      </c>
      <c r="K8" s="16">
        <f>(D8*6)+(E8*4)</f>
        <v>540</v>
      </c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45</v>
      </c>
      <c r="B9" t="s" s="9">
        <v>33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46</v>
      </c>
      <c r="I9" s="10"/>
      <c r="J9" t="s" s="17">
        <v>35</v>
      </c>
      <c r="K9" s="16">
        <f>(D9*6)+(E9*4)</f>
        <v>180</v>
      </c>
      <c r="L9" t="s" s="17">
        <v>35</v>
      </c>
      <c r="M9" s="10"/>
      <c r="N9" t="s" s="17">
        <v>35</v>
      </c>
      <c r="O9" s="10"/>
      <c r="P9" s="10"/>
    </row>
    <row r="10" ht="20.05" customHeight="1">
      <c r="A10" t="s" s="8">
        <v>47</v>
      </c>
      <c r="B10" t="s" s="9">
        <v>33</v>
      </c>
      <c r="C10" s="16">
        <v>700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39</v>
      </c>
      <c r="I10" s="10"/>
      <c r="J10" t="s" s="17">
        <v>35</v>
      </c>
      <c r="K10" s="16">
        <f>(D10*6)+(E10*4)</f>
        <v>700</v>
      </c>
      <c r="L10" t="s" s="17">
        <v>35</v>
      </c>
      <c r="M10" s="10"/>
      <c r="N10" s="10"/>
      <c r="O10" t="s" s="17">
        <v>35</v>
      </c>
      <c r="P10" s="10"/>
    </row>
    <row r="11" ht="20.05" customHeight="1">
      <c r="A11" t="s" s="8">
        <v>48</v>
      </c>
      <c r="B11" t="s" s="9">
        <v>33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49</v>
      </c>
      <c r="I11" s="10"/>
      <c r="J11" t="s" s="17">
        <v>35</v>
      </c>
      <c r="K11" s="16">
        <f>(D11*6)+(E11*4)</f>
        <v>640</v>
      </c>
      <c r="L11" s="10"/>
      <c r="M11" s="10"/>
      <c r="N11" s="10"/>
      <c r="O11" s="10"/>
      <c r="P11" s="10"/>
    </row>
    <row r="12" ht="20.05" customHeight="1">
      <c r="A12" t="s" s="8">
        <v>50</v>
      </c>
      <c r="B12" t="s" s="9">
        <v>33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39</v>
      </c>
      <c r="I12" s="10"/>
      <c r="J12" t="s" s="17">
        <v>35</v>
      </c>
      <c r="K12" s="16">
        <f>(D12*6)+(E12*4)</f>
        <v>120</v>
      </c>
      <c r="L12" t="s" s="17">
        <v>35</v>
      </c>
      <c r="M12" s="10"/>
      <c r="N12" t="s" s="17">
        <v>35</v>
      </c>
      <c r="O12" s="10"/>
      <c r="P12" s="10"/>
    </row>
    <row r="13" ht="20.05" customHeight="1">
      <c r="A13" t="s" s="8">
        <v>51</v>
      </c>
      <c r="B13" t="s" s="9">
        <v>33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39</v>
      </c>
      <c r="I13" s="10"/>
      <c r="J13" t="s" s="17">
        <v>35</v>
      </c>
      <c r="K13" s="16">
        <f>(D13*6)+(E13*4)</f>
        <v>100</v>
      </c>
      <c r="L13" t="s" s="17">
        <v>35</v>
      </c>
      <c r="M13" s="10"/>
      <c r="N13" t="s" s="17">
        <v>35</v>
      </c>
      <c r="O13" s="10"/>
      <c r="P13" s="10"/>
    </row>
    <row r="14" ht="20.05" customHeight="1">
      <c r="A14" t="s" s="8">
        <v>52</v>
      </c>
      <c r="B14" t="s" s="9">
        <v>33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39</v>
      </c>
      <c r="I14" s="10"/>
      <c r="J14" t="s" s="17">
        <v>35</v>
      </c>
      <c r="K14" s="16">
        <f>(D14*6)+(E14*4)</f>
        <v>150</v>
      </c>
      <c r="L14" t="s" s="17">
        <v>35</v>
      </c>
      <c r="M14" s="10"/>
      <c r="N14" t="s" s="17">
        <v>35</v>
      </c>
      <c r="O14" s="10"/>
      <c r="P14" s="10"/>
    </row>
    <row r="15" ht="44.05" customHeight="1">
      <c r="A15" t="s" s="8">
        <v>53</v>
      </c>
      <c r="B15" t="s" s="9">
        <v>33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54</v>
      </c>
      <c r="I15" s="10"/>
      <c r="J15" t="s" s="17">
        <v>35</v>
      </c>
      <c r="K15" s="16">
        <f>(D15*6)+(E15*4)</f>
        <v>300</v>
      </c>
      <c r="L15" t="s" s="17">
        <v>35</v>
      </c>
      <c r="M15" s="10"/>
      <c r="N15" s="10"/>
      <c r="O15" t="s" s="17">
        <v>35</v>
      </c>
      <c r="P15" s="10"/>
    </row>
    <row r="16" ht="44.05" customHeight="1">
      <c r="A16" t="s" s="8">
        <v>55</v>
      </c>
      <c r="B16" t="s" s="9">
        <v>33</v>
      </c>
      <c r="C16" s="16">
        <v>1400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56</v>
      </c>
      <c r="I16" s="10"/>
      <c r="J16" t="s" s="17">
        <v>35</v>
      </c>
      <c r="K16" s="16">
        <f>(D16*6)+(E16*4)</f>
        <v>800</v>
      </c>
      <c r="L16" t="s" s="17">
        <v>35</v>
      </c>
      <c r="M16" s="10"/>
      <c r="N16" s="10"/>
      <c r="O16" t="s" s="17">
        <v>35</v>
      </c>
      <c r="P16" s="10"/>
    </row>
    <row r="17" ht="32.05" customHeight="1">
      <c r="A17" t="s" s="8">
        <v>57</v>
      </c>
      <c r="B17" t="s" s="9">
        <v>33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58</v>
      </c>
      <c r="I17" s="10"/>
      <c r="J17" t="s" s="17">
        <v>35</v>
      </c>
      <c r="K17" s="16">
        <f>(D17*6)+(E17*4)</f>
        <v>620</v>
      </c>
      <c r="L17" s="10"/>
      <c r="M17" s="10"/>
      <c r="N17" s="10"/>
      <c r="O17" s="10"/>
      <c r="P17" s="10"/>
    </row>
    <row r="18" ht="32.05" customHeight="1">
      <c r="A18" t="s" s="8">
        <v>59</v>
      </c>
      <c r="B18" t="s" s="9">
        <v>33</v>
      </c>
      <c r="C18" s="16">
        <v>600</v>
      </c>
      <c r="D18" s="16">
        <v>65</v>
      </c>
      <c r="E18" s="16">
        <v>25</v>
      </c>
      <c r="F18" t="s" s="17">
        <v>5</v>
      </c>
      <c r="G18" s="16">
        <v>3</v>
      </c>
      <c r="H18" t="s" s="17">
        <v>60</v>
      </c>
      <c r="I18" s="10"/>
      <c r="J18" t="s" s="17">
        <v>35</v>
      </c>
      <c r="K18" s="16">
        <f>(D18*6)+(E18*4)</f>
        <v>490</v>
      </c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61</v>
      </c>
      <c r="B19" t="s" s="9">
        <v>33</v>
      </c>
      <c r="C19" s="16">
        <v>900</v>
      </c>
      <c r="D19" s="16">
        <v>45</v>
      </c>
      <c r="E19" s="16">
        <v>45</v>
      </c>
      <c r="F19" t="s" s="17">
        <v>9</v>
      </c>
      <c r="G19" s="16">
        <v>4</v>
      </c>
      <c r="H19" t="s" s="17">
        <v>62</v>
      </c>
      <c r="I19" s="10"/>
      <c r="J19" t="s" s="17">
        <v>35</v>
      </c>
      <c r="K19" s="16">
        <f>(D19*6)+(E19*4)</f>
        <v>450</v>
      </c>
      <c r="L19" t="s" s="17">
        <v>35</v>
      </c>
      <c r="M19" s="10"/>
      <c r="N19" t="s" s="17">
        <v>35</v>
      </c>
      <c r="O19" s="10"/>
      <c r="P19" s="10"/>
    </row>
    <row r="20" ht="44.05" customHeight="1">
      <c r="A20" t="s" s="8">
        <v>63</v>
      </c>
      <c r="B20" t="s" s="9">
        <v>33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64</v>
      </c>
      <c r="I20" s="10"/>
      <c r="J20" t="s" s="17">
        <v>35</v>
      </c>
      <c r="K20" s="16">
        <f>(D20*6)+(E20*4)</f>
        <v>710</v>
      </c>
      <c r="L20" s="10"/>
      <c r="M20" s="10"/>
      <c r="N20" s="10"/>
      <c r="O20" s="10"/>
      <c r="P20" s="10"/>
    </row>
    <row r="21" ht="32.05" customHeight="1">
      <c r="A21" t="s" s="8">
        <v>65</v>
      </c>
      <c r="B21" t="s" s="9">
        <v>33</v>
      </c>
      <c r="C21" s="16">
        <v>900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66</v>
      </c>
      <c r="I21" s="10"/>
      <c r="J21" t="s" s="17">
        <v>35</v>
      </c>
      <c r="K21" s="16">
        <f>(D21*6)+(E21*4)</f>
        <v>690</v>
      </c>
      <c r="L21" t="s" s="17">
        <v>35</v>
      </c>
      <c r="M21" s="10"/>
      <c r="N21" s="10"/>
      <c r="O21" s="10"/>
      <c r="P21" t="s" s="17">
        <v>35</v>
      </c>
    </row>
    <row r="22" ht="32.05" customHeight="1">
      <c r="A22" t="s" s="8">
        <v>67</v>
      </c>
      <c r="B22" t="s" s="9">
        <v>33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68</v>
      </c>
      <c r="I22" s="10"/>
      <c r="J22" t="s" s="17">
        <v>35</v>
      </c>
      <c r="K22" s="16">
        <f>(D22*6)+(E22*4)</f>
        <v>440</v>
      </c>
      <c r="L22" t="s" s="17">
        <v>35</v>
      </c>
      <c r="M22" s="10"/>
      <c r="N22" t="s" s="17">
        <v>35</v>
      </c>
      <c r="O22" s="10"/>
      <c r="P22" t="s" s="17">
        <v>35</v>
      </c>
    </row>
    <row r="23" ht="44.05" customHeight="1">
      <c r="A23" t="s" s="8">
        <v>69</v>
      </c>
      <c r="B23" t="s" s="9">
        <v>33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70</v>
      </c>
      <c r="I23" s="10"/>
      <c r="J23" t="s" s="17">
        <v>35</v>
      </c>
      <c r="K23" s="16">
        <f>(D23*6)+(E23*4)</f>
        <v>490</v>
      </c>
      <c r="L23" t="s" s="17">
        <v>35</v>
      </c>
      <c r="M23" s="10"/>
      <c r="N23" s="10"/>
      <c r="O23" t="s" s="17">
        <v>35</v>
      </c>
      <c r="P23" s="10"/>
    </row>
    <row r="24" ht="80.05" customHeight="1">
      <c r="A24" t="s" s="8">
        <v>71</v>
      </c>
      <c r="B24" t="s" s="9">
        <v>33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72</v>
      </c>
      <c r="I24" s="10"/>
      <c r="J24" t="s" s="17">
        <v>35</v>
      </c>
      <c r="K24" s="16">
        <f>(D24*6)+(E24*4)</f>
        <v>460</v>
      </c>
      <c r="L24" t="s" s="17">
        <v>35</v>
      </c>
      <c r="M24" s="10"/>
      <c r="N24" s="10"/>
      <c r="O24" t="s" s="17">
        <v>35</v>
      </c>
      <c r="P24" t="s" s="17">
        <v>35</v>
      </c>
    </row>
    <row r="25" ht="32.05" customHeight="1">
      <c r="A25" t="s" s="8">
        <v>73</v>
      </c>
      <c r="B25" t="s" s="9">
        <v>33</v>
      </c>
      <c r="C25" s="16">
        <v>1300</v>
      </c>
      <c r="D25" s="16">
        <v>90</v>
      </c>
      <c r="E25" s="16">
        <v>45</v>
      </c>
      <c r="F25" t="s" s="17">
        <v>11</v>
      </c>
      <c r="G25" s="16">
        <v>5</v>
      </c>
      <c r="H25" t="s" s="17">
        <v>74</v>
      </c>
      <c r="I25" s="10"/>
      <c r="J25" t="s" s="17">
        <v>35</v>
      </c>
      <c r="K25" s="16">
        <f>(D25*6)+(E25*4)</f>
        <v>720</v>
      </c>
      <c r="L25" t="s" s="17">
        <v>35</v>
      </c>
      <c r="M25" s="10"/>
      <c r="N25" t="s" s="17">
        <v>35</v>
      </c>
      <c r="O25" s="10"/>
      <c r="P25" s="10"/>
    </row>
    <row r="26" ht="56.05" customHeight="1">
      <c r="A26" t="s" s="8">
        <v>75</v>
      </c>
      <c r="B26" t="s" s="9">
        <v>33</v>
      </c>
      <c r="C26" s="16">
        <v>1200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76</v>
      </c>
      <c r="I26" s="10"/>
      <c r="J26" t="s" s="17">
        <v>35</v>
      </c>
      <c r="K26" s="16">
        <f>(D26*6)+(E26*4)</f>
        <v>1120</v>
      </c>
      <c r="L26" t="s" s="17">
        <v>35</v>
      </c>
      <c r="M26" s="10"/>
      <c r="N26" s="10"/>
      <c r="O26" t="s" s="17">
        <v>35</v>
      </c>
      <c r="P26" s="10"/>
    </row>
    <row r="27" ht="32.05" customHeight="1">
      <c r="A27" t="s" s="8">
        <v>77</v>
      </c>
      <c r="B27" t="s" s="9">
        <v>33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78</v>
      </c>
      <c r="I27" s="10"/>
      <c r="J27" t="s" s="17">
        <v>35</v>
      </c>
      <c r="K27" s="16">
        <f>(D27*6)+(E27*4)</f>
        <v>600</v>
      </c>
      <c r="L27" s="10"/>
      <c r="M27" s="10"/>
      <c r="N27" s="10"/>
      <c r="O27" s="10"/>
      <c r="P27" s="10"/>
    </row>
    <row r="28" ht="44.05" customHeight="1">
      <c r="A28" t="s" s="8">
        <v>79</v>
      </c>
      <c r="B28" t="s" s="9">
        <v>33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80</v>
      </c>
      <c r="I28" s="10"/>
      <c r="J28" t="s" s="17">
        <v>35</v>
      </c>
      <c r="K28" s="16">
        <f>(D28*6)+(E28*4)</f>
        <v>640</v>
      </c>
      <c r="L28" s="10"/>
      <c r="M28" s="10"/>
      <c r="N28" s="10"/>
      <c r="O28" s="10"/>
      <c r="P28" s="10"/>
    </row>
    <row r="29" ht="32.05" customHeight="1">
      <c r="A29" t="s" s="8">
        <v>81</v>
      </c>
      <c r="B29" t="s" s="9">
        <v>33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82</v>
      </c>
      <c r="I29" s="10"/>
      <c r="J29" t="s" s="17">
        <v>35</v>
      </c>
      <c r="K29" s="16">
        <f>(D29*6)+(E29*4)</f>
        <v>420</v>
      </c>
      <c r="L29" s="10"/>
      <c r="M29" s="10"/>
      <c r="N29" s="10"/>
      <c r="O29" s="10"/>
      <c r="P29" s="10"/>
    </row>
    <row r="30" ht="32.05" customHeight="1">
      <c r="A30" t="s" s="8">
        <v>83</v>
      </c>
      <c r="B30" t="s" s="9">
        <v>33</v>
      </c>
      <c r="C30" s="16">
        <v>1000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84</v>
      </c>
      <c r="I30" s="10"/>
      <c r="J30" t="s" s="17">
        <v>35</v>
      </c>
      <c r="K30" s="16">
        <f>(D30*6)+(E30*4)</f>
        <v>920</v>
      </c>
      <c r="L30" t="s" s="17">
        <v>35</v>
      </c>
      <c r="M30" s="10"/>
      <c r="N30" s="10"/>
      <c r="O30" s="10"/>
      <c r="P30" t="s" s="17">
        <v>35</v>
      </c>
    </row>
    <row r="31" ht="44.05" customHeight="1">
      <c r="A31" t="s" s="8">
        <v>85</v>
      </c>
      <c r="B31" t="s" s="9">
        <v>33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86</v>
      </c>
      <c r="I31" s="10"/>
      <c r="J31" t="s" s="17">
        <v>35</v>
      </c>
      <c r="K31" s="16">
        <f>(D31*6)+(E31*4)</f>
        <v>820</v>
      </c>
      <c r="L31" s="10"/>
      <c r="M31" s="10"/>
      <c r="N31" s="10"/>
      <c r="O31" s="10"/>
      <c r="P31" s="10"/>
    </row>
    <row r="32" ht="44.05" customHeight="1">
      <c r="A32" t="s" s="8">
        <v>87</v>
      </c>
      <c r="B32" t="s" s="9">
        <v>33</v>
      </c>
      <c r="C32" s="16">
        <v>850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88</v>
      </c>
      <c r="I32" s="10"/>
      <c r="J32" t="s" s="17">
        <v>35</v>
      </c>
      <c r="K32" s="16">
        <f>(D32*6)+(E32*4)</f>
        <v>780</v>
      </c>
      <c r="L32" t="s" s="17">
        <v>35</v>
      </c>
      <c r="M32" s="10"/>
      <c r="N32" s="10"/>
      <c r="O32" s="10"/>
      <c r="P32" t="s" s="17">
        <v>35</v>
      </c>
    </row>
    <row r="33" ht="20.05" customHeight="1">
      <c r="A33" t="s" s="8">
        <v>89</v>
      </c>
      <c r="B33" t="s" s="9">
        <v>33</v>
      </c>
      <c r="C33" s="16">
        <v>750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39</v>
      </c>
      <c r="I33" s="10"/>
      <c r="J33" t="s" s="17">
        <v>35</v>
      </c>
      <c r="K33" s="16">
        <f>(D33*6)+(E33*4)</f>
        <v>710</v>
      </c>
      <c r="L33" t="s" s="17">
        <v>35</v>
      </c>
      <c r="M33" s="10"/>
      <c r="N33" s="10"/>
      <c r="O33" t="s" s="17">
        <v>35</v>
      </c>
      <c r="P33" s="10"/>
    </row>
    <row r="34" ht="32.05" customHeight="1">
      <c r="A34" t="s" s="8">
        <v>90</v>
      </c>
      <c r="B34" t="s" s="9">
        <v>33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91</v>
      </c>
      <c r="I34" s="10"/>
      <c r="J34" t="s" s="17">
        <v>35</v>
      </c>
      <c r="K34" s="16">
        <f>(D34*6)+(E34*4)</f>
        <v>450</v>
      </c>
      <c r="L34" s="10"/>
      <c r="M34" s="10"/>
      <c r="N34" s="10"/>
      <c r="O34" s="10"/>
      <c r="P34" s="10"/>
    </row>
    <row r="35" ht="44.05" customHeight="1">
      <c r="A35" t="s" s="8">
        <v>92</v>
      </c>
      <c r="B35" t="s" s="9">
        <v>33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93</v>
      </c>
      <c r="I35" s="10"/>
      <c r="J35" t="s" s="17">
        <v>35</v>
      </c>
      <c r="K35" s="16">
        <f>(D35*6)+(E35*4)</f>
        <v>750</v>
      </c>
      <c r="L35" s="10"/>
      <c r="M35" s="10"/>
      <c r="N35" s="10"/>
      <c r="O35" s="10"/>
      <c r="P35" s="10"/>
    </row>
    <row r="36" ht="44.05" customHeight="1">
      <c r="A36" t="s" s="8">
        <v>94</v>
      </c>
      <c r="B36" t="s" s="9">
        <v>33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95</v>
      </c>
      <c r="I36" s="10"/>
      <c r="J36" t="s" s="17">
        <v>35</v>
      </c>
      <c r="K36" s="16">
        <f>(D36*6)+(E36*4)</f>
        <v>1280</v>
      </c>
      <c r="L36" s="10"/>
      <c r="M36" s="10"/>
      <c r="N36" s="10"/>
      <c r="O36" s="10"/>
      <c r="P36" s="10"/>
    </row>
    <row r="37" ht="44.05" customHeight="1">
      <c r="A37" t="s" s="8">
        <v>96</v>
      </c>
      <c r="B37" t="s" s="9">
        <v>33</v>
      </c>
      <c r="C37" s="16">
        <v>900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97</v>
      </c>
      <c r="I37" s="10"/>
      <c r="J37" t="s" s="17">
        <v>35</v>
      </c>
      <c r="K37" s="16">
        <f>(D37*6)+(E37*4)</f>
        <v>960</v>
      </c>
      <c r="L37" t="s" s="17">
        <v>35</v>
      </c>
      <c r="M37" s="10"/>
      <c r="N37" t="s" s="17">
        <v>35</v>
      </c>
      <c r="O37" s="10"/>
      <c r="P37" s="10"/>
    </row>
    <row r="38" ht="44.05" customHeight="1">
      <c r="A38" t="s" s="8">
        <v>98</v>
      </c>
      <c r="B38" t="s" s="9">
        <v>33</v>
      </c>
      <c r="C38" s="16">
        <v>850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99</v>
      </c>
      <c r="I38" s="10"/>
      <c r="J38" t="s" s="17">
        <v>35</v>
      </c>
      <c r="K38" s="16">
        <f>(D38*6)+(E38*4)</f>
        <v>520</v>
      </c>
      <c r="L38" t="s" s="17">
        <v>35</v>
      </c>
      <c r="M38" s="10"/>
      <c r="N38" s="10"/>
      <c r="O38" t="s" s="17">
        <v>35</v>
      </c>
      <c r="P38" s="10"/>
    </row>
    <row r="39" ht="56.05" customHeight="1">
      <c r="A39" t="s" s="8">
        <v>100</v>
      </c>
      <c r="B39" t="s" s="9">
        <v>33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101</v>
      </c>
      <c r="I39" s="10"/>
      <c r="J39" t="s" s="17">
        <v>35</v>
      </c>
      <c r="K39" s="16">
        <f>(D39*6)+(E39*4)</f>
        <v>500</v>
      </c>
      <c r="L39" t="s" s="17">
        <v>35</v>
      </c>
      <c r="M39" s="10"/>
      <c r="N39" t="s" s="17">
        <v>35</v>
      </c>
      <c r="O39" t="s" s="17">
        <v>35</v>
      </c>
      <c r="P39" s="10"/>
    </row>
    <row r="40" ht="56.05" customHeight="1">
      <c r="A40" t="s" s="8">
        <v>102</v>
      </c>
      <c r="B40" t="s" s="9">
        <v>33</v>
      </c>
      <c r="C40" s="16">
        <v>500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103</v>
      </c>
      <c r="I40" s="10"/>
      <c r="J40" t="s" s="17">
        <v>35</v>
      </c>
      <c r="K40" s="16">
        <f>(D40*6)+(E40*4)</f>
        <v>200</v>
      </c>
      <c r="L40" t="s" s="17">
        <v>35</v>
      </c>
      <c r="M40" s="10"/>
      <c r="N40" s="10"/>
      <c r="O40" t="s" s="17">
        <v>35</v>
      </c>
      <c r="P40" s="10"/>
    </row>
    <row r="41" ht="44.05" customHeight="1">
      <c r="A41" t="s" s="8">
        <v>104</v>
      </c>
      <c r="B41" t="s" s="9">
        <v>33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105</v>
      </c>
      <c r="I41" s="10"/>
      <c r="J41" t="s" s="17">
        <v>35</v>
      </c>
      <c r="K41" s="16">
        <f>(D41*6)+(E41*4)</f>
        <v>150</v>
      </c>
      <c r="L41" t="s" s="17">
        <v>35</v>
      </c>
      <c r="M41" s="10"/>
      <c r="N41" t="s" s="17">
        <v>35</v>
      </c>
      <c r="O41" s="10"/>
      <c r="P41" s="10"/>
    </row>
    <row r="42" ht="32.05" customHeight="1">
      <c r="A42" t="s" s="8">
        <v>106</v>
      </c>
      <c r="B42" t="s" s="9">
        <v>33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107</v>
      </c>
      <c r="I42" s="10"/>
      <c r="J42" t="s" s="17">
        <v>35</v>
      </c>
      <c r="K42" s="16">
        <f>(D42*6)+(E42*4)</f>
        <v>280</v>
      </c>
      <c r="L42" t="s" s="17">
        <v>35</v>
      </c>
      <c r="M42" s="10"/>
      <c r="N42" t="s" s="17">
        <v>35</v>
      </c>
      <c r="O42" s="10"/>
      <c r="P42" s="10"/>
    </row>
    <row r="43" ht="44.05" customHeight="1">
      <c r="A43" t="s" s="8">
        <v>108</v>
      </c>
      <c r="B43" t="s" s="9">
        <v>33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109</v>
      </c>
      <c r="I43" s="10"/>
      <c r="J43" t="s" s="17">
        <v>35</v>
      </c>
      <c r="K43" s="16">
        <f>(D43*6)+(E43*4)</f>
        <v>260</v>
      </c>
      <c r="L43" s="10"/>
      <c r="M43" s="10"/>
      <c r="N43" s="10"/>
      <c r="O43" s="10"/>
      <c r="P43" s="10"/>
    </row>
    <row r="44" ht="20.05" customHeight="1">
      <c r="A44" t="s" s="8">
        <v>110</v>
      </c>
      <c r="B44" t="s" s="9">
        <v>33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111</v>
      </c>
      <c r="I44" s="10"/>
      <c r="J44" t="s" s="17">
        <v>35</v>
      </c>
      <c r="K44" s="16">
        <f>(D44*6)+(E44*4)</f>
        <v>230</v>
      </c>
      <c r="L44" t="s" s="17">
        <v>35</v>
      </c>
      <c r="M44" s="10"/>
      <c r="N44" t="s" s="17">
        <v>35</v>
      </c>
      <c r="O44" s="10"/>
      <c r="P44" s="10"/>
    </row>
    <row r="45" ht="20.05" customHeight="1">
      <c r="A45" t="s" s="8">
        <v>112</v>
      </c>
      <c r="B45" t="s" s="9">
        <v>33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39</v>
      </c>
      <c r="I45" s="10"/>
      <c r="J45" t="s" s="17">
        <v>35</v>
      </c>
      <c r="K45" s="16">
        <f>(D45*6)+(E45*4)</f>
        <v>380</v>
      </c>
      <c r="L45" t="s" s="17">
        <v>35</v>
      </c>
      <c r="M45" s="10"/>
      <c r="N45" t="s" s="17">
        <v>35</v>
      </c>
      <c r="O45" s="10"/>
      <c r="P45" s="10"/>
    </row>
    <row r="46" ht="20.05" customHeight="1">
      <c r="A46" t="s" s="8">
        <v>113</v>
      </c>
      <c r="B46" t="s" s="9">
        <v>33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39</v>
      </c>
      <c r="I46" s="10"/>
      <c r="J46" t="s" s="17">
        <v>35</v>
      </c>
      <c r="K46" s="16">
        <f>(D46*6)+(E46*4)</f>
        <v>220</v>
      </c>
      <c r="L46" t="s" s="17">
        <v>35</v>
      </c>
      <c r="M46" s="10"/>
      <c r="N46" s="10"/>
      <c r="O46" s="10"/>
      <c r="P46" t="s" s="17">
        <v>35</v>
      </c>
    </row>
    <row r="47" ht="80.05" customHeight="1">
      <c r="A47" t="s" s="8">
        <v>114</v>
      </c>
      <c r="B47" t="s" s="9">
        <v>33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115</v>
      </c>
      <c r="I47" s="10"/>
      <c r="J47" t="s" s="17">
        <v>35</v>
      </c>
      <c r="K47" s="16">
        <f>(D47*6)+(E47*4)</f>
        <v>120</v>
      </c>
      <c r="L47" s="10"/>
      <c r="M47" s="10"/>
      <c r="N47" s="10"/>
      <c r="O47" s="10"/>
      <c r="P47" s="10"/>
    </row>
    <row r="48" ht="20.05" customHeight="1">
      <c r="A48" t="s" s="8">
        <v>116</v>
      </c>
      <c r="B48" t="s" s="9">
        <v>33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39</v>
      </c>
      <c r="I48" s="10"/>
      <c r="J48" t="s" s="17">
        <v>35</v>
      </c>
      <c r="K48" s="16">
        <f>(D48*6)+(E48*4)</f>
        <v>430</v>
      </c>
      <c r="L48" s="10"/>
      <c r="M48" s="10"/>
      <c r="N48" s="10"/>
      <c r="O48" s="10"/>
      <c r="P48" s="10"/>
    </row>
    <row r="49" ht="56.05" customHeight="1">
      <c r="A49" t="s" s="8">
        <v>117</v>
      </c>
      <c r="B49" t="s" s="9">
        <v>33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118</v>
      </c>
      <c r="I49" s="10"/>
      <c r="J49" t="s" s="17">
        <v>35</v>
      </c>
      <c r="K49" s="16">
        <f>(D49*6)+(E49*4)</f>
        <v>390</v>
      </c>
      <c r="L49" s="10"/>
      <c r="M49" s="10"/>
      <c r="N49" s="10"/>
      <c r="O49" s="10"/>
      <c r="P49" s="10"/>
    </row>
    <row r="50" ht="32.05" customHeight="1">
      <c r="A50" t="s" s="8">
        <v>119</v>
      </c>
      <c r="B50" t="s" s="9">
        <v>33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120</v>
      </c>
      <c r="I50" s="10"/>
      <c r="J50" t="s" s="17">
        <v>35</v>
      </c>
      <c r="K50" s="16">
        <f>(D50*6)+(E50*4)</f>
        <v>310</v>
      </c>
      <c r="L50" t="s" s="17">
        <v>35</v>
      </c>
      <c r="M50" s="10"/>
      <c r="N50" t="s" s="17">
        <v>35</v>
      </c>
      <c r="O50" s="10"/>
      <c r="P50" s="10"/>
    </row>
    <row r="51" ht="44.05" customHeight="1">
      <c r="A51" t="s" s="8">
        <v>121</v>
      </c>
      <c r="B51" t="s" s="9">
        <v>33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122</v>
      </c>
      <c r="I51" s="10"/>
      <c r="J51" t="s" s="17">
        <v>35</v>
      </c>
      <c r="K51" s="16">
        <f>(D51*6)+(E51*4)</f>
        <v>400</v>
      </c>
      <c r="L51" t="s" s="17">
        <v>35</v>
      </c>
      <c r="M51" s="10"/>
      <c r="N51" s="10"/>
      <c r="O51" t="s" s="17">
        <v>35</v>
      </c>
      <c r="P51" s="10"/>
    </row>
    <row r="52" ht="20.05" customHeight="1">
      <c r="A52" t="s" s="8">
        <v>123</v>
      </c>
      <c r="B52" t="s" s="9">
        <v>33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39</v>
      </c>
      <c r="I52" s="10"/>
      <c r="J52" t="s" s="17">
        <v>35</v>
      </c>
      <c r="K52" s="16">
        <f>(D52*6)+(E52*4)</f>
        <v>300</v>
      </c>
      <c r="L52" t="s" s="17">
        <v>35</v>
      </c>
      <c r="M52" s="10"/>
      <c r="N52" s="10"/>
      <c r="O52" s="10"/>
      <c r="P52" t="s" s="17">
        <v>35</v>
      </c>
    </row>
    <row r="53" ht="20.05" customHeight="1">
      <c r="A53" t="s" s="8">
        <v>124</v>
      </c>
      <c r="B53" t="s" s="9">
        <v>33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39</v>
      </c>
      <c r="I53" s="10"/>
      <c r="J53" t="s" s="17">
        <v>35</v>
      </c>
      <c r="K53" s="16">
        <f>(D53*6)+(E53*4)</f>
        <v>220</v>
      </c>
      <c r="L53" t="s" s="17">
        <v>35</v>
      </c>
      <c r="M53" s="10"/>
      <c r="N53" s="10"/>
      <c r="O53" s="10"/>
      <c r="P53" s="10"/>
    </row>
    <row r="54" ht="32.05" customHeight="1">
      <c r="A54" t="s" s="8">
        <v>125</v>
      </c>
      <c r="B54" t="s" s="9">
        <v>33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126</v>
      </c>
      <c r="I54" s="10"/>
      <c r="J54" t="s" s="17">
        <v>35</v>
      </c>
      <c r="K54" s="16">
        <f>(D54*6)+(E54*4)</f>
        <v>200</v>
      </c>
      <c r="L54" s="10"/>
      <c r="M54" s="10"/>
      <c r="N54" s="10"/>
      <c r="O54" s="10"/>
      <c r="P54" s="10"/>
    </row>
    <row r="55" ht="32.05" customHeight="1">
      <c r="A55" t="s" s="8">
        <v>127</v>
      </c>
      <c r="B55" t="s" s="9">
        <v>33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128</v>
      </c>
      <c r="I55" s="10"/>
      <c r="J55" t="s" s="17">
        <v>35</v>
      </c>
      <c r="K55" s="16">
        <f>(D55*6)+(E55*4)</f>
        <v>430</v>
      </c>
      <c r="L55" t="s" s="17">
        <v>35</v>
      </c>
      <c r="M55" s="10"/>
      <c r="N55" s="10"/>
      <c r="O55" s="10"/>
      <c r="P55" t="s" s="17">
        <v>35</v>
      </c>
    </row>
    <row r="56" ht="32.05" customHeight="1">
      <c r="A56" t="s" s="8">
        <v>129</v>
      </c>
      <c r="B56" t="s" s="9">
        <v>33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130</v>
      </c>
      <c r="I56" s="10"/>
      <c r="J56" s="10"/>
      <c r="K56" s="16">
        <f>(D56*6)+(E56*4)</f>
        <v>1280</v>
      </c>
      <c r="L56" s="10"/>
      <c r="M56" s="10"/>
      <c r="N56" s="10"/>
      <c r="O56" s="10"/>
      <c r="P56" s="10"/>
    </row>
    <row r="57" ht="20.05" customHeight="1">
      <c r="A57" t="s" s="8">
        <v>131</v>
      </c>
      <c r="B57" t="s" s="9">
        <v>33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39</v>
      </c>
      <c r="I57" s="10"/>
      <c r="J57" s="10"/>
      <c r="K57" s="16">
        <f>(D57*6)+(E57*4)</f>
        <v>160</v>
      </c>
      <c r="L57" s="10"/>
      <c r="M57" s="10"/>
      <c r="N57" s="10"/>
      <c r="O57" s="10"/>
      <c r="P57" s="10"/>
    </row>
    <row r="58" ht="20.05" customHeight="1">
      <c r="A58" t="s" s="8">
        <v>132</v>
      </c>
      <c r="B58" t="s" s="9">
        <v>33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39</v>
      </c>
      <c r="I58" s="10"/>
      <c r="J58" s="10"/>
      <c r="K58" s="16">
        <f>(D58*6)+(E58*4)</f>
        <v>140</v>
      </c>
      <c r="L58" s="10"/>
      <c r="M58" s="10"/>
      <c r="N58" s="10"/>
      <c r="O58" s="10"/>
      <c r="P58" s="10"/>
    </row>
    <row r="59" ht="44.05" customHeight="1">
      <c r="A59" t="s" s="8">
        <v>133</v>
      </c>
      <c r="B59" t="s" s="9">
        <v>33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134</v>
      </c>
      <c r="I59" s="10"/>
      <c r="J59" s="10"/>
      <c r="K59" s="16">
        <f>(D59*6)+(E59*4)</f>
        <v>410</v>
      </c>
      <c r="L59" s="10"/>
      <c r="M59" s="10"/>
      <c r="N59" s="10"/>
      <c r="O59" s="10"/>
      <c r="P59" s="10"/>
    </row>
    <row r="60" ht="44.05" customHeight="1">
      <c r="A60" t="s" s="8">
        <v>135</v>
      </c>
      <c r="B60" t="s" s="9">
        <v>33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136</v>
      </c>
      <c r="I60" s="10"/>
      <c r="J60" s="10"/>
      <c r="K60" s="16">
        <f>(D60*6)+(E60*4)</f>
        <v>560</v>
      </c>
      <c r="L60" s="10"/>
      <c r="M60" s="10"/>
      <c r="N60" s="10"/>
      <c r="O60" s="10"/>
      <c r="P60" s="10"/>
    </row>
    <row r="61" ht="32.05" customHeight="1">
      <c r="A61" t="s" s="8">
        <v>137</v>
      </c>
      <c r="B61" t="s" s="9">
        <v>33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138</v>
      </c>
      <c r="I61" s="10"/>
      <c r="J61" s="10"/>
      <c r="K61" s="16">
        <f>(D61*6)+(E61*4)</f>
        <v>620</v>
      </c>
      <c r="L61" s="10"/>
      <c r="M61" s="10"/>
      <c r="N61" s="10"/>
      <c r="O61" s="10"/>
      <c r="P61" s="10"/>
    </row>
    <row r="62" ht="32.05" customHeight="1">
      <c r="A62" t="s" s="8">
        <v>139</v>
      </c>
      <c r="B62" t="s" s="9">
        <v>33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140</v>
      </c>
      <c r="I62" s="10"/>
      <c r="J62" s="10"/>
      <c r="K62" s="16">
        <f>(D62*6)+(E62*4)</f>
        <v>720</v>
      </c>
      <c r="L62" s="10"/>
      <c r="M62" s="10"/>
      <c r="N62" s="10"/>
      <c r="O62" s="10"/>
      <c r="P62" s="10"/>
    </row>
    <row r="63" ht="32.05" customHeight="1">
      <c r="A63" t="s" s="8">
        <v>141</v>
      </c>
      <c r="B63" t="s" s="9">
        <v>33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142</v>
      </c>
      <c r="I63" s="10"/>
      <c r="J63" s="10"/>
      <c r="K63" s="16">
        <f>(D63*6)+(E63*4)</f>
        <v>180</v>
      </c>
      <c r="L63" s="10"/>
      <c r="M63" s="10"/>
      <c r="N63" s="10"/>
      <c r="O63" s="10"/>
      <c r="P63" s="10"/>
    </row>
    <row r="64" ht="20.05" customHeight="1">
      <c r="A64" t="s" s="8">
        <v>143</v>
      </c>
      <c r="B64" t="s" s="9">
        <v>33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39</v>
      </c>
      <c r="I64" s="10"/>
      <c r="J64" s="10"/>
      <c r="K64" s="16">
        <f>(D64*6)+(E64*4)</f>
        <v>250</v>
      </c>
      <c r="L64" s="10"/>
      <c r="M64" s="10"/>
      <c r="N64" s="10"/>
      <c r="O64" s="10"/>
      <c r="P64" s="10"/>
    </row>
    <row r="65" ht="20.05" customHeight="1">
      <c r="A65" t="s" s="8">
        <v>144</v>
      </c>
      <c r="B65" t="s" s="9">
        <v>33</v>
      </c>
      <c r="C65" s="16">
        <v>1200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39</v>
      </c>
      <c r="I65" s="10"/>
      <c r="J65" t="s" s="17">
        <v>35</v>
      </c>
      <c r="K65" s="16">
        <f>(D65*6)+(E65*4)</f>
        <v>940</v>
      </c>
      <c r="L65" t="s" s="17">
        <v>35</v>
      </c>
      <c r="M65" s="10"/>
      <c r="N65" s="10"/>
      <c r="O65" t="s" s="17">
        <v>35</v>
      </c>
      <c r="P65" s="10"/>
    </row>
    <row r="66" ht="20.05" customHeight="1">
      <c r="A66" t="s" s="8">
        <v>145</v>
      </c>
      <c r="B66" t="s" s="9">
        <v>33</v>
      </c>
      <c r="C66" s="16">
        <v>1200</v>
      </c>
      <c r="D66" s="16">
        <v>95</v>
      </c>
      <c r="E66" s="16">
        <v>80</v>
      </c>
      <c r="F66" t="s" s="17">
        <v>146</v>
      </c>
      <c r="G66" s="16">
        <v>4</v>
      </c>
      <c r="H66" t="s" s="17">
        <v>39</v>
      </c>
      <c r="I66" s="10"/>
      <c r="J66" s="10"/>
      <c r="K66" s="16">
        <f>(D66*6)+(E66*4)</f>
        <v>890</v>
      </c>
      <c r="L66" s="10"/>
      <c r="M66" s="10"/>
      <c r="N66" s="10"/>
      <c r="O66" s="10"/>
      <c r="P66" s="10"/>
    </row>
    <row r="67" ht="44.05" customHeight="1">
      <c r="A67" t="s" s="8">
        <v>147</v>
      </c>
      <c r="B67" t="s" s="9">
        <v>33</v>
      </c>
      <c r="C67" s="16">
        <v>400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148</v>
      </c>
      <c r="I67" s="10"/>
      <c r="J67" t="s" s="17">
        <v>35</v>
      </c>
      <c r="K67" s="16">
        <f>(D67*6)+(E67*4)</f>
        <v>180</v>
      </c>
      <c r="L67" t="s" s="17">
        <v>35</v>
      </c>
      <c r="M67" s="10"/>
      <c r="N67" s="10"/>
      <c r="O67" t="s" s="17">
        <v>35</v>
      </c>
      <c r="P67" s="10"/>
    </row>
    <row r="68" ht="20.05" customHeight="1">
      <c r="A68" t="s" s="8">
        <v>149</v>
      </c>
      <c r="B68" t="s" s="9">
        <v>33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39</v>
      </c>
      <c r="I68" s="10"/>
      <c r="J68" s="10"/>
      <c r="K68" s="16">
        <f>(D68*6)+(E68*4)</f>
        <v>150</v>
      </c>
      <c r="L68" s="10"/>
      <c r="M68" s="10"/>
      <c r="N68" s="10"/>
      <c r="O68" s="10"/>
      <c r="P68" s="10"/>
    </row>
    <row r="69" ht="56.05" customHeight="1">
      <c r="A69" t="s" s="8">
        <v>150</v>
      </c>
      <c r="B69" t="s" s="9">
        <v>33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151</v>
      </c>
      <c r="I69" s="10"/>
      <c r="J69" t="s" s="17">
        <v>35</v>
      </c>
      <c r="K69" s="16">
        <f>(D69*6)+(E69*4)</f>
        <v>100</v>
      </c>
      <c r="L69" t="s" s="17">
        <v>35</v>
      </c>
      <c r="M69" s="10"/>
      <c r="N69" s="10"/>
      <c r="O69" s="10"/>
      <c r="P69" t="s" s="17">
        <v>35</v>
      </c>
    </row>
    <row r="70" ht="20.05" customHeight="1">
      <c r="A70" t="s" s="8">
        <v>152</v>
      </c>
      <c r="B70" t="s" s="9">
        <v>33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153</v>
      </c>
      <c r="I70" s="10"/>
      <c r="J70" t="s" s="17">
        <v>35</v>
      </c>
      <c r="K70" s="16">
        <f>(D70*6)+(E70*4)</f>
        <v>0</v>
      </c>
      <c r="L70" t="s" s="17">
        <v>35</v>
      </c>
      <c r="M70" s="10"/>
      <c r="N70" t="s" s="17">
        <v>35</v>
      </c>
      <c r="O70" s="10"/>
      <c r="P70" s="10"/>
    </row>
    <row r="71" ht="32.05" customHeight="1">
      <c r="A71" t="s" s="8">
        <v>154</v>
      </c>
      <c r="B71" t="s" s="9">
        <v>33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155</v>
      </c>
      <c r="I71" s="10"/>
      <c r="J71" t="s" s="17">
        <v>35</v>
      </c>
      <c r="K71" s="16">
        <f>(D71*6)+(E71*4)</f>
        <v>100</v>
      </c>
      <c r="L71" t="s" s="17">
        <v>35</v>
      </c>
      <c r="M71" s="10"/>
      <c r="N71" t="s" s="17">
        <v>35</v>
      </c>
      <c r="O71" s="10"/>
      <c r="P71" s="10"/>
    </row>
    <row r="72" ht="32.05" customHeight="1">
      <c r="A72" t="s" s="8">
        <v>156</v>
      </c>
      <c r="B72" t="s" s="9">
        <v>33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39</v>
      </c>
      <c r="I72" s="10"/>
      <c r="J72" t="s" s="17">
        <v>35</v>
      </c>
      <c r="K72" s="16">
        <f>(D72*6)+(E72*4)</f>
        <v>230</v>
      </c>
      <c r="L72" t="s" s="17">
        <v>35</v>
      </c>
      <c r="M72" s="10"/>
      <c r="N72" s="10"/>
      <c r="O72" s="10"/>
      <c r="P72" t="s" s="17">
        <v>35</v>
      </c>
    </row>
    <row r="73" ht="20.05" customHeight="1">
      <c r="A73" t="s" s="8">
        <v>157</v>
      </c>
      <c r="B73" t="s" s="9">
        <v>33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158</v>
      </c>
      <c r="I73" s="10"/>
      <c r="J73" s="10"/>
      <c r="K73" s="16">
        <f>(D73*6)+(E73*4)</f>
        <v>140</v>
      </c>
      <c r="L73" s="10"/>
      <c r="M73" s="10"/>
      <c r="N73" s="10"/>
      <c r="O73" s="10"/>
      <c r="P73" s="10"/>
    </row>
    <row r="74" ht="20.05" customHeight="1">
      <c r="A74" t="s" s="8">
        <v>159</v>
      </c>
      <c r="B74" t="s" s="9">
        <v>33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39</v>
      </c>
      <c r="I74" s="10"/>
      <c r="J74" s="10"/>
      <c r="K74" s="16">
        <f>(D74*6)+(E74*4)</f>
        <v>180</v>
      </c>
      <c r="L74" s="10"/>
      <c r="M74" s="10"/>
      <c r="N74" s="10"/>
      <c r="O74" s="10"/>
      <c r="P74" s="10"/>
    </row>
    <row r="75" ht="20.05" customHeight="1">
      <c r="A75" t="s" s="8">
        <v>160</v>
      </c>
      <c r="B75" t="s" s="9">
        <v>33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161</v>
      </c>
      <c r="I75" s="10"/>
      <c r="J75" s="10"/>
      <c r="K75" s="16">
        <f>(D75*6)+(E75*4)</f>
        <v>100</v>
      </c>
      <c r="L75" s="10"/>
      <c r="M75" s="10"/>
      <c r="N75" s="10"/>
      <c r="O75" s="10"/>
      <c r="P75" s="10"/>
    </row>
    <row r="76" ht="20.05" customHeight="1">
      <c r="A76" t="s" s="8">
        <v>162</v>
      </c>
      <c r="B76" t="s" s="9">
        <v>33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39</v>
      </c>
      <c r="I76" s="10"/>
      <c r="J76" t="s" s="17">
        <v>35</v>
      </c>
      <c r="K76" s="16">
        <f>(D76*6)+(E76*4)</f>
        <v>230</v>
      </c>
      <c r="L76" t="s" s="17">
        <v>35</v>
      </c>
      <c r="M76" s="10"/>
      <c r="N76" t="s" s="17">
        <v>35</v>
      </c>
      <c r="O76" s="10"/>
      <c r="P76" s="10"/>
    </row>
    <row r="77" ht="32.05" customHeight="1">
      <c r="A77" t="s" s="8">
        <v>163</v>
      </c>
      <c r="B77" t="s" s="9">
        <v>33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164</v>
      </c>
      <c r="I77" s="10"/>
      <c r="J77" s="10"/>
      <c r="K77" s="16">
        <f>(D77*6)+(E77*4)</f>
        <v>210</v>
      </c>
      <c r="L77" s="10"/>
      <c r="M77" s="10"/>
      <c r="N77" s="10"/>
      <c r="O77" s="10"/>
      <c r="P77" s="10"/>
    </row>
    <row r="78" ht="32.05" customHeight="1">
      <c r="A78" t="s" s="8">
        <v>165</v>
      </c>
      <c r="B78" t="s" s="9">
        <v>33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166</v>
      </c>
      <c r="I78" s="10"/>
      <c r="J78" t="s" s="17">
        <v>35</v>
      </c>
      <c r="K78" s="16">
        <f>(D78*6)+(E78*4)</f>
        <v>170</v>
      </c>
      <c r="L78" t="s" s="17">
        <v>35</v>
      </c>
      <c r="M78" s="10"/>
      <c r="N78" s="10"/>
      <c r="O78" t="s" s="17">
        <v>35</v>
      </c>
      <c r="P78" s="10"/>
    </row>
    <row r="79" ht="20.05" customHeight="1">
      <c r="A79" t="s" s="8">
        <v>167</v>
      </c>
      <c r="B79" t="s" s="9">
        <v>33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39</v>
      </c>
      <c r="I79" s="10"/>
      <c r="J79" t="s" s="17">
        <v>35</v>
      </c>
      <c r="K79" s="16">
        <f>(D79*6)+(E79*4)</f>
        <v>220</v>
      </c>
      <c r="L79" t="s" s="17">
        <v>35</v>
      </c>
      <c r="M79" s="10"/>
      <c r="N79" s="10"/>
      <c r="O79" t="s" s="17">
        <v>35</v>
      </c>
      <c r="P79" s="10"/>
    </row>
    <row r="80" ht="20.05" customHeight="1">
      <c r="A80" t="s" s="8">
        <v>168</v>
      </c>
      <c r="B80" t="s" s="9">
        <v>33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39</v>
      </c>
      <c r="I80" s="10"/>
      <c r="J80" t="s" s="17">
        <v>35</v>
      </c>
      <c r="K80" s="16">
        <f>(D80*6)+(E80*4)</f>
        <v>200</v>
      </c>
      <c r="L80" t="s" s="17">
        <v>35</v>
      </c>
      <c r="M80" s="10"/>
      <c r="N80" s="10"/>
      <c r="O80" t="s" s="17">
        <v>35</v>
      </c>
      <c r="P80" s="10"/>
    </row>
    <row r="81" ht="20.05" customHeight="1">
      <c r="A81" t="s" s="8">
        <v>169</v>
      </c>
      <c r="B81" t="s" s="9">
        <v>33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39</v>
      </c>
      <c r="I81" s="10"/>
      <c r="J81" t="s" s="17">
        <v>35</v>
      </c>
      <c r="K81" s="16">
        <f>(D81*6)+(E81*4)</f>
        <v>210</v>
      </c>
      <c r="L81" t="s" s="17">
        <v>35</v>
      </c>
      <c r="M81" s="10"/>
      <c r="N81" s="10"/>
      <c r="O81" t="s" s="17">
        <v>35</v>
      </c>
      <c r="P81" s="10"/>
    </row>
    <row r="82" ht="20.05" customHeight="1">
      <c r="A82" t="s" s="8">
        <v>170</v>
      </c>
      <c r="B82" t="s" s="9">
        <v>33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39</v>
      </c>
      <c r="I82" s="10"/>
      <c r="J82" t="s" s="17">
        <v>35</v>
      </c>
      <c r="K82" s="16">
        <f>(D82*6)+(E82*4)</f>
        <v>140</v>
      </c>
      <c r="L82" t="s" s="17">
        <v>35</v>
      </c>
      <c r="M82" s="10"/>
      <c r="N82" s="10"/>
      <c r="O82" s="10"/>
      <c r="P82" t="s" s="17">
        <v>35</v>
      </c>
    </row>
    <row r="83" ht="20.05" customHeight="1">
      <c r="A83" t="s" s="8">
        <v>171</v>
      </c>
      <c r="B83" t="s" s="9">
        <v>33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172</v>
      </c>
      <c r="I83" s="10"/>
      <c r="J83" t="s" s="17">
        <v>35</v>
      </c>
      <c r="K83" s="16">
        <f>(D83*6)+(E83*4)</f>
        <v>320</v>
      </c>
      <c r="L83" t="s" s="17">
        <v>35</v>
      </c>
      <c r="M83" s="10"/>
      <c r="N83" t="s" s="17">
        <v>35</v>
      </c>
      <c r="O83" s="10"/>
      <c r="P83" s="10"/>
    </row>
    <row r="84" ht="32.05" customHeight="1">
      <c r="A84" t="s" s="8">
        <v>173</v>
      </c>
      <c r="B84" t="s" s="9">
        <v>33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174</v>
      </c>
      <c r="I84" s="10"/>
      <c r="J84" t="s" s="17">
        <v>35</v>
      </c>
      <c r="K84" s="16">
        <f>(D84*6)+(E84*4)</f>
        <v>240</v>
      </c>
      <c r="L84" t="s" s="17">
        <v>35</v>
      </c>
      <c r="M84" s="10"/>
      <c r="N84" t="s" s="17">
        <v>35</v>
      </c>
      <c r="O84" s="10"/>
      <c r="P84" s="10"/>
    </row>
    <row r="85" ht="20.05" customHeight="1">
      <c r="A85" t="s" s="8">
        <v>175</v>
      </c>
      <c r="B85" t="s" s="9">
        <v>33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176</v>
      </c>
      <c r="I85" s="10"/>
      <c r="J85" s="10"/>
      <c r="K85" s="16">
        <f>(D85*6)+(E85*4)</f>
        <v>200</v>
      </c>
      <c r="L85" s="10"/>
      <c r="M85" s="10"/>
      <c r="N85" s="10"/>
      <c r="O85" s="10"/>
      <c r="P85" s="10"/>
    </row>
    <row r="86" ht="44.05" customHeight="1">
      <c r="A86" t="s" s="8">
        <v>177</v>
      </c>
      <c r="B86" t="s" s="9">
        <v>33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178</v>
      </c>
      <c r="I86" s="10"/>
      <c r="J86" t="s" s="17">
        <v>35</v>
      </c>
      <c r="K86" s="16">
        <f>(D86*6)+(E86*4)</f>
        <v>90</v>
      </c>
      <c r="L86" t="s" s="17">
        <v>35</v>
      </c>
      <c r="M86" s="10"/>
      <c r="N86" s="10"/>
      <c r="O86" t="s" s="17">
        <v>35</v>
      </c>
      <c r="P86" s="10"/>
    </row>
    <row r="87" ht="32.05" customHeight="1">
      <c r="A87" t="s" s="8">
        <v>179</v>
      </c>
      <c r="B87" t="s" s="9">
        <v>33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180</v>
      </c>
      <c r="I87" s="10"/>
      <c r="J87" s="10"/>
      <c r="K87" s="16">
        <f>(D87*6)+(E87*4)</f>
        <v>160</v>
      </c>
      <c r="L87" s="10"/>
      <c r="M87" s="10"/>
      <c r="N87" s="10"/>
      <c r="O87" s="10"/>
      <c r="P87" s="10"/>
    </row>
    <row r="88" ht="44.05" customHeight="1">
      <c r="A88" t="s" s="8">
        <v>181</v>
      </c>
      <c r="B88" t="s" s="9">
        <v>33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182</v>
      </c>
      <c r="I88" s="10"/>
      <c r="J88" s="10"/>
      <c r="K88" s="16">
        <f>(D88*6)+(E88*4)</f>
        <v>200</v>
      </c>
      <c r="L88" s="10"/>
      <c r="M88" s="10"/>
      <c r="N88" s="10"/>
      <c r="O88" s="10"/>
      <c r="P88" s="10"/>
    </row>
    <row r="89" ht="44.05" customHeight="1">
      <c r="A89" t="s" s="8">
        <v>183</v>
      </c>
      <c r="B89" t="s" s="9">
        <v>33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182</v>
      </c>
      <c r="I89" s="10"/>
      <c r="J89" s="10"/>
      <c r="K89" s="16">
        <f>(D89*6)+(E89*4)</f>
        <v>400</v>
      </c>
      <c r="L89" s="10"/>
      <c r="M89" s="10"/>
      <c r="N89" s="10"/>
      <c r="O89" s="10"/>
      <c r="P89" s="10"/>
    </row>
    <row r="90" ht="44.05" customHeight="1">
      <c r="A90" t="s" s="8">
        <v>184</v>
      </c>
      <c r="B90" t="s" s="9">
        <v>33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185</v>
      </c>
      <c r="I90" s="10"/>
      <c r="J90" s="10"/>
      <c r="K90" s="16">
        <f>(D90*6)+(E90*4)</f>
        <v>810</v>
      </c>
      <c r="L90" s="10"/>
      <c r="M90" s="10"/>
      <c r="N90" s="10"/>
      <c r="O90" s="10"/>
      <c r="P90" s="10"/>
    </row>
    <row r="91" ht="32.05" customHeight="1">
      <c r="A91" t="s" s="8">
        <v>186</v>
      </c>
      <c r="B91" t="s" s="9">
        <v>33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187</v>
      </c>
      <c r="I91" s="10"/>
      <c r="J91" t="s" s="17">
        <v>35</v>
      </c>
      <c r="K91" s="16">
        <f>(D91*6)+(E91*4)</f>
        <v>220</v>
      </c>
      <c r="L91" t="s" s="17">
        <v>35</v>
      </c>
      <c r="M91" s="10"/>
      <c r="N91" s="10"/>
      <c r="O91" s="10"/>
      <c r="P91" t="s" s="17">
        <v>35</v>
      </c>
    </row>
    <row r="92" ht="20.05" customHeight="1">
      <c r="A92" t="s" s="8">
        <v>188</v>
      </c>
      <c r="B92" t="s" s="9">
        <v>33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189</v>
      </c>
      <c r="I92" s="10"/>
      <c r="J92" s="10"/>
      <c r="K92" s="16">
        <f>(D92*6)+(E92*4)</f>
        <v>360</v>
      </c>
      <c r="L92" s="10"/>
      <c r="M92" s="10"/>
      <c r="N92" s="10"/>
      <c r="O92" s="10"/>
      <c r="P92" s="10"/>
    </row>
    <row r="93" ht="20.05" customHeight="1">
      <c r="A93" t="s" s="8">
        <v>190</v>
      </c>
      <c r="B93" t="s" s="9">
        <v>33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39</v>
      </c>
      <c r="I93" s="10"/>
      <c r="J93" t="s" s="17">
        <v>35</v>
      </c>
      <c r="K93" s="16">
        <f>(D93*6)+(E93*4)</f>
        <v>340</v>
      </c>
      <c r="L93" t="s" s="17">
        <v>35</v>
      </c>
      <c r="M93" s="10"/>
      <c r="N93" s="10"/>
      <c r="O93" t="s" s="17">
        <v>35</v>
      </c>
      <c r="P93" s="10"/>
    </row>
    <row r="94" ht="44.05" customHeight="1">
      <c r="A94" t="s" s="8">
        <v>191</v>
      </c>
      <c r="B94" t="s" s="9">
        <v>33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192</v>
      </c>
      <c r="I94" s="10"/>
      <c r="J94" s="10"/>
      <c r="K94" s="16">
        <f>(D94*6)+(E94*4)</f>
        <v>350</v>
      </c>
      <c r="L94" s="10"/>
      <c r="M94" s="10"/>
      <c r="N94" s="10"/>
      <c r="O94" s="10"/>
      <c r="P94" s="10"/>
    </row>
    <row r="95" ht="32.05" customHeight="1">
      <c r="A95" t="s" s="8">
        <v>193</v>
      </c>
      <c r="B95" t="s" s="9">
        <v>33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194</v>
      </c>
      <c r="I95" s="10"/>
      <c r="J95" s="10"/>
      <c r="K95" s="16">
        <f>(D95*6)+(E95*4)</f>
        <v>270</v>
      </c>
      <c r="L95" s="10"/>
      <c r="M95" s="10"/>
      <c r="N95" s="10"/>
      <c r="O95" s="10"/>
      <c r="P95" s="10"/>
    </row>
    <row r="96" ht="20.05" customHeight="1">
      <c r="A96" t="s" s="8">
        <v>195</v>
      </c>
      <c r="B96" t="s" s="9">
        <v>33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39</v>
      </c>
      <c r="I96" s="10"/>
      <c r="J96" t="s" s="17">
        <v>35</v>
      </c>
      <c r="K96" s="16">
        <f>(D96*6)+(E96*4)</f>
        <v>360</v>
      </c>
      <c r="L96" t="s" s="17">
        <v>35</v>
      </c>
      <c r="M96" s="10"/>
      <c r="N96" t="s" s="17">
        <v>35</v>
      </c>
      <c r="O96" s="10"/>
      <c r="P96" s="10"/>
    </row>
    <row r="97" ht="32.05" customHeight="1">
      <c r="A97" t="s" s="8">
        <v>196</v>
      </c>
      <c r="B97" t="s" s="9">
        <v>33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197</v>
      </c>
      <c r="I97" s="10"/>
      <c r="J97" t="s" s="17">
        <v>35</v>
      </c>
      <c r="K97" s="16">
        <f>(D97*6)+(E97*4)</f>
        <v>360</v>
      </c>
      <c r="L97" t="s" s="17">
        <v>35</v>
      </c>
      <c r="M97" s="10"/>
      <c r="N97" s="10"/>
      <c r="O97" s="10"/>
      <c r="P97" t="s" s="17">
        <v>35</v>
      </c>
    </row>
    <row r="98" ht="20.05" customHeight="1">
      <c r="A98" t="s" s="8">
        <v>198</v>
      </c>
      <c r="B98" t="s" s="9">
        <v>33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39</v>
      </c>
      <c r="I98" s="10"/>
      <c r="J98" t="s" s="17">
        <v>35</v>
      </c>
      <c r="K98" s="16">
        <f>(D98*6)+(E98*4)</f>
        <v>370</v>
      </c>
      <c r="L98" t="s" s="17">
        <v>35</v>
      </c>
      <c r="M98" s="10"/>
      <c r="N98" t="s" s="17">
        <v>35</v>
      </c>
      <c r="O98" s="10"/>
      <c r="P98" s="10"/>
    </row>
    <row r="99" ht="44.05" customHeight="1">
      <c r="A99" t="s" s="8">
        <v>199</v>
      </c>
      <c r="B99" t="s" s="9">
        <v>33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200</v>
      </c>
      <c r="I99" s="10"/>
      <c r="J99" s="10"/>
      <c r="K99" s="16">
        <f>(D99*6)+(E99*4)</f>
        <v>510</v>
      </c>
      <c r="L99" s="10"/>
      <c r="M99" s="10"/>
      <c r="N99" s="10"/>
      <c r="O99" s="10"/>
      <c r="P99" s="10"/>
    </row>
    <row r="100" ht="32.05" customHeight="1">
      <c r="A100" t="s" s="8">
        <v>201</v>
      </c>
      <c r="B100" t="s" s="9">
        <v>33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202</v>
      </c>
      <c r="I100" s="10"/>
      <c r="J100" s="10"/>
      <c r="K100" s="16">
        <f>(D100*6)+(E100*4)</f>
        <v>430</v>
      </c>
      <c r="L100" s="10"/>
      <c r="M100" s="10"/>
      <c r="N100" s="10"/>
      <c r="O100" s="10"/>
      <c r="P100" s="10"/>
    </row>
    <row r="101" ht="44.05" customHeight="1">
      <c r="A101" t="s" s="8">
        <v>203</v>
      </c>
      <c r="B101" t="s" s="9">
        <v>33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204</v>
      </c>
      <c r="I101" s="10"/>
      <c r="J101" s="10"/>
      <c r="K101" s="16">
        <f>(D101*6)+(E101*4)</f>
        <v>370</v>
      </c>
      <c r="L101" s="10"/>
      <c r="M101" s="10"/>
      <c r="N101" s="10"/>
      <c r="O101" s="10"/>
      <c r="P101" s="10"/>
    </row>
    <row r="102" ht="32.05" customHeight="1">
      <c r="A102" t="s" s="8">
        <v>205</v>
      </c>
      <c r="B102" t="s" s="9">
        <v>33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206</v>
      </c>
      <c r="I102" s="10"/>
      <c r="J102" s="10"/>
      <c r="K102" s="16">
        <f>(D102*6)+(E102*4)</f>
        <v>400</v>
      </c>
      <c r="L102" s="10"/>
      <c r="M102" s="10"/>
      <c r="N102" s="10"/>
      <c r="O102" s="10"/>
      <c r="P102" s="10"/>
    </row>
    <row r="103" ht="32.05" customHeight="1">
      <c r="A103" t="s" s="8">
        <v>207</v>
      </c>
      <c r="B103" t="s" s="9">
        <v>33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208</v>
      </c>
      <c r="I103" s="10"/>
      <c r="J103" s="10"/>
      <c r="K103" s="16">
        <f>(D103*6)+(E103*4)</f>
        <v>570</v>
      </c>
      <c r="L103" s="10"/>
      <c r="M103" s="10"/>
      <c r="N103" s="10"/>
      <c r="O103" s="10"/>
      <c r="P103" s="10"/>
    </row>
    <row r="104" ht="32.05" customHeight="1">
      <c r="A104" t="s" s="8">
        <v>209</v>
      </c>
      <c r="B104" t="s" s="9">
        <v>33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210</v>
      </c>
      <c r="I104" s="10"/>
      <c r="J104" s="10"/>
      <c r="K104" s="16">
        <f>(D104*6)+(E104*4)</f>
        <v>290</v>
      </c>
      <c r="L104" s="10"/>
      <c r="M104" s="10"/>
      <c r="N104" s="10"/>
      <c r="O104" s="10"/>
      <c r="P104" s="10"/>
    </row>
    <row r="105" ht="20.05" customHeight="1">
      <c r="A105" t="s" s="8">
        <v>211</v>
      </c>
      <c r="B105" t="s" s="9">
        <v>33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39</v>
      </c>
      <c r="I105" s="10"/>
      <c r="J105" s="10"/>
      <c r="K105" s="16">
        <f>(D105*6)+(E105*4)</f>
        <v>530</v>
      </c>
      <c r="L105" s="10"/>
      <c r="M105" s="10"/>
      <c r="N105" s="10"/>
      <c r="O105" s="10"/>
      <c r="P105" s="10"/>
    </row>
    <row r="106" ht="44.05" customHeight="1">
      <c r="A106" t="s" s="8">
        <v>212</v>
      </c>
      <c r="B106" t="s" s="9">
        <v>33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213</v>
      </c>
      <c r="I106" s="10"/>
      <c r="J106" s="10"/>
      <c r="K106" s="16">
        <f>(D106*6)+(E106*4)</f>
        <v>0</v>
      </c>
      <c r="L106" s="10"/>
      <c r="M106" s="10"/>
      <c r="N106" s="10"/>
      <c r="O106" s="10"/>
      <c r="P106" s="10"/>
    </row>
    <row r="107" ht="44.05" customHeight="1">
      <c r="A107" t="s" s="8">
        <v>214</v>
      </c>
      <c r="B107" t="s" s="9">
        <v>33</v>
      </c>
      <c r="C107" s="16">
        <v>750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215</v>
      </c>
      <c r="I107" s="10"/>
      <c r="J107" t="s" s="17">
        <v>35</v>
      </c>
      <c r="K107" s="16">
        <f>(D107*6)+(E107*4)</f>
        <v>450</v>
      </c>
      <c r="L107" t="s" s="17">
        <v>35</v>
      </c>
      <c r="M107" s="10"/>
      <c r="N107" s="10"/>
      <c r="O107" t="s" s="17">
        <v>35</v>
      </c>
      <c r="P107" t="s" s="17">
        <v>35</v>
      </c>
    </row>
    <row r="108" ht="32.05" customHeight="1">
      <c r="A108" t="s" s="8">
        <v>216</v>
      </c>
      <c r="B108" t="s" s="9">
        <v>33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217</v>
      </c>
      <c r="I108" s="10"/>
      <c r="J108" s="10"/>
      <c r="K108" s="16">
        <f>(D108*6)+(E108*4)</f>
        <v>460</v>
      </c>
      <c r="L108" t="s" s="17">
        <v>35</v>
      </c>
      <c r="M108" s="10"/>
      <c r="N108" s="10"/>
      <c r="O108" t="s" s="17">
        <v>35</v>
      </c>
      <c r="P108" s="10"/>
    </row>
    <row r="109" ht="44.05" customHeight="1">
      <c r="A109" t="s" s="8">
        <v>218</v>
      </c>
      <c r="B109" t="s" s="9">
        <v>33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219</v>
      </c>
      <c r="I109" s="10"/>
      <c r="J109" s="10"/>
      <c r="K109" s="16">
        <f>(D109*6)+(E109*4)</f>
        <v>470</v>
      </c>
      <c r="L109" t="s" s="17">
        <v>35</v>
      </c>
      <c r="M109" s="10"/>
      <c r="N109" s="10"/>
      <c r="O109" t="s" s="17">
        <v>35</v>
      </c>
      <c r="P109" s="10"/>
    </row>
    <row r="110" ht="32.05" customHeight="1">
      <c r="A110" t="s" s="8">
        <v>220</v>
      </c>
      <c r="B110" t="s" s="9">
        <v>33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221</v>
      </c>
      <c r="I110" s="10"/>
      <c r="J110" s="10"/>
      <c r="K110" s="16">
        <f>(D110*6)+(E110*4)</f>
        <v>400</v>
      </c>
      <c r="L110" s="10"/>
      <c r="M110" s="10"/>
      <c r="N110" s="10"/>
      <c r="O110" s="10"/>
      <c r="P110" s="10"/>
    </row>
    <row r="111" ht="32.05" customHeight="1">
      <c r="A111" t="s" s="8">
        <v>222</v>
      </c>
      <c r="B111" t="s" s="9">
        <v>33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39</v>
      </c>
      <c r="I111" s="10"/>
      <c r="J111" s="10"/>
      <c r="K111" s="16">
        <f>(D111*6)+(E111*4)</f>
        <v>680</v>
      </c>
      <c r="L111" s="10"/>
      <c r="M111" s="10"/>
      <c r="N111" s="10"/>
      <c r="O111" s="10"/>
      <c r="P111" s="10"/>
    </row>
    <row r="112" ht="32.05" customHeight="1">
      <c r="A112" t="s" s="8">
        <v>223</v>
      </c>
      <c r="B112" t="s" s="9">
        <v>33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224</v>
      </c>
      <c r="I112" s="10"/>
      <c r="J112" s="10"/>
      <c r="K112" s="16">
        <f>(D112*6)+(E112*4)</f>
        <v>450</v>
      </c>
      <c r="L112" s="10"/>
      <c r="M112" s="10"/>
      <c r="N112" s="10"/>
      <c r="O112" s="10"/>
      <c r="P112" s="10"/>
    </row>
    <row r="113" ht="56.05" customHeight="1">
      <c r="A113" t="s" s="8">
        <v>225</v>
      </c>
      <c r="B113" t="s" s="9">
        <v>33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226</v>
      </c>
      <c r="I113" s="10"/>
      <c r="J113" s="10"/>
      <c r="K113" s="16">
        <f>(D113*6)+(E113*4)</f>
        <v>380</v>
      </c>
      <c r="L113" s="10"/>
      <c r="M113" s="10"/>
      <c r="N113" s="10"/>
      <c r="O113" s="10"/>
      <c r="P113" s="10"/>
    </row>
    <row r="114" ht="20.05" customHeight="1">
      <c r="A114" t="s" s="8">
        <v>227</v>
      </c>
      <c r="B114" t="s" s="9">
        <v>33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39</v>
      </c>
      <c r="I114" s="10"/>
      <c r="J114" s="10"/>
      <c r="K114" s="16">
        <f>(D114*6)+(E114*4)</f>
        <v>720</v>
      </c>
      <c r="L114" s="10"/>
      <c r="M114" s="10"/>
      <c r="N114" s="10"/>
      <c r="O114" s="10"/>
      <c r="P114" s="10"/>
    </row>
    <row r="115" ht="32.05" customHeight="1">
      <c r="A115" t="s" s="8">
        <v>228</v>
      </c>
      <c r="B115" t="s" s="9">
        <v>33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229</v>
      </c>
      <c r="I115" s="10"/>
      <c r="J115" s="10"/>
      <c r="K115" s="16">
        <f>(D115*6)+(E115*4)</f>
        <v>510</v>
      </c>
      <c r="L115" s="10"/>
      <c r="M115" s="10"/>
      <c r="N115" s="10"/>
      <c r="O115" s="10"/>
      <c r="P115" s="10"/>
    </row>
    <row r="116" ht="20.05" customHeight="1">
      <c r="A116" t="s" s="8">
        <v>230</v>
      </c>
      <c r="B116" t="s" s="9">
        <v>33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231</v>
      </c>
      <c r="I116" s="10"/>
      <c r="J116" s="10"/>
      <c r="K116" s="16">
        <f>(D116*6)+(E116*4)</f>
        <v>680</v>
      </c>
      <c r="L116" s="10"/>
      <c r="M116" s="10"/>
      <c r="N116" s="10"/>
      <c r="O116" s="10"/>
      <c r="P116" s="10"/>
    </row>
    <row r="117" ht="32.05" customHeight="1">
      <c r="A117" t="s" s="8">
        <v>232</v>
      </c>
      <c r="B117" t="s" s="9">
        <v>33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233</v>
      </c>
      <c r="I117" s="10"/>
      <c r="J117" s="10"/>
      <c r="K117" s="16">
        <f>(D117*6)+(E117*4)</f>
        <v>790</v>
      </c>
      <c r="L117" s="10"/>
      <c r="M117" s="10"/>
      <c r="N117" s="10"/>
      <c r="O117" s="10"/>
      <c r="P117" s="10"/>
    </row>
    <row r="118" ht="32.05" customHeight="1">
      <c r="A118" t="s" s="8">
        <v>234</v>
      </c>
      <c r="B118" t="s" s="9">
        <v>33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235</v>
      </c>
      <c r="I118" s="10"/>
      <c r="J118" s="10"/>
      <c r="K118" s="16">
        <f>(D118*6)+(E118*4)</f>
        <v>810</v>
      </c>
      <c r="L118" s="10"/>
      <c r="M118" s="10"/>
      <c r="N118" s="10"/>
      <c r="O118" s="10"/>
      <c r="P118" s="10"/>
    </row>
    <row r="119" ht="44.05" customHeight="1">
      <c r="A119" t="s" s="8">
        <v>236</v>
      </c>
      <c r="B119" t="s" s="9">
        <v>33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237</v>
      </c>
      <c r="I119" s="10"/>
      <c r="J119" s="10"/>
      <c r="K119" s="16">
        <f>(D119*6)+(E119*4)</f>
        <v>650</v>
      </c>
      <c r="L119" s="10"/>
      <c r="M119" s="10"/>
      <c r="N119" s="10"/>
      <c r="O119" s="10"/>
      <c r="P119" s="10"/>
    </row>
    <row r="120" ht="44.05" customHeight="1">
      <c r="A120" t="s" s="8">
        <v>238</v>
      </c>
      <c r="B120" t="s" s="9">
        <v>33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239</v>
      </c>
      <c r="I120" s="10"/>
      <c r="J120" s="10"/>
      <c r="K120" s="16">
        <f>(D120*6)+(E120*4)</f>
        <v>1500</v>
      </c>
      <c r="L120" s="10"/>
      <c r="M120" s="10"/>
      <c r="N120" s="10"/>
      <c r="O120" s="10"/>
      <c r="P120" s="10"/>
    </row>
    <row r="121" ht="32.05" customHeight="1">
      <c r="A121" t="s" s="8">
        <v>240</v>
      </c>
      <c r="B121" t="s" s="9">
        <v>33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241</v>
      </c>
      <c r="I121" s="10"/>
      <c r="J121" s="10"/>
      <c r="K121" s="16">
        <f>(D121*6)+(E121*4)</f>
        <v>880</v>
      </c>
      <c r="L121" t="s" s="17">
        <v>35</v>
      </c>
      <c r="M121" s="10"/>
      <c r="N121" s="10"/>
      <c r="O121" s="10"/>
      <c r="P121" t="s" s="17">
        <v>35</v>
      </c>
    </row>
    <row r="122" ht="20.05" customHeight="1">
      <c r="A122" t="s" s="8">
        <v>242</v>
      </c>
      <c r="B122" t="s" s="9">
        <v>33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243</v>
      </c>
      <c r="I122" s="10"/>
      <c r="J122" s="10"/>
      <c r="K122" s="16">
        <f>(D122*6)+(E122*4)</f>
        <v>710</v>
      </c>
      <c r="L122" s="10"/>
      <c r="M122" s="10"/>
      <c r="N122" s="10"/>
      <c r="O122" s="10"/>
      <c r="P122" s="10"/>
    </row>
    <row r="123" ht="44.05" customHeight="1">
      <c r="A123" t="s" s="8">
        <v>244</v>
      </c>
      <c r="B123" t="s" s="9">
        <v>33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245</v>
      </c>
      <c r="I123" s="10"/>
      <c r="J123" s="10"/>
      <c r="K123" s="16">
        <f>(D123*6)+(E123*4)</f>
        <v>1240</v>
      </c>
      <c r="L123" s="10"/>
      <c r="M123" s="10"/>
      <c r="N123" s="10"/>
      <c r="O123" s="10"/>
      <c r="P123" s="10"/>
    </row>
    <row r="124" ht="20.05" customHeight="1">
      <c r="A124" t="s" s="8">
        <v>246</v>
      </c>
      <c r="B124" t="s" s="9">
        <v>33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247</v>
      </c>
      <c r="I124" s="10"/>
      <c r="J124" s="10"/>
      <c r="K124" s="16">
        <f>(D124*6)+(E124*4)</f>
        <v>100</v>
      </c>
      <c r="L124" t="s" s="17">
        <v>35</v>
      </c>
      <c r="M124" s="10"/>
      <c r="N124" t="s" s="17">
        <v>35</v>
      </c>
      <c r="O124" s="10"/>
      <c r="P124" s="10"/>
    </row>
    <row r="125" ht="20.05" customHeight="1">
      <c r="A125" t="s" s="8">
        <v>248</v>
      </c>
      <c r="B125" t="s" s="9">
        <v>33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39</v>
      </c>
      <c r="I125" s="10"/>
      <c r="J125" s="10"/>
      <c r="K125" s="16">
        <f>(D125*6)+(E125*4)</f>
        <v>170</v>
      </c>
      <c r="L125" t="s" s="17">
        <v>35</v>
      </c>
      <c r="M125" s="10"/>
      <c r="N125" t="s" s="17">
        <v>35</v>
      </c>
      <c r="O125" s="10"/>
      <c r="P125" s="10"/>
    </row>
    <row r="126" ht="20.05" customHeight="1">
      <c r="A126" t="s" s="8">
        <v>249</v>
      </c>
      <c r="B126" t="s" s="9">
        <v>33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39</v>
      </c>
      <c r="I126" s="10"/>
      <c r="J126" s="10"/>
      <c r="K126" s="16">
        <f>(D126*6)+(E126*4)</f>
        <v>160</v>
      </c>
      <c r="L126" s="10"/>
      <c r="M126" s="10"/>
      <c r="N126" s="10"/>
      <c r="O126" s="10"/>
      <c r="P126" s="10"/>
    </row>
    <row r="127" ht="44.05" customHeight="1">
      <c r="A127" t="s" s="8">
        <v>250</v>
      </c>
      <c r="B127" t="s" s="9">
        <v>33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251</v>
      </c>
      <c r="I127" s="10"/>
      <c r="J127" s="10"/>
      <c r="K127" s="16">
        <f>(D127*6)+(E127*4)</f>
        <v>200</v>
      </c>
      <c r="L127" t="s" s="17">
        <v>35</v>
      </c>
      <c r="M127" s="10"/>
      <c r="N127" t="s" s="17">
        <v>35</v>
      </c>
      <c r="O127" s="10"/>
      <c r="P127" s="10"/>
    </row>
    <row r="128" ht="32.05" customHeight="1">
      <c r="A128" t="s" s="8">
        <v>252</v>
      </c>
      <c r="B128" t="s" s="9">
        <v>33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253</v>
      </c>
      <c r="I128" s="10"/>
      <c r="J128" s="10"/>
      <c r="K128" s="16">
        <f>(D128*6)+(E128*4)</f>
        <v>100</v>
      </c>
      <c r="L128" t="s" s="17">
        <v>35</v>
      </c>
      <c r="M128" s="10"/>
      <c r="N128" t="s" s="17">
        <v>35</v>
      </c>
      <c r="O128" s="10"/>
      <c r="P128" s="10"/>
    </row>
    <row r="129" ht="56.05" customHeight="1">
      <c r="A129" t="s" s="8">
        <v>254</v>
      </c>
      <c r="B129" t="s" s="9">
        <v>33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255</v>
      </c>
      <c r="I129" s="10"/>
      <c r="J129" s="10"/>
      <c r="K129" s="16">
        <f>(D129*6)+(E129*4)</f>
        <v>180</v>
      </c>
      <c r="L129" t="s" s="17">
        <v>35</v>
      </c>
      <c r="M129" s="10"/>
      <c r="N129" s="10"/>
      <c r="O129" t="s" s="17">
        <v>35</v>
      </c>
      <c r="P129" t="s" s="17">
        <v>35</v>
      </c>
    </row>
    <row r="130" ht="20.05" customHeight="1">
      <c r="A130" t="s" s="8">
        <v>256</v>
      </c>
      <c r="B130" t="s" s="9">
        <v>33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257</v>
      </c>
      <c r="I130" s="10"/>
      <c r="J130" s="10"/>
      <c r="K130" s="16">
        <f>(D130*6)+(E130*4)</f>
        <v>180</v>
      </c>
      <c r="L130" s="10"/>
      <c r="M130" s="10"/>
      <c r="N130" s="10"/>
      <c r="O130" s="10"/>
      <c r="P130" s="10"/>
    </row>
    <row r="131" ht="32.05" customHeight="1">
      <c r="A131" t="s" s="8">
        <v>258</v>
      </c>
      <c r="B131" t="s" s="9">
        <v>33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39</v>
      </c>
      <c r="I131" s="10"/>
      <c r="J131" s="10"/>
      <c r="K131" s="16">
        <f>(D131*6)+(E131*4)</f>
        <v>150</v>
      </c>
      <c r="L131" s="10"/>
      <c r="M131" s="10"/>
      <c r="N131" s="10"/>
      <c r="O131" s="10"/>
      <c r="P131" s="10"/>
    </row>
    <row r="132" ht="32.05" customHeight="1">
      <c r="A132" t="s" s="8">
        <v>259</v>
      </c>
      <c r="B132" t="s" s="9">
        <v>33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260</v>
      </c>
      <c r="I132" s="10"/>
      <c r="J132" s="10"/>
      <c r="K132" s="16">
        <f>(D132*6)+(E132*4)</f>
        <v>170</v>
      </c>
      <c r="L132" t="s" s="17">
        <v>35</v>
      </c>
      <c r="M132" s="10"/>
      <c r="N132" t="s" s="17">
        <v>35</v>
      </c>
      <c r="O132" s="10"/>
      <c r="P132" s="10"/>
    </row>
    <row r="133" ht="20.05" customHeight="1">
      <c r="A133" t="s" s="8">
        <v>261</v>
      </c>
      <c r="B133" t="s" s="9">
        <v>33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39</v>
      </c>
      <c r="I133" s="10"/>
      <c r="J133" s="10"/>
      <c r="K133" s="16">
        <f>(D133*6)+(E133*4)</f>
        <v>210</v>
      </c>
      <c r="L133" s="10"/>
      <c r="M133" s="10"/>
      <c r="N133" s="10"/>
      <c r="O133" s="10"/>
      <c r="P133" s="10"/>
    </row>
    <row r="134" ht="20.05" customHeight="1">
      <c r="A134" t="s" s="8">
        <v>262</v>
      </c>
      <c r="B134" t="s" s="9">
        <v>33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39</v>
      </c>
      <c r="I134" s="10"/>
      <c r="J134" s="10"/>
      <c r="K134" s="16">
        <f>(D134*6)+(E134*4)</f>
        <v>200</v>
      </c>
      <c r="L134" s="10"/>
      <c r="M134" s="10"/>
      <c r="N134" s="10"/>
      <c r="O134" s="10"/>
      <c r="P134" s="10"/>
    </row>
    <row r="135" ht="32.05" customHeight="1">
      <c r="A135" t="s" s="8">
        <v>263</v>
      </c>
      <c r="B135" t="s" s="9">
        <v>33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264</v>
      </c>
      <c r="I135" s="10"/>
      <c r="J135" s="10"/>
      <c r="K135" s="16">
        <f>(D135*6)+(E135*4)</f>
        <v>180</v>
      </c>
      <c r="L135" s="10"/>
      <c r="M135" s="10"/>
      <c r="N135" s="10"/>
      <c r="O135" s="10"/>
      <c r="P135" s="10"/>
    </row>
    <row r="136" ht="44.05" customHeight="1">
      <c r="A136" t="s" s="8">
        <v>265</v>
      </c>
      <c r="B136" t="s" s="9">
        <v>33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266</v>
      </c>
      <c r="I136" s="10"/>
      <c r="J136" s="10"/>
      <c r="K136" s="16">
        <f>(D136*6)+(E136*4)</f>
        <v>250</v>
      </c>
      <c r="L136" t="s" s="17">
        <v>35</v>
      </c>
      <c r="M136" s="10"/>
      <c r="N136" t="s" s="17">
        <v>35</v>
      </c>
      <c r="O136" s="10"/>
      <c r="P136" s="10"/>
    </row>
    <row r="137" ht="20.05" customHeight="1">
      <c r="A137" t="s" s="8">
        <v>267</v>
      </c>
      <c r="B137" t="s" s="9">
        <v>33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39</v>
      </c>
      <c r="I137" s="10"/>
      <c r="J137" s="10"/>
      <c r="K137" s="16">
        <f>(D137*6)+(E137*4)</f>
        <v>120</v>
      </c>
      <c r="L137" s="10"/>
      <c r="M137" s="10"/>
      <c r="N137" s="10"/>
      <c r="O137" s="10"/>
      <c r="P137" s="10"/>
    </row>
    <row r="138" ht="32.05" customHeight="1">
      <c r="A138" t="s" s="8">
        <v>268</v>
      </c>
      <c r="B138" t="s" s="9">
        <v>33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269</v>
      </c>
      <c r="I138" s="10"/>
      <c r="J138" s="10"/>
      <c r="K138" s="16">
        <f>(D138*6)+(E138*4)</f>
        <v>190</v>
      </c>
      <c r="L138" s="10"/>
      <c r="M138" s="10"/>
      <c r="N138" s="10"/>
      <c r="O138" s="10"/>
      <c r="P138" s="10"/>
    </row>
    <row r="139" ht="32.05" customHeight="1">
      <c r="A139" t="s" s="8">
        <v>270</v>
      </c>
      <c r="B139" t="s" s="9">
        <v>33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271</v>
      </c>
      <c r="I139" s="10"/>
      <c r="J139" s="10"/>
      <c r="K139" s="16">
        <f>(D139*6)+(E139*4)</f>
        <v>170</v>
      </c>
      <c r="L139" t="s" s="17">
        <v>35</v>
      </c>
      <c r="M139" s="10"/>
      <c r="N139" s="10"/>
      <c r="O139" s="10"/>
      <c r="P139" t="s" s="17">
        <v>35</v>
      </c>
    </row>
    <row r="140" ht="44.05" customHeight="1">
      <c r="A140" t="s" s="8">
        <v>272</v>
      </c>
      <c r="B140" t="s" s="9">
        <v>33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273</v>
      </c>
      <c r="I140" s="10"/>
      <c r="J140" s="10"/>
      <c r="K140" s="16">
        <f>(D140*6)+(E140*4)</f>
        <v>140</v>
      </c>
      <c r="L140" t="s" s="17">
        <v>35</v>
      </c>
      <c r="M140" s="10"/>
      <c r="N140" t="s" s="17">
        <v>35</v>
      </c>
      <c r="O140" s="10"/>
      <c r="P140" s="10"/>
    </row>
    <row r="141" ht="32.05" customHeight="1">
      <c r="A141" t="s" s="8">
        <v>274</v>
      </c>
      <c r="B141" t="s" s="9">
        <v>33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275</v>
      </c>
      <c r="I141" s="10"/>
      <c r="J141" s="10"/>
      <c r="K141" s="16">
        <f>(D141*6)+(E141*4)</f>
        <v>140</v>
      </c>
      <c r="L141" t="s" s="17">
        <v>35</v>
      </c>
      <c r="M141" s="10"/>
      <c r="N141" t="s" s="17">
        <v>35</v>
      </c>
      <c r="O141" s="10"/>
      <c r="P141" s="10"/>
    </row>
    <row r="142" ht="32.05" customHeight="1">
      <c r="A142" t="s" s="8">
        <v>276</v>
      </c>
      <c r="B142" t="s" s="9">
        <v>33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39</v>
      </c>
      <c r="I142" s="10"/>
      <c r="J142" s="10"/>
      <c r="K142" s="16">
        <f>(D142*6)+(E142*4)</f>
        <v>170</v>
      </c>
      <c r="L142" s="10"/>
      <c r="M142" s="10"/>
      <c r="N142" s="10"/>
      <c r="O142" s="10"/>
      <c r="P142" s="10"/>
    </row>
    <row r="143" ht="44.05" customHeight="1">
      <c r="A143" t="s" s="8">
        <v>277</v>
      </c>
      <c r="B143" t="s" s="9">
        <v>33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278</v>
      </c>
      <c r="I143" s="10"/>
      <c r="J143" s="10"/>
      <c r="K143" s="16">
        <f>(D143*6)+(E143*4)</f>
        <v>180</v>
      </c>
      <c r="L143" s="10"/>
      <c r="M143" s="10"/>
      <c r="N143" s="10"/>
      <c r="O143" s="10"/>
      <c r="P143" s="10"/>
    </row>
    <row r="144" ht="32.05" customHeight="1">
      <c r="A144" t="s" s="8">
        <v>279</v>
      </c>
      <c r="B144" t="s" s="9">
        <v>33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280</v>
      </c>
      <c r="I144" s="10"/>
      <c r="J144" s="10"/>
      <c r="K144" s="16">
        <f>(D144*6)+(E144*4)</f>
        <v>190</v>
      </c>
      <c r="L144" s="10"/>
      <c r="M144" s="10"/>
      <c r="N144" s="10"/>
      <c r="O144" s="10"/>
      <c r="P144" s="10"/>
    </row>
    <row r="145" ht="44.05" customHeight="1">
      <c r="A145" t="s" s="8">
        <v>281</v>
      </c>
      <c r="B145" t="s" s="9">
        <v>33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282</v>
      </c>
      <c r="I145" s="10"/>
      <c r="J145" s="10"/>
      <c r="K145" s="16">
        <f>(D145*6)+(E145*4)</f>
        <v>260</v>
      </c>
      <c r="L145" s="10"/>
      <c r="M145" s="10"/>
      <c r="N145" s="10"/>
      <c r="O145" s="10"/>
      <c r="P145" s="10"/>
    </row>
    <row r="146" ht="20.05" customHeight="1">
      <c r="A146" t="s" s="8">
        <v>283</v>
      </c>
      <c r="B146" t="s" s="9">
        <v>33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39</v>
      </c>
      <c r="I146" s="10"/>
      <c r="J146" s="10"/>
      <c r="K146" s="16">
        <f>(D146*6)+(E146*4)</f>
        <v>190</v>
      </c>
      <c r="L146" t="s" s="17">
        <v>35</v>
      </c>
      <c r="M146" s="10"/>
      <c r="N146" s="10"/>
      <c r="O146" t="s" s="17">
        <v>35</v>
      </c>
      <c r="P146" s="10"/>
    </row>
    <row r="147" ht="20.05" customHeight="1">
      <c r="A147" t="s" s="8">
        <v>284</v>
      </c>
      <c r="B147" t="s" s="9">
        <v>33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39</v>
      </c>
      <c r="I147" s="10"/>
      <c r="J147" s="10"/>
      <c r="K147" s="16">
        <f>(D147*6)+(E147*4)</f>
        <v>300</v>
      </c>
      <c r="L147" t="s" s="17">
        <v>35</v>
      </c>
      <c r="M147" s="10"/>
      <c r="N147" s="10"/>
      <c r="O147" s="10"/>
      <c r="P147" t="s" s="17">
        <v>35</v>
      </c>
    </row>
    <row r="148" ht="20.05" customHeight="1">
      <c r="A148" t="s" s="8">
        <v>285</v>
      </c>
      <c r="B148" t="s" s="9">
        <v>33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39</v>
      </c>
      <c r="I148" s="10"/>
      <c r="J148" s="10"/>
      <c r="K148" s="16">
        <f>(D148*6)+(E148*4)</f>
        <v>360</v>
      </c>
      <c r="L148" t="s" s="17">
        <v>35</v>
      </c>
      <c r="M148" s="10"/>
      <c r="N148" s="10"/>
      <c r="O148" t="s" s="17">
        <v>35</v>
      </c>
      <c r="P148" s="10"/>
    </row>
    <row r="149" ht="20.05" customHeight="1">
      <c r="A149" t="s" s="8">
        <v>286</v>
      </c>
      <c r="B149" t="s" s="9">
        <v>33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287</v>
      </c>
      <c r="I149" s="10"/>
      <c r="J149" s="10"/>
      <c r="K149" s="16">
        <f>(D149*6)+(E149*4)</f>
        <v>230</v>
      </c>
      <c r="L149" t="s" s="17">
        <v>35</v>
      </c>
      <c r="M149" s="10"/>
      <c r="N149" t="s" s="17">
        <v>35</v>
      </c>
      <c r="O149" s="10"/>
      <c r="P149" s="10"/>
    </row>
    <row r="150" ht="20.05" customHeight="1">
      <c r="A150" t="s" s="8">
        <v>288</v>
      </c>
      <c r="B150" t="s" s="9">
        <v>33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39</v>
      </c>
      <c r="I150" s="10"/>
      <c r="J150" s="10"/>
      <c r="K150" s="16">
        <f>(D150*6)+(E150*4)</f>
        <v>290</v>
      </c>
      <c r="L150" t="s" s="17">
        <v>35</v>
      </c>
      <c r="M150" s="10"/>
      <c r="N150" t="s" s="17">
        <v>35</v>
      </c>
      <c r="O150" s="10"/>
      <c r="P150" s="10"/>
    </row>
    <row r="151" ht="44.05" customHeight="1">
      <c r="A151" t="s" s="8">
        <v>289</v>
      </c>
      <c r="B151" t="s" s="9">
        <v>33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290</v>
      </c>
      <c r="I151" s="10"/>
      <c r="J151" s="10"/>
      <c r="K151" s="16">
        <f>(D151*6)+(E151*4)</f>
        <v>320</v>
      </c>
      <c r="L151" t="s" s="17">
        <v>35</v>
      </c>
      <c r="M151" s="10"/>
      <c r="N151" s="10"/>
      <c r="O151" t="s" s="17">
        <v>35</v>
      </c>
      <c r="P151" s="10"/>
    </row>
    <row r="152" ht="20.05" customHeight="1">
      <c r="A152" t="s" s="8">
        <v>291</v>
      </c>
      <c r="B152" t="s" s="9">
        <v>33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39</v>
      </c>
      <c r="I152" s="10"/>
      <c r="J152" s="10"/>
      <c r="K152" s="16">
        <f>(D152*6)+(E152*4)</f>
        <v>210</v>
      </c>
      <c r="L152" s="10"/>
      <c r="M152" s="10"/>
      <c r="N152" s="10"/>
      <c r="O152" s="10"/>
      <c r="P152" s="10"/>
    </row>
    <row r="153" ht="44.05" customHeight="1">
      <c r="A153" t="s" s="8">
        <v>292</v>
      </c>
      <c r="B153" t="s" s="9">
        <v>33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293</v>
      </c>
      <c r="I153" s="10"/>
      <c r="J153" s="10"/>
      <c r="K153" s="16">
        <f>(D153*6)+(E153*4)</f>
        <v>210</v>
      </c>
      <c r="L153" t="s" s="17">
        <v>35</v>
      </c>
      <c r="M153" s="10"/>
      <c r="N153" s="10"/>
      <c r="O153" t="s" s="17">
        <v>35</v>
      </c>
      <c r="P153" s="10"/>
    </row>
    <row r="154" ht="20.05" customHeight="1">
      <c r="A154" t="s" s="8">
        <v>294</v>
      </c>
      <c r="B154" t="s" s="9">
        <v>33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39</v>
      </c>
      <c r="I154" s="10"/>
      <c r="J154" s="10"/>
      <c r="K154" s="16">
        <f>(D154*6)+(E154*4)</f>
        <v>250</v>
      </c>
      <c r="L154" s="10"/>
      <c r="M154" s="10"/>
      <c r="N154" s="10"/>
      <c r="O154" s="10"/>
      <c r="P154" s="10"/>
    </row>
    <row r="155" ht="44.05" customHeight="1">
      <c r="A155" t="s" s="8">
        <v>295</v>
      </c>
      <c r="B155" t="s" s="9">
        <v>33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296</v>
      </c>
      <c r="I155" s="10"/>
      <c r="J155" s="10"/>
      <c r="K155" s="16">
        <f>(D155*6)+(E155*4)</f>
        <v>210</v>
      </c>
      <c r="L155" t="s" s="17">
        <v>35</v>
      </c>
      <c r="M155" s="10"/>
      <c r="N155" s="10"/>
      <c r="O155" s="10"/>
      <c r="P155" t="s" s="17">
        <v>35</v>
      </c>
    </row>
    <row r="156" ht="20.05" customHeight="1">
      <c r="A156" t="s" s="8">
        <v>297</v>
      </c>
      <c r="B156" t="s" s="9">
        <v>33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39</v>
      </c>
      <c r="I156" s="10"/>
      <c r="J156" s="10"/>
      <c r="K156" s="16">
        <f>(D156*6)+(E156*4)</f>
        <v>180</v>
      </c>
      <c r="L156" t="s" s="17">
        <v>35</v>
      </c>
      <c r="M156" s="10"/>
      <c r="N156" s="10"/>
      <c r="O156" t="s" s="17">
        <v>35</v>
      </c>
      <c r="P156" s="10"/>
    </row>
    <row r="157" ht="32.05" customHeight="1">
      <c r="A157" t="s" s="8">
        <v>298</v>
      </c>
      <c r="B157" t="s" s="9">
        <v>33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299</v>
      </c>
      <c r="I157" s="10"/>
      <c r="J157" s="10"/>
      <c r="K157" s="16">
        <f>(D157*6)+(E157*4)</f>
        <v>340</v>
      </c>
      <c r="L157" t="s" s="17">
        <v>35</v>
      </c>
      <c r="M157" s="10"/>
      <c r="N157" s="10"/>
      <c r="O157" s="10"/>
      <c r="P157" s="10"/>
    </row>
    <row r="158" ht="56.05" customHeight="1">
      <c r="A158" t="s" s="8">
        <v>300</v>
      </c>
      <c r="B158" t="s" s="9">
        <v>33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301</v>
      </c>
      <c r="I158" s="10"/>
      <c r="J158" s="10"/>
      <c r="K158" s="16">
        <f>(D158*6)+(E158*4)</f>
        <v>170</v>
      </c>
      <c r="L158" t="s" s="17">
        <v>35</v>
      </c>
      <c r="M158" s="10"/>
      <c r="N158" t="s" s="17">
        <v>35</v>
      </c>
      <c r="O158" s="10"/>
      <c r="P158" t="s" s="17">
        <v>35</v>
      </c>
    </row>
    <row r="159" ht="32.05" customHeight="1">
      <c r="A159" t="s" s="8">
        <v>302</v>
      </c>
      <c r="B159" t="s" s="9">
        <v>33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303</v>
      </c>
      <c r="I159" s="10"/>
      <c r="J159" s="10"/>
      <c r="K159" s="16">
        <f>(D159*6)+(E159*4)</f>
        <v>280</v>
      </c>
      <c r="L159" s="10"/>
      <c r="M159" s="10"/>
      <c r="N159" s="10"/>
      <c r="O159" s="10"/>
      <c r="P159" s="10"/>
    </row>
    <row r="160" ht="32.05" customHeight="1">
      <c r="A160" t="s" s="8">
        <v>304</v>
      </c>
      <c r="B160" t="s" s="9">
        <v>33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305</v>
      </c>
      <c r="I160" s="10"/>
      <c r="J160" s="10"/>
      <c r="K160" s="16">
        <f>(D160*6)+(E160*4)</f>
        <v>150</v>
      </c>
      <c r="L160" s="10"/>
      <c r="M160" s="10"/>
      <c r="N160" s="10"/>
      <c r="O160" s="10"/>
      <c r="P160" s="10"/>
    </row>
    <row r="161" ht="20.05" customHeight="1">
      <c r="A161" t="s" s="8">
        <v>306</v>
      </c>
      <c r="B161" t="s" s="9">
        <v>33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39</v>
      </c>
      <c r="I161" s="10"/>
      <c r="J161" s="10"/>
      <c r="K161" s="16">
        <f>(D161*6)+(E161*4)</f>
        <v>500</v>
      </c>
      <c r="L161" s="10"/>
      <c r="M161" s="10"/>
      <c r="N161" s="10"/>
      <c r="O161" s="10"/>
      <c r="P161" s="10"/>
    </row>
    <row r="162" ht="32.05" customHeight="1">
      <c r="A162" t="s" s="8">
        <v>307</v>
      </c>
      <c r="B162" t="s" s="9">
        <v>33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303</v>
      </c>
      <c r="I162" s="10"/>
      <c r="J162" s="10"/>
      <c r="K162" s="16">
        <f>(D162*6)+(E162*4)</f>
        <v>640</v>
      </c>
      <c r="L162" s="10"/>
      <c r="M162" s="10"/>
      <c r="N162" s="10"/>
      <c r="O162" s="10"/>
      <c r="P162" s="10"/>
    </row>
    <row r="163" ht="20.05" customHeight="1">
      <c r="A163" t="s" s="8">
        <v>308</v>
      </c>
      <c r="B163" t="s" s="9">
        <v>33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39</v>
      </c>
      <c r="I163" s="10"/>
      <c r="J163" s="10"/>
      <c r="K163" s="16">
        <f>(D163*6)+(E163*4)</f>
        <v>490</v>
      </c>
      <c r="L163" s="10"/>
      <c r="M163" s="10"/>
      <c r="N163" s="10"/>
      <c r="O163" s="10"/>
      <c r="P163" s="10"/>
    </row>
    <row r="164" ht="32.05" customHeight="1">
      <c r="A164" t="s" s="8">
        <v>309</v>
      </c>
      <c r="B164" t="s" s="9">
        <v>33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39</v>
      </c>
      <c r="I164" s="10"/>
      <c r="J164" s="10"/>
      <c r="K164" s="16">
        <f>(D164*6)+(E164*4)</f>
        <v>540</v>
      </c>
      <c r="L164" s="10"/>
      <c r="M164" s="10"/>
      <c r="N164" s="10"/>
      <c r="O164" s="10"/>
      <c r="P164" s="10"/>
    </row>
    <row r="165" ht="80.05" customHeight="1">
      <c r="A165" t="s" s="8">
        <v>310</v>
      </c>
      <c r="B165" t="s" s="9">
        <v>33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311</v>
      </c>
      <c r="I165" s="10"/>
      <c r="J165" s="10"/>
      <c r="K165" s="16">
        <f>(D165*6)+(E165*4)</f>
        <v>500</v>
      </c>
      <c r="L165" t="s" s="17">
        <v>35</v>
      </c>
      <c r="M165" s="10"/>
      <c r="N165" s="10"/>
      <c r="O165" s="10"/>
      <c r="P165" t="s" s="17">
        <v>35</v>
      </c>
    </row>
    <row r="166" ht="44.05" customHeight="1">
      <c r="A166" t="s" s="8">
        <v>312</v>
      </c>
      <c r="B166" t="s" s="9">
        <v>33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313</v>
      </c>
      <c r="I166" s="10"/>
      <c r="J166" s="10"/>
      <c r="K166" s="16">
        <f>(D166*6)+(E166*4)</f>
        <v>630</v>
      </c>
      <c r="L166" s="10"/>
      <c r="M166" s="10"/>
      <c r="N166" s="10"/>
      <c r="O166" s="10"/>
      <c r="P166" s="10"/>
    </row>
    <row r="167" ht="32.05" customHeight="1">
      <c r="A167" t="s" s="8">
        <v>314</v>
      </c>
      <c r="B167" t="s" s="9">
        <v>33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315</v>
      </c>
      <c r="I167" s="10"/>
      <c r="J167" s="10"/>
      <c r="K167" s="16">
        <f>(D167*6)+(E167*4)</f>
        <v>620</v>
      </c>
      <c r="L167" s="10"/>
      <c r="M167" s="10"/>
      <c r="N167" s="10"/>
      <c r="O167" s="10"/>
      <c r="P167" s="10"/>
    </row>
    <row r="168" ht="32.05" customHeight="1">
      <c r="A168" t="s" s="8">
        <v>316</v>
      </c>
      <c r="B168" t="s" s="9">
        <v>33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317</v>
      </c>
      <c r="I168" s="10"/>
      <c r="J168" s="10"/>
      <c r="K168" s="16">
        <f>(D168*6)+(E168*4)</f>
        <v>350</v>
      </c>
      <c r="L168" s="10"/>
      <c r="M168" s="10"/>
      <c r="N168" s="10"/>
      <c r="O168" s="10"/>
      <c r="P168" s="10"/>
    </row>
    <row r="169" ht="32.05" customHeight="1">
      <c r="A169" t="s" s="8">
        <v>318</v>
      </c>
      <c r="B169" t="s" s="9">
        <v>33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319</v>
      </c>
      <c r="I169" s="10"/>
      <c r="J169" s="10"/>
      <c r="K169" s="16">
        <f>(D169*6)+(E169*4)</f>
        <v>660</v>
      </c>
      <c r="L169" s="10"/>
      <c r="M169" s="10"/>
      <c r="N169" s="10"/>
      <c r="O169" s="10"/>
      <c r="P169" s="10"/>
    </row>
    <row r="170" ht="32.05" customHeight="1">
      <c r="A170" t="s" s="8">
        <v>320</v>
      </c>
      <c r="B170" t="s" s="9">
        <v>33</v>
      </c>
      <c r="C170" s="16">
        <v>780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321</v>
      </c>
      <c r="I170" s="10"/>
      <c r="J170" s="10"/>
      <c r="K170" s="16">
        <f>(D170*6)+(E170*4)</f>
        <v>650</v>
      </c>
      <c r="L170" t="s" s="17">
        <v>35</v>
      </c>
      <c r="M170" s="10"/>
      <c r="N170" t="s" s="17">
        <v>35</v>
      </c>
      <c r="O170" s="10"/>
      <c r="P170" s="10"/>
    </row>
    <row r="171" ht="20.05" customHeight="1">
      <c r="A171" t="s" s="8">
        <v>322</v>
      </c>
      <c r="B171" t="s" s="9">
        <v>33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39</v>
      </c>
      <c r="I171" s="10"/>
      <c r="J171" s="10"/>
      <c r="K171" s="16">
        <f>(D171*6)+(E171*4)</f>
        <v>440</v>
      </c>
      <c r="L171" s="10"/>
      <c r="M171" s="10"/>
      <c r="N171" s="10"/>
      <c r="O171" s="10"/>
      <c r="P171" s="10"/>
    </row>
    <row r="172" ht="44.05" customHeight="1">
      <c r="A172" t="s" s="8">
        <v>323</v>
      </c>
      <c r="B172" t="s" s="9">
        <v>33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324</v>
      </c>
      <c r="I172" s="10"/>
      <c r="J172" s="10"/>
      <c r="K172" s="16">
        <f>(D172*6)+(E172*4)</f>
        <v>360</v>
      </c>
      <c r="L172" s="10"/>
      <c r="M172" s="10"/>
      <c r="N172" s="10"/>
      <c r="O172" s="10"/>
      <c r="P172" s="10"/>
    </row>
    <row r="173" ht="44.05" customHeight="1">
      <c r="A173" t="s" s="8">
        <v>325</v>
      </c>
      <c r="B173" t="s" s="9">
        <v>33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326</v>
      </c>
      <c r="I173" s="10"/>
      <c r="J173" s="10"/>
      <c r="K173" s="16">
        <f>(D173*6)+(E173*4)</f>
        <v>450</v>
      </c>
      <c r="L173" s="10"/>
      <c r="M173" s="10"/>
      <c r="N173" s="10"/>
      <c r="O173" s="10"/>
      <c r="P173" s="10"/>
    </row>
    <row r="174" ht="32.05" customHeight="1">
      <c r="A174" t="s" s="8">
        <v>327</v>
      </c>
      <c r="B174" t="s" s="9">
        <v>33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328</v>
      </c>
      <c r="I174" s="10"/>
      <c r="J174" s="10"/>
      <c r="K174" s="16">
        <f>(D174*6)+(E174*4)</f>
        <v>800</v>
      </c>
      <c r="L174" s="10"/>
      <c r="M174" s="10"/>
      <c r="N174" s="10"/>
      <c r="O174" s="10"/>
      <c r="P174" s="10"/>
    </row>
    <row r="175" ht="32.05" customHeight="1">
      <c r="A175" t="s" s="8">
        <v>329</v>
      </c>
      <c r="B175" t="s" s="9">
        <v>33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330</v>
      </c>
      <c r="I175" s="10"/>
      <c r="J175" s="10"/>
      <c r="K175" s="16">
        <f>(D175*6)+(E175*4)</f>
        <v>800</v>
      </c>
      <c r="L175" s="10"/>
      <c r="M175" s="10"/>
      <c r="N175" s="10"/>
      <c r="O175" s="10"/>
      <c r="P175" s="10"/>
    </row>
    <row r="176" ht="56.05" customHeight="1">
      <c r="A176" t="s" s="8">
        <v>331</v>
      </c>
      <c r="B176" t="s" s="9">
        <v>33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332</v>
      </c>
      <c r="I176" s="10"/>
      <c r="J176" s="10"/>
      <c r="K176" s="16">
        <f>(D176*6)+(E176*4)</f>
        <v>840</v>
      </c>
      <c r="L176" s="10"/>
      <c r="M176" s="10"/>
      <c r="N176" s="10"/>
      <c r="O176" s="10"/>
      <c r="P176" s="10"/>
    </row>
    <row r="177" ht="68.05" customHeight="1">
      <c r="A177" t="s" s="8">
        <v>333</v>
      </c>
      <c r="B177" t="s" s="9">
        <v>33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334</v>
      </c>
      <c r="I177" s="10"/>
      <c r="J177" s="10"/>
      <c r="K177" s="16">
        <f>(D177*6)+(E177*4)</f>
        <v>780</v>
      </c>
      <c r="L177" s="10"/>
      <c r="M177" s="10"/>
      <c r="N177" s="10"/>
      <c r="O177" s="10"/>
      <c r="P177" s="10"/>
    </row>
    <row r="178" ht="20.05" customHeight="1">
      <c r="A178" t="s" s="8">
        <v>335</v>
      </c>
      <c r="B178" t="s" s="9">
        <v>33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39</v>
      </c>
      <c r="I178" s="10"/>
      <c r="J178" s="10"/>
      <c r="K178" s="16">
        <f>(D178*6)+(E178*4)</f>
        <v>890</v>
      </c>
      <c r="L178" s="10"/>
      <c r="M178" s="10"/>
      <c r="N178" s="10"/>
      <c r="O178" s="10"/>
      <c r="P178" s="10"/>
    </row>
    <row r="179" ht="68.05" customHeight="1">
      <c r="A179" t="s" s="8">
        <v>336</v>
      </c>
      <c r="B179" t="s" s="9">
        <v>33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337</v>
      </c>
      <c r="I179" s="10"/>
      <c r="J179" s="10"/>
      <c r="K179" s="16">
        <f>(D179*6)+(E179*4)</f>
        <v>650</v>
      </c>
      <c r="L179" s="10"/>
      <c r="M179" s="10"/>
      <c r="N179" s="10"/>
      <c r="O179" s="10"/>
      <c r="P179" s="10"/>
    </row>
    <row r="180" ht="44.05" customHeight="1">
      <c r="A180" t="s" s="8">
        <v>338</v>
      </c>
      <c r="B180" t="s" s="9">
        <v>33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339</v>
      </c>
      <c r="I180" s="10"/>
      <c r="J180" s="10"/>
      <c r="K180" s="16">
        <f>(D180*6)+(E180*4)</f>
        <v>810</v>
      </c>
      <c r="L180" s="10"/>
      <c r="M180" s="10"/>
      <c r="N180" s="10"/>
      <c r="O180" s="10"/>
      <c r="P180" s="10"/>
    </row>
    <row r="181" ht="32.05" customHeight="1">
      <c r="A181" t="s" s="8">
        <v>340</v>
      </c>
      <c r="B181" t="s" s="9">
        <v>33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341</v>
      </c>
      <c r="I181" s="10"/>
      <c r="J181" s="10"/>
      <c r="K181" s="16">
        <f>(D181*6)+(E181*4)</f>
        <v>1400</v>
      </c>
      <c r="L181" s="10"/>
      <c r="M181" s="10"/>
      <c r="N181" s="10"/>
      <c r="O181" s="10"/>
      <c r="P181" s="10"/>
    </row>
    <row r="182" ht="32.05" customHeight="1">
      <c r="A182" t="s" s="8">
        <v>342</v>
      </c>
      <c r="B182" t="s" s="9">
        <v>33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343</v>
      </c>
      <c r="I182" s="10"/>
      <c r="J182" s="10"/>
      <c r="K182" s="16">
        <f>(D182*6)+(E182*4)</f>
        <v>900</v>
      </c>
      <c r="L182" s="10"/>
      <c r="M182" s="10"/>
      <c r="N182" s="10"/>
      <c r="O182" s="10"/>
      <c r="P182" s="10"/>
    </row>
    <row r="183" ht="20.05" customHeight="1">
      <c r="A183" t="s" s="8">
        <v>344</v>
      </c>
      <c r="B183" t="s" s="9">
        <v>33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153</v>
      </c>
      <c r="I183" s="10"/>
      <c r="J183" s="10"/>
      <c r="K183" s="16">
        <f>(D183*6)+(E183*4)</f>
        <v>100</v>
      </c>
      <c r="L183" s="10"/>
      <c r="M183" s="10"/>
      <c r="N183" s="10"/>
      <c r="O183" s="10"/>
      <c r="P183" s="10"/>
    </row>
    <row r="184" ht="56.05" customHeight="1">
      <c r="A184" t="s" s="8">
        <v>345</v>
      </c>
      <c r="B184" t="s" s="9">
        <v>33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346</v>
      </c>
      <c r="I184" s="10"/>
      <c r="J184" s="10"/>
      <c r="K184" s="16">
        <f>(D184*6)+(E184*4)</f>
        <v>170</v>
      </c>
      <c r="L184" s="10"/>
      <c r="M184" s="10"/>
      <c r="N184" s="10"/>
      <c r="O184" s="10"/>
      <c r="P184" s="10"/>
    </row>
    <row r="185" ht="20.05" customHeight="1">
      <c r="A185" t="s" s="8">
        <v>347</v>
      </c>
      <c r="B185" t="s" s="9">
        <v>33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39</v>
      </c>
      <c r="I185" s="10"/>
      <c r="J185" s="10"/>
      <c r="K185" s="16">
        <f>(D185*6)+(E185*4)</f>
        <v>200</v>
      </c>
      <c r="L185" s="10"/>
      <c r="M185" s="10"/>
      <c r="N185" s="10"/>
      <c r="O185" s="10"/>
      <c r="P185" s="10"/>
    </row>
    <row r="186" ht="20.05" customHeight="1">
      <c r="A186" t="s" s="8">
        <v>348</v>
      </c>
      <c r="B186" t="s" s="9">
        <v>33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39</v>
      </c>
      <c r="I186" s="10"/>
      <c r="J186" s="10"/>
      <c r="K186" s="16">
        <f>(D186*6)+(E186*4)</f>
        <v>160</v>
      </c>
      <c r="L186" s="10"/>
      <c r="M186" s="10"/>
      <c r="N186" s="10"/>
      <c r="O186" s="10"/>
      <c r="P186" s="10"/>
    </row>
    <row r="187" ht="20.05" customHeight="1">
      <c r="A187" t="s" s="8">
        <v>349</v>
      </c>
      <c r="B187" t="s" s="9">
        <v>33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39</v>
      </c>
      <c r="I187" s="10"/>
      <c r="J187" s="10"/>
      <c r="K187" s="16">
        <f>(D187*6)+(E187*4)</f>
        <v>240</v>
      </c>
      <c r="L187" s="10"/>
      <c r="M187" s="10"/>
      <c r="N187" s="10"/>
      <c r="O187" s="10"/>
      <c r="P187" s="10"/>
    </row>
    <row r="188" ht="56.05" customHeight="1">
      <c r="A188" t="s" s="8">
        <v>350</v>
      </c>
      <c r="B188" t="s" s="9">
        <v>33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351</v>
      </c>
      <c r="I188" s="10"/>
      <c r="J188" s="10"/>
      <c r="K188" s="16">
        <f>(D188*6)+(E188*4)</f>
        <v>190</v>
      </c>
      <c r="L188" s="10"/>
      <c r="M188" s="10"/>
      <c r="N188" s="10"/>
      <c r="O188" s="10"/>
      <c r="P188" s="10"/>
    </row>
    <row r="189" ht="56.05" customHeight="1">
      <c r="A189" t="s" s="8">
        <v>352</v>
      </c>
      <c r="B189" t="s" s="9">
        <v>33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353</v>
      </c>
      <c r="I189" s="10"/>
      <c r="J189" t="s" s="17">
        <v>35</v>
      </c>
      <c r="K189" s="16">
        <f>(D189*6)+(E189*4)</f>
        <v>670</v>
      </c>
      <c r="L189" s="10"/>
      <c r="M189" s="10"/>
      <c r="N189" s="10"/>
      <c r="O189" s="10"/>
      <c r="P189" s="10"/>
    </row>
    <row r="190" ht="44.05" customHeight="1">
      <c r="A190" t="s" s="8">
        <v>354</v>
      </c>
      <c r="B190" t="s" s="9">
        <v>33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355</v>
      </c>
      <c r="I190" s="10"/>
      <c r="J190" t="s" s="17">
        <v>35</v>
      </c>
      <c r="K190" s="16">
        <f>(D190*6)+(E190*4)</f>
        <v>100</v>
      </c>
      <c r="L190" t="s" s="17">
        <v>35</v>
      </c>
      <c r="M190" s="10"/>
      <c r="N190" t="s" s="17">
        <v>35</v>
      </c>
      <c r="O190" s="10"/>
      <c r="P190" s="10"/>
    </row>
    <row r="191" ht="20.05" customHeight="1">
      <c r="A191" t="s" s="8">
        <v>356</v>
      </c>
      <c r="B191" t="s" s="9">
        <v>33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39</v>
      </c>
      <c r="I191" s="10"/>
      <c r="J191" s="10"/>
      <c r="K191" s="16">
        <f>(D191*6)+(E191*4)</f>
        <v>240</v>
      </c>
      <c r="L191" t="s" s="17">
        <v>35</v>
      </c>
      <c r="M191" s="10"/>
      <c r="N191" t="s" s="17">
        <v>35</v>
      </c>
      <c r="O191" s="10"/>
      <c r="P191" t="s" s="17">
        <v>35</v>
      </c>
    </row>
    <row r="192" ht="32.05" customHeight="1">
      <c r="A192" t="s" s="8">
        <v>357</v>
      </c>
      <c r="B192" t="s" s="9">
        <v>33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358</v>
      </c>
      <c r="I192" s="10"/>
      <c r="J192" s="10"/>
      <c r="K192" s="16">
        <f>(D192*6)+(E192*4)</f>
        <v>140</v>
      </c>
      <c r="L192" t="s" s="17">
        <v>35</v>
      </c>
      <c r="M192" s="10"/>
      <c r="N192" t="s" s="17">
        <v>35</v>
      </c>
      <c r="O192" s="10"/>
      <c r="P192" t="s" s="17">
        <v>35</v>
      </c>
    </row>
    <row r="193" ht="44.05" customHeight="1">
      <c r="A193" t="s" s="8">
        <v>359</v>
      </c>
      <c r="B193" t="s" s="9">
        <v>33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360</v>
      </c>
      <c r="I193" s="10"/>
      <c r="J193" t="s" s="17">
        <v>35</v>
      </c>
      <c r="K193" s="16">
        <f>(D193*6)+(E193*4)</f>
        <v>150</v>
      </c>
      <c r="L193" t="s" s="17">
        <v>35</v>
      </c>
      <c r="M193" s="10"/>
      <c r="N193" s="10"/>
      <c r="O193" t="s" s="17">
        <v>35</v>
      </c>
      <c r="P193" s="10"/>
    </row>
    <row r="194" ht="32.05" customHeight="1">
      <c r="A194" t="s" s="8">
        <v>361</v>
      </c>
      <c r="B194" t="s" s="9">
        <v>33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362</v>
      </c>
      <c r="I194" s="10"/>
      <c r="J194" s="10"/>
      <c r="K194" s="16">
        <f>(D194*6)+(E194*4)</f>
        <v>200</v>
      </c>
      <c r="L194" t="s" s="17">
        <v>35</v>
      </c>
      <c r="M194" s="10"/>
      <c r="N194" t="s" s="17">
        <v>35</v>
      </c>
      <c r="O194" t="s" s="17">
        <v>35</v>
      </c>
      <c r="P194" s="10"/>
    </row>
    <row r="195" ht="44.05" customHeight="1">
      <c r="A195" t="s" s="8">
        <v>363</v>
      </c>
      <c r="B195" t="s" s="9">
        <v>33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364</v>
      </c>
      <c r="I195" s="10"/>
      <c r="J195" s="10"/>
      <c r="K195" s="16">
        <f>(D195*6)+(E195*4)</f>
        <v>100</v>
      </c>
      <c r="L195" t="s" s="17">
        <v>35</v>
      </c>
      <c r="M195" s="10"/>
      <c r="N195" s="10"/>
      <c r="O195" s="10"/>
      <c r="P195" t="s" s="17">
        <v>35</v>
      </c>
    </row>
    <row r="196" ht="68.05" customHeight="1">
      <c r="A196" t="s" s="8">
        <v>365</v>
      </c>
      <c r="B196" t="s" s="9">
        <v>33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366</v>
      </c>
      <c r="I196" s="10"/>
      <c r="J196" s="10"/>
      <c r="K196" s="16">
        <f>(D196*6)+(E196*4)</f>
        <v>410</v>
      </c>
      <c r="L196" s="10"/>
      <c r="M196" s="10"/>
      <c r="N196" s="10"/>
      <c r="O196" s="10"/>
      <c r="P196" s="10"/>
    </row>
    <row r="197" ht="32.05" customHeight="1">
      <c r="A197" t="s" s="8">
        <v>367</v>
      </c>
      <c r="B197" t="s" s="9">
        <v>33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362</v>
      </c>
      <c r="I197" s="10"/>
      <c r="J197" s="10"/>
      <c r="K197" s="16">
        <f>(D197*6)+(E197*4)</f>
        <v>190</v>
      </c>
      <c r="L197" t="s" s="17">
        <v>35</v>
      </c>
      <c r="M197" s="10"/>
      <c r="N197" s="10"/>
      <c r="O197" t="s" s="17">
        <v>35</v>
      </c>
      <c r="P197" s="10"/>
    </row>
    <row r="198" ht="32.05" customHeight="1">
      <c r="A198" t="s" s="8">
        <v>368</v>
      </c>
      <c r="B198" t="s" s="9">
        <v>33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369</v>
      </c>
      <c r="I198" s="10"/>
      <c r="J198" s="10"/>
      <c r="K198" s="16">
        <f>(D198*6)+(E198*4)</f>
        <v>380</v>
      </c>
      <c r="L198" t="s" s="17">
        <v>35</v>
      </c>
      <c r="M198" s="10"/>
      <c r="N198" s="10"/>
      <c r="O198" s="10"/>
      <c r="P198" t="s" s="17">
        <v>35</v>
      </c>
    </row>
    <row r="199" ht="32.05" customHeight="1">
      <c r="A199" t="s" s="8">
        <v>370</v>
      </c>
      <c r="B199" t="s" s="9">
        <v>33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371</v>
      </c>
      <c r="I199" s="10"/>
      <c r="J199" s="10"/>
      <c r="K199" s="16">
        <f>(D199*6)+(E199*4)</f>
        <v>200</v>
      </c>
      <c r="L199" s="10"/>
      <c r="M199" s="10"/>
      <c r="N199" s="10"/>
      <c r="O199" s="10"/>
      <c r="P199" s="10"/>
    </row>
    <row r="200" ht="32.05" customHeight="1">
      <c r="A200" t="s" s="8">
        <v>372</v>
      </c>
      <c r="B200" t="s" s="9">
        <v>33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362</v>
      </c>
      <c r="I200" s="10"/>
      <c r="J200" s="10"/>
      <c r="K200" s="16">
        <f>(D200*6)+(E200*4)</f>
        <v>380</v>
      </c>
      <c r="L200" t="s" s="17">
        <v>35</v>
      </c>
      <c r="M200" s="10"/>
      <c r="N200" s="10"/>
      <c r="O200" t="s" s="17">
        <v>35</v>
      </c>
      <c r="P200" s="10"/>
    </row>
    <row r="201" ht="32.05" customHeight="1">
      <c r="A201" t="s" s="8">
        <v>373</v>
      </c>
      <c r="B201" t="s" s="9">
        <v>33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374</v>
      </c>
      <c r="I201" s="10"/>
      <c r="J201" s="10"/>
      <c r="K201" s="16">
        <f>(D201*6)+(E201*4)</f>
        <v>200</v>
      </c>
      <c r="L201" t="s" s="17">
        <v>35</v>
      </c>
      <c r="M201" s="10"/>
      <c r="N201" s="10"/>
      <c r="O201" s="10"/>
      <c r="P201" t="s" s="17">
        <v>35</v>
      </c>
    </row>
    <row r="202" ht="32.05" customHeight="1">
      <c r="A202" t="s" s="8">
        <v>375</v>
      </c>
      <c r="B202" t="s" s="9">
        <v>33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362</v>
      </c>
      <c r="I202" s="10"/>
      <c r="J202" s="10"/>
      <c r="K202" s="16">
        <f>(D202*6)+(E202*4)</f>
        <v>350</v>
      </c>
      <c r="L202" t="s" s="17">
        <v>35</v>
      </c>
      <c r="M202" s="10"/>
      <c r="N202" s="10"/>
      <c r="O202" t="s" s="17">
        <v>35</v>
      </c>
      <c r="P202" s="10"/>
    </row>
    <row r="203" ht="80.05" customHeight="1">
      <c r="A203" t="s" s="8">
        <v>376</v>
      </c>
      <c r="B203" t="s" s="9">
        <v>33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377</v>
      </c>
      <c r="I203" s="10"/>
      <c r="J203" s="10"/>
      <c r="K203" s="16">
        <f>(D203*6)+(E203*4)</f>
        <v>170</v>
      </c>
      <c r="L203" s="10"/>
      <c r="M203" s="10"/>
      <c r="N203" s="10"/>
      <c r="O203" s="10"/>
      <c r="P203" s="10"/>
    </row>
    <row r="204" ht="32.05" customHeight="1">
      <c r="A204" t="s" s="8">
        <v>378</v>
      </c>
      <c r="B204" t="s" s="9">
        <v>33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379</v>
      </c>
      <c r="I204" s="10"/>
      <c r="J204" s="10"/>
      <c r="K204" s="16">
        <f>(D204*6)+(E204*4)</f>
        <v>340</v>
      </c>
      <c r="L204" t="s" s="17">
        <v>35</v>
      </c>
      <c r="M204" s="10"/>
      <c r="N204" s="10"/>
      <c r="O204" s="10"/>
      <c r="P204" t="s" s="17">
        <v>35</v>
      </c>
    </row>
    <row r="205" ht="32.05" customHeight="1">
      <c r="A205" t="s" s="8">
        <v>380</v>
      </c>
      <c r="B205" t="s" s="9">
        <v>33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381</v>
      </c>
      <c r="I205" s="10"/>
      <c r="J205" s="10"/>
      <c r="K205" s="16">
        <f>(D205*6)+(E205*4)</f>
        <v>220</v>
      </c>
      <c r="L205" s="10"/>
      <c r="M205" s="10"/>
      <c r="N205" s="10"/>
      <c r="O205" s="10"/>
      <c r="P205" s="10"/>
    </row>
    <row r="206" ht="20.05" customHeight="1">
      <c r="A206" t="s" s="8">
        <v>382</v>
      </c>
      <c r="B206" t="s" s="9">
        <v>33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383</v>
      </c>
      <c r="I206" s="10"/>
      <c r="J206" s="10"/>
      <c r="K206" s="16">
        <f>(D206*6)+(E206*4)</f>
        <v>310</v>
      </c>
      <c r="L206" t="s" s="17">
        <v>35</v>
      </c>
      <c r="M206" s="10"/>
      <c r="N206" s="10"/>
      <c r="O206" t="s" s="17">
        <v>35</v>
      </c>
      <c r="P206" s="10"/>
    </row>
    <row r="207" ht="32.05" customHeight="1">
      <c r="A207" t="s" s="8">
        <v>384</v>
      </c>
      <c r="B207" t="s" s="9">
        <v>33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385</v>
      </c>
      <c r="I207" s="10"/>
      <c r="J207" s="10"/>
      <c r="K207" s="16">
        <f>(D207*6)+(E207*4)</f>
        <v>480</v>
      </c>
      <c r="L207" t="s" s="17">
        <v>35</v>
      </c>
      <c r="M207" s="10"/>
      <c r="N207" s="10"/>
      <c r="O207" s="10"/>
      <c r="P207" t="s" s="17">
        <v>35</v>
      </c>
    </row>
    <row r="208" ht="32.05" customHeight="1">
      <c r="A208" t="s" s="8">
        <v>386</v>
      </c>
      <c r="B208" t="s" s="9">
        <v>33</v>
      </c>
      <c r="C208" s="16">
        <v>850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362</v>
      </c>
      <c r="I208" s="10"/>
      <c r="J208" s="10"/>
      <c r="K208" s="16">
        <f>(D208*6)+(E208*4)</f>
        <v>550</v>
      </c>
      <c r="L208" t="s" s="17">
        <v>35</v>
      </c>
      <c r="M208" s="10"/>
      <c r="N208" s="10"/>
      <c r="O208" s="10"/>
      <c r="P208" t="s" s="17">
        <v>35</v>
      </c>
    </row>
    <row r="209" ht="44.05" customHeight="1">
      <c r="A209" t="s" s="8">
        <v>387</v>
      </c>
      <c r="B209" t="s" s="9">
        <v>33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388</v>
      </c>
      <c r="I209" s="10"/>
      <c r="J209" s="10"/>
      <c r="K209" s="16">
        <f>(D209*6)+(E209*4)</f>
        <v>700</v>
      </c>
      <c r="L209" s="10"/>
      <c r="M209" s="10"/>
      <c r="N209" s="10"/>
      <c r="O209" s="10"/>
      <c r="P209" s="10"/>
    </row>
    <row r="210" ht="20.05" customHeight="1">
      <c r="A210" t="s" s="8">
        <v>389</v>
      </c>
      <c r="B210" t="s" s="9">
        <v>33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390</v>
      </c>
      <c r="I210" s="10"/>
      <c r="J210" s="10"/>
      <c r="K210" s="16">
        <f>(D210*6)+(E210*4)</f>
        <v>500</v>
      </c>
      <c r="L210" s="10"/>
      <c r="M210" s="10"/>
      <c r="N210" s="10"/>
      <c r="O210" s="10"/>
      <c r="P210" s="10"/>
    </row>
    <row r="211" ht="32.05" customHeight="1">
      <c r="A211" t="s" s="8">
        <v>391</v>
      </c>
      <c r="B211" t="s" s="9">
        <v>33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39</v>
      </c>
      <c r="I211" s="10"/>
      <c r="J211" s="10"/>
      <c r="K211" s="16">
        <f>(D211*6)+(E211*4)</f>
        <v>410</v>
      </c>
      <c r="L211" s="10"/>
      <c r="M211" s="10"/>
      <c r="N211" s="10"/>
      <c r="O211" s="10"/>
      <c r="P211" s="10"/>
    </row>
    <row r="212" ht="44.05" customHeight="1">
      <c r="A212" t="s" s="8">
        <v>392</v>
      </c>
      <c r="B212" t="s" s="9">
        <v>33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393</v>
      </c>
      <c r="I212" s="10"/>
      <c r="J212" s="10"/>
      <c r="K212" s="16">
        <f>(D212*6)+(E212*4)</f>
        <v>200</v>
      </c>
      <c r="L212" s="10"/>
      <c r="M212" s="10"/>
      <c r="N212" s="10"/>
      <c r="O212" s="10"/>
      <c r="P212" s="10"/>
    </row>
    <row r="213" ht="32.05" customHeight="1">
      <c r="A213" t="s" s="8">
        <v>394</v>
      </c>
      <c r="B213" t="s" s="9">
        <v>33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395</v>
      </c>
      <c r="I213" s="10"/>
      <c r="J213" s="10"/>
      <c r="K213" s="16">
        <f>(D213*6)+(E213*4)</f>
        <v>390</v>
      </c>
      <c r="L213" s="10"/>
      <c r="M213" s="10"/>
      <c r="N213" s="10"/>
      <c r="O213" s="10"/>
      <c r="P213" s="10"/>
    </row>
    <row r="214" ht="32.05" customHeight="1">
      <c r="A214" t="s" s="8">
        <v>396</v>
      </c>
      <c r="B214" t="s" s="9">
        <v>33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397</v>
      </c>
      <c r="I214" s="10"/>
      <c r="J214" s="10"/>
      <c r="K214" s="16">
        <f>(D214*6)+(E214*4)</f>
        <v>250</v>
      </c>
      <c r="L214" s="10"/>
      <c r="M214" s="10"/>
      <c r="N214" s="10"/>
      <c r="O214" s="10"/>
      <c r="P214" s="10"/>
    </row>
    <row r="215" ht="32.05" customHeight="1">
      <c r="A215" t="s" s="8">
        <v>398</v>
      </c>
      <c r="B215" t="s" s="9">
        <v>33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399</v>
      </c>
      <c r="I215" s="10"/>
      <c r="J215" s="10"/>
      <c r="K215" s="16">
        <f>(D215*6)+(E215*4)</f>
        <v>340</v>
      </c>
      <c r="L215" s="10"/>
      <c r="M215" s="10"/>
      <c r="N215" s="10"/>
      <c r="O215" s="10"/>
      <c r="P215" s="10"/>
    </row>
    <row r="216" ht="56.05" customHeight="1">
      <c r="A216" t="s" s="8">
        <v>400</v>
      </c>
      <c r="B216" t="s" s="9">
        <v>33</v>
      </c>
      <c r="C216" s="16">
        <v>850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401</v>
      </c>
      <c r="I216" s="10"/>
      <c r="J216" s="10"/>
      <c r="K216" s="16">
        <f>(D216*6)+(E216*4)</f>
        <v>710</v>
      </c>
      <c r="L216" t="s" s="17">
        <v>35</v>
      </c>
      <c r="M216" s="10"/>
      <c r="N216" s="10"/>
      <c r="O216" t="s" s="17">
        <v>35</v>
      </c>
      <c r="P216" s="10"/>
    </row>
    <row r="217" ht="44.05" customHeight="1">
      <c r="A217" t="s" s="8">
        <v>402</v>
      </c>
      <c r="B217" t="s" s="9">
        <v>33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403</v>
      </c>
      <c r="I217" s="10"/>
      <c r="J217" s="10"/>
      <c r="K217" s="16">
        <f>(D217*6)+(E217*4)</f>
        <v>680</v>
      </c>
      <c r="L217" s="10"/>
      <c r="M217" s="10"/>
      <c r="N217" s="10"/>
      <c r="O217" s="10"/>
      <c r="P217" s="10"/>
    </row>
    <row r="218" ht="44.05" customHeight="1">
      <c r="A218" t="s" s="8">
        <v>404</v>
      </c>
      <c r="B218" t="s" s="9">
        <v>33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405</v>
      </c>
      <c r="I218" s="10"/>
      <c r="J218" s="10"/>
      <c r="K218" s="16">
        <f>(D218*6)+(E218*4)</f>
        <v>650</v>
      </c>
      <c r="L218" s="10"/>
      <c r="M218" s="10"/>
      <c r="N218" s="10"/>
      <c r="O218" s="10"/>
      <c r="P218" s="10"/>
    </row>
    <row r="219" ht="44.05" customHeight="1">
      <c r="A219" t="s" s="8">
        <v>406</v>
      </c>
      <c r="B219" t="s" s="9">
        <v>33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407</v>
      </c>
      <c r="I219" s="10"/>
      <c r="J219" s="10"/>
      <c r="K219" s="16">
        <f>(D219*6)+(E219*4)</f>
        <v>560</v>
      </c>
      <c r="L219" s="10"/>
      <c r="M219" s="10"/>
      <c r="N219" s="10"/>
      <c r="O219" s="10"/>
      <c r="P219" s="10"/>
    </row>
    <row r="220" ht="68.05" customHeight="1">
      <c r="A220" t="s" s="8">
        <v>408</v>
      </c>
      <c r="B220" t="s" s="9">
        <v>33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409</v>
      </c>
      <c r="I220" s="10"/>
      <c r="J220" s="10"/>
      <c r="K220" s="16">
        <f>(D220*6)+(E220*4)</f>
        <v>270</v>
      </c>
      <c r="L220" s="10"/>
      <c r="M220" s="10"/>
      <c r="N220" s="10"/>
      <c r="O220" s="10"/>
      <c r="P220" s="10"/>
    </row>
    <row r="221" ht="44.05" customHeight="1">
      <c r="A221" t="s" s="8">
        <v>410</v>
      </c>
      <c r="B221" t="s" s="9">
        <v>33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411</v>
      </c>
      <c r="I221" s="10"/>
      <c r="J221" s="10"/>
      <c r="K221" s="16">
        <f>(D221*6)+(E221*4)</f>
        <v>300</v>
      </c>
      <c r="L221" s="10"/>
      <c r="M221" s="10"/>
      <c r="N221" s="10"/>
      <c r="O221" s="10"/>
      <c r="P221" s="10"/>
    </row>
    <row r="222" ht="32.05" customHeight="1">
      <c r="A222" t="s" s="8">
        <v>412</v>
      </c>
      <c r="B222" t="s" s="9">
        <v>33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413</v>
      </c>
      <c r="I222" s="10"/>
      <c r="J222" s="10"/>
      <c r="K222" s="16">
        <f>(D222*6)+(E222*4)</f>
        <v>480</v>
      </c>
      <c r="L222" s="10"/>
      <c r="M222" s="10"/>
      <c r="N222" s="10"/>
      <c r="O222" s="10"/>
      <c r="P222" s="10"/>
    </row>
    <row r="223" ht="44.05" customHeight="1">
      <c r="A223" t="s" s="8">
        <v>414</v>
      </c>
      <c r="B223" t="s" s="9">
        <v>33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415</v>
      </c>
      <c r="I223" s="10"/>
      <c r="J223" s="10"/>
      <c r="K223" s="16">
        <f>(D223*6)+(E223*4)</f>
        <v>460</v>
      </c>
      <c r="L223" s="10"/>
      <c r="M223" s="10"/>
      <c r="N223" s="10"/>
      <c r="O223" s="10"/>
      <c r="P223" s="10"/>
    </row>
    <row r="224" ht="44.05" customHeight="1">
      <c r="A224" t="s" s="8">
        <v>416</v>
      </c>
      <c r="B224" t="s" s="9">
        <v>33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417</v>
      </c>
      <c r="I224" s="10"/>
      <c r="J224" s="10"/>
      <c r="K224" s="16">
        <f>(D224*6)+(E224*4)</f>
        <v>470</v>
      </c>
      <c r="L224" s="10"/>
      <c r="M224" s="10"/>
      <c r="N224" s="10"/>
      <c r="O224" s="10"/>
      <c r="P224" s="10"/>
    </row>
    <row r="225" ht="44.05" customHeight="1">
      <c r="A225" t="s" s="8">
        <v>418</v>
      </c>
      <c r="B225" t="s" s="9">
        <v>33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419</v>
      </c>
      <c r="I225" s="10"/>
      <c r="J225" s="10"/>
      <c r="K225" s="16">
        <f>(D225*6)+(E225*4)</f>
        <v>400</v>
      </c>
      <c r="L225" s="10"/>
      <c r="M225" s="10"/>
      <c r="N225" s="10"/>
      <c r="O225" s="10"/>
      <c r="P225" s="10"/>
    </row>
    <row r="226" ht="20.05" customHeight="1">
      <c r="A226" t="s" s="8">
        <v>420</v>
      </c>
      <c r="B226" t="s" s="9">
        <v>33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39</v>
      </c>
      <c r="I226" s="10"/>
      <c r="J226" s="10"/>
      <c r="K226" s="16">
        <f>(D226*6)+(E226*4)</f>
        <v>610</v>
      </c>
      <c r="L226" s="10"/>
      <c r="M226" s="10"/>
      <c r="N226" s="10"/>
      <c r="O226" s="10"/>
      <c r="P226" s="10"/>
    </row>
    <row r="227" ht="20.05" customHeight="1">
      <c r="A227" t="s" s="8">
        <v>421</v>
      </c>
      <c r="B227" t="s" s="9">
        <v>33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39</v>
      </c>
      <c r="I227" s="10"/>
      <c r="J227" s="10"/>
      <c r="K227" s="16">
        <f>(D227*6)+(E227*4)</f>
        <v>650</v>
      </c>
      <c r="L227" s="10"/>
      <c r="M227" s="10"/>
      <c r="N227" s="10"/>
      <c r="O227" s="10"/>
      <c r="P227" s="10"/>
    </row>
    <row r="228" ht="20.05" customHeight="1">
      <c r="A228" t="s" s="8">
        <v>422</v>
      </c>
      <c r="B228" t="s" s="9">
        <v>33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39</v>
      </c>
      <c r="I228" s="10"/>
      <c r="J228" s="10"/>
      <c r="K228" s="16">
        <f>(D228*6)+(E228*4)</f>
        <v>600</v>
      </c>
      <c r="L228" s="10"/>
      <c r="M228" s="10"/>
      <c r="N228" s="10"/>
      <c r="O228" s="10"/>
      <c r="P228" s="10"/>
    </row>
    <row r="229" ht="44.05" customHeight="1">
      <c r="A229" t="s" s="8">
        <v>423</v>
      </c>
      <c r="B229" t="s" s="9">
        <v>33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424</v>
      </c>
      <c r="I229" s="10"/>
      <c r="J229" s="10"/>
      <c r="K229" s="16">
        <f>(D229*6)+(E229*4)</f>
        <v>810</v>
      </c>
      <c r="L229" s="10"/>
      <c r="M229" s="10"/>
      <c r="N229" s="10"/>
      <c r="O229" s="10"/>
      <c r="P229" s="10"/>
    </row>
    <row r="230" ht="20.05" customHeight="1">
      <c r="A230" t="s" s="8">
        <v>425</v>
      </c>
      <c r="B230" t="s" s="9">
        <v>33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39</v>
      </c>
      <c r="I230" s="10"/>
      <c r="J230" s="10"/>
      <c r="K230" s="16">
        <f>(D230*6)+(E230*4)</f>
        <v>900</v>
      </c>
      <c r="L230" s="10"/>
      <c r="M230" s="10"/>
      <c r="N230" s="10"/>
      <c r="O230" s="10"/>
      <c r="P230" s="10"/>
    </row>
    <row r="231" ht="20.05" customHeight="1">
      <c r="A231" t="s" s="8">
        <v>426</v>
      </c>
      <c r="B231" t="s" s="9">
        <v>33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153</v>
      </c>
      <c r="I231" s="10"/>
      <c r="J231" s="10"/>
      <c r="K231" s="16">
        <f>(D231*6)+(E231*4)</f>
        <v>940</v>
      </c>
      <c r="L231" s="10"/>
      <c r="M231" s="10"/>
      <c r="N231" s="10"/>
      <c r="O231" s="10"/>
      <c r="P231" s="10"/>
    </row>
    <row r="232" ht="32.05" customHeight="1">
      <c r="A232" t="s" s="8">
        <v>427</v>
      </c>
      <c r="B232" t="s" s="9">
        <v>33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428</v>
      </c>
      <c r="I232" s="10"/>
      <c r="J232" s="10"/>
      <c r="K232" s="16">
        <f>(D232*6)+(E232*4)</f>
        <v>1250</v>
      </c>
      <c r="L232" s="10"/>
      <c r="M232" s="10"/>
      <c r="N232" s="10"/>
      <c r="O232" s="10"/>
      <c r="P232" s="10"/>
    </row>
    <row r="233" ht="20.05" customHeight="1">
      <c r="A233" t="s" s="8">
        <v>429</v>
      </c>
      <c r="B233" t="s" s="9">
        <v>33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39</v>
      </c>
      <c r="I233" s="10"/>
      <c r="J233" s="10"/>
      <c r="K233" s="16">
        <f>(D233*6)+(E233*4)</f>
        <v>180</v>
      </c>
      <c r="L233" s="10"/>
      <c r="M233" s="10"/>
      <c r="N233" s="10"/>
      <c r="O233" s="10"/>
      <c r="P233" s="10"/>
    </row>
    <row r="234" ht="20.05" customHeight="1">
      <c r="A234" t="s" s="8">
        <v>430</v>
      </c>
      <c r="B234" t="s" s="9">
        <v>33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431</v>
      </c>
      <c r="I234" s="10"/>
      <c r="J234" s="10"/>
      <c r="K234" s="16">
        <f>(D234*6)+(E234*4)</f>
        <v>150</v>
      </c>
      <c r="L234" s="10"/>
      <c r="M234" s="10"/>
      <c r="N234" s="10"/>
      <c r="O234" s="10"/>
      <c r="P234" s="10"/>
    </row>
    <row r="235" ht="20.05" customHeight="1">
      <c r="A235" t="s" s="8">
        <v>432</v>
      </c>
      <c r="B235" t="s" s="9">
        <v>33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39</v>
      </c>
      <c r="I235" s="10"/>
      <c r="J235" s="10"/>
      <c r="K235" s="16">
        <f>(D235*6)+(E235*4)</f>
        <v>160</v>
      </c>
      <c r="L235" s="10"/>
      <c r="M235" s="10"/>
      <c r="N235" s="10"/>
      <c r="O235" s="10"/>
      <c r="P235" s="10"/>
    </row>
    <row r="236" ht="32.05" customHeight="1">
      <c r="A236" t="s" s="8">
        <v>433</v>
      </c>
      <c r="B236" t="s" s="9">
        <v>33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434</v>
      </c>
      <c r="I236" s="10"/>
      <c r="J236" s="10"/>
      <c r="K236" s="16">
        <f>(D236*6)+(E236*4)</f>
        <v>120</v>
      </c>
      <c r="L236" s="10"/>
      <c r="M236" s="10"/>
      <c r="N236" s="10"/>
      <c r="O236" s="10"/>
      <c r="P236" s="10"/>
    </row>
    <row r="237" ht="32.05" customHeight="1">
      <c r="A237" t="s" s="8">
        <v>435</v>
      </c>
      <c r="B237" t="s" s="9">
        <v>33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436</v>
      </c>
      <c r="I237" s="10"/>
      <c r="J237" s="10"/>
      <c r="K237" s="16">
        <f>(D237*6)+(E237*4)</f>
        <v>150</v>
      </c>
      <c r="L237" s="10"/>
      <c r="M237" s="10"/>
      <c r="N237" s="10"/>
      <c r="O237" s="10"/>
      <c r="P237" s="10"/>
    </row>
    <row r="238" ht="20.05" customHeight="1">
      <c r="A238" t="s" s="8">
        <v>437</v>
      </c>
      <c r="B238" t="s" s="9">
        <v>33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39</v>
      </c>
      <c r="I238" s="10"/>
      <c r="J238" s="10"/>
      <c r="K238" s="16">
        <f>(D238*6)+(E238*4)</f>
        <v>210</v>
      </c>
      <c r="L238" s="10"/>
      <c r="M238" s="10"/>
      <c r="N238" s="10"/>
      <c r="O238" s="10"/>
      <c r="P238" s="10"/>
    </row>
    <row r="239" ht="56.05" customHeight="1">
      <c r="A239" t="s" s="8">
        <v>438</v>
      </c>
      <c r="B239" t="s" s="9">
        <v>33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439</v>
      </c>
      <c r="I239" s="10"/>
      <c r="J239" s="10"/>
      <c r="K239" s="16">
        <f>(D239*6)+(E239*4)</f>
        <v>160</v>
      </c>
      <c r="L239" s="10"/>
      <c r="M239" s="10"/>
      <c r="N239" s="10"/>
      <c r="O239" s="10"/>
      <c r="P239" s="10"/>
    </row>
    <row r="240" ht="20.05" customHeight="1">
      <c r="A240" t="s" s="8">
        <v>440</v>
      </c>
      <c r="B240" t="s" s="9">
        <v>33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441</v>
      </c>
      <c r="I240" s="10"/>
      <c r="J240" s="10"/>
      <c r="K240" s="16">
        <f>(D240*6)+(E240*4)</f>
        <v>200</v>
      </c>
      <c r="L240" t="s" s="17">
        <v>35</v>
      </c>
      <c r="M240" s="10"/>
      <c r="N240" t="s" s="17">
        <v>35</v>
      </c>
      <c r="O240" s="10"/>
      <c r="P240" s="10"/>
    </row>
    <row r="241" ht="32.05" customHeight="1">
      <c r="A241" t="s" s="8">
        <v>442</v>
      </c>
      <c r="B241" t="s" s="9">
        <v>33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39</v>
      </c>
      <c r="I241" s="10"/>
      <c r="J241" s="10"/>
      <c r="K241" s="16">
        <f>(D241*6)+(E241*4)</f>
        <v>190</v>
      </c>
      <c r="L241" s="10"/>
      <c r="M241" s="10"/>
      <c r="N241" s="10"/>
      <c r="O241" s="10"/>
      <c r="P241" s="10"/>
    </row>
    <row r="242" ht="56.05" customHeight="1">
      <c r="A242" t="s" s="8">
        <v>443</v>
      </c>
      <c r="B242" t="s" s="9">
        <v>33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444</v>
      </c>
      <c r="I242" s="10"/>
      <c r="J242" s="10"/>
      <c r="K242" s="16">
        <f>(D242*6)+(E242*4)</f>
        <v>180</v>
      </c>
      <c r="L242" s="10"/>
      <c r="M242" s="10"/>
      <c r="N242" s="10"/>
      <c r="O242" s="10"/>
      <c r="P242" s="10"/>
    </row>
    <row r="243" ht="32.05" customHeight="1">
      <c r="A243" t="s" s="8">
        <v>445</v>
      </c>
      <c r="B243" t="s" s="9">
        <v>33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39</v>
      </c>
      <c r="I243" s="10"/>
      <c r="J243" s="10"/>
      <c r="K243" s="16">
        <f>(D243*6)+(E243*4)</f>
        <v>210</v>
      </c>
      <c r="L243" s="10"/>
      <c r="M243" s="10"/>
      <c r="N243" s="10"/>
      <c r="O243" s="10"/>
      <c r="P243" s="10"/>
    </row>
    <row r="244" ht="56.05" customHeight="1">
      <c r="A244" t="s" s="8">
        <v>446</v>
      </c>
      <c r="B244" t="s" s="9">
        <v>33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447</v>
      </c>
      <c r="I244" s="10"/>
      <c r="J244" s="10"/>
      <c r="K244" s="16">
        <f>(D244*6)+(E244*4)</f>
        <v>200</v>
      </c>
      <c r="L244" s="10"/>
      <c r="M244" s="10"/>
      <c r="N244" s="10"/>
      <c r="O244" s="10"/>
      <c r="P244" s="10"/>
    </row>
    <row r="245" ht="44.05" customHeight="1">
      <c r="A245" t="s" s="8">
        <v>448</v>
      </c>
      <c r="B245" t="s" s="9">
        <v>33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449</v>
      </c>
      <c r="I245" s="10"/>
      <c r="J245" s="10"/>
      <c r="K245" s="16">
        <f>(D245*6)+(E245*4)</f>
        <v>150</v>
      </c>
      <c r="L245" s="10"/>
      <c r="M245" s="10"/>
      <c r="N245" s="10"/>
      <c r="O245" s="10"/>
      <c r="P245" s="10"/>
    </row>
    <row r="246" ht="20.05" customHeight="1">
      <c r="A246" t="s" s="8">
        <v>450</v>
      </c>
      <c r="B246" t="s" s="9">
        <v>33</v>
      </c>
      <c r="C246" s="10"/>
      <c r="D246" s="10"/>
      <c r="E246" s="10"/>
      <c r="F246" t="s" s="17">
        <v>7</v>
      </c>
      <c r="G246" s="16">
        <v>1</v>
      </c>
      <c r="H246" t="s" s="17">
        <v>39</v>
      </c>
      <c r="I246" s="10"/>
      <c r="J246" s="10"/>
      <c r="K246" s="16">
        <f>(D246*6)+(E246*4)</f>
        <v>0</v>
      </c>
      <c r="L246" s="10"/>
      <c r="M246" s="10"/>
      <c r="N246" s="10"/>
      <c r="O246" s="10"/>
      <c r="P246" s="10"/>
    </row>
    <row r="247" ht="44.05" customHeight="1">
      <c r="A247" t="s" s="8">
        <v>451</v>
      </c>
      <c r="B247" t="s" s="9">
        <v>33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364</v>
      </c>
      <c r="I247" s="10"/>
      <c r="J247" s="10"/>
      <c r="K247" s="16">
        <f>(D247*6)+(E247*4)</f>
        <v>120</v>
      </c>
      <c r="L247" s="10"/>
      <c r="M247" s="10"/>
      <c r="N247" s="10"/>
      <c r="O247" s="10"/>
      <c r="P247" s="10"/>
    </row>
    <row r="248" ht="20.05" customHeight="1">
      <c r="A248" t="s" s="8">
        <v>452</v>
      </c>
      <c r="B248" t="s" s="9">
        <v>33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  <c r="N248" s="10"/>
      <c r="O248" s="10"/>
      <c r="P248" s="10"/>
    </row>
    <row r="249" ht="20.05" customHeight="1">
      <c r="A249" t="s" s="8">
        <v>453</v>
      </c>
      <c r="B249" t="s" s="9">
        <v>33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454</v>
      </c>
      <c r="I249" s="10"/>
      <c r="J249" s="10"/>
      <c r="K249" s="16">
        <f>(D249*6)+(E249*4)</f>
        <v>200</v>
      </c>
      <c r="L249" s="10"/>
      <c r="M249" s="10"/>
      <c r="N249" s="10"/>
      <c r="O249" s="10"/>
      <c r="P249" s="10"/>
    </row>
    <row r="250" ht="20.05" customHeight="1">
      <c r="A250" t="s" s="8">
        <v>455</v>
      </c>
      <c r="B250" t="s" s="9">
        <v>33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456</v>
      </c>
      <c r="I250" s="10"/>
      <c r="J250" s="10"/>
      <c r="K250" s="16">
        <f>(D250*6)+(E250*4)</f>
        <v>180</v>
      </c>
      <c r="L250" s="10"/>
      <c r="M250" s="10"/>
      <c r="N250" s="10"/>
      <c r="O250" s="10"/>
      <c r="P250" s="10"/>
    </row>
    <row r="251" ht="56.05" customHeight="1">
      <c r="A251" t="s" s="8">
        <v>457</v>
      </c>
      <c r="B251" t="s" s="9">
        <v>33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458</v>
      </c>
      <c r="I251" s="10"/>
      <c r="J251" s="10"/>
      <c r="K251" s="16">
        <f>(D251*6)+(E251*4)</f>
        <v>260</v>
      </c>
      <c r="L251" s="10"/>
      <c r="M251" s="10"/>
      <c r="N251" s="10"/>
      <c r="O251" s="10"/>
      <c r="P251" s="10"/>
    </row>
    <row r="252" ht="68.05" customHeight="1">
      <c r="A252" t="s" s="8">
        <v>459</v>
      </c>
      <c r="B252" t="s" s="9">
        <v>33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460</v>
      </c>
      <c r="I252" s="10"/>
      <c r="J252" s="10"/>
      <c r="K252" s="16">
        <f>(D252*6)+(E252*4)</f>
        <v>270</v>
      </c>
      <c r="L252" s="10"/>
      <c r="M252" s="10"/>
      <c r="N252" s="10"/>
      <c r="O252" s="10"/>
      <c r="P252" s="10"/>
    </row>
    <row r="253" ht="20.05" customHeight="1">
      <c r="A253" t="s" s="8">
        <v>461</v>
      </c>
      <c r="B253" t="s" s="9">
        <v>33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39</v>
      </c>
      <c r="I253" s="10"/>
      <c r="J253" s="10"/>
      <c r="K253" s="16">
        <f>(D253*6)+(E253*4)</f>
        <v>240</v>
      </c>
      <c r="L253" s="10"/>
      <c r="M253" s="10"/>
      <c r="N253" s="10"/>
      <c r="O253" s="10"/>
      <c r="P253" s="10"/>
    </row>
    <row r="254" ht="32.05" customHeight="1">
      <c r="A254" t="s" s="8">
        <v>462</v>
      </c>
      <c r="B254" t="s" s="9">
        <v>33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463</v>
      </c>
      <c r="I254" s="10"/>
      <c r="J254" s="10"/>
      <c r="K254" s="16">
        <f>(D254*6)+(E254*4)</f>
        <v>260</v>
      </c>
      <c r="L254" s="10"/>
      <c r="M254" s="10"/>
      <c r="N254" s="10"/>
      <c r="O254" s="10"/>
      <c r="P254" s="10"/>
    </row>
    <row r="255" ht="44.05" customHeight="1">
      <c r="A255" t="s" s="8">
        <v>464</v>
      </c>
      <c r="B255" t="s" s="9">
        <v>33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465</v>
      </c>
      <c r="I255" s="10"/>
      <c r="J255" s="10"/>
      <c r="K255" s="16">
        <f>(D255*6)+(E255*4)</f>
        <v>150</v>
      </c>
      <c r="L255" t="s" s="17">
        <v>35</v>
      </c>
      <c r="M255" s="10"/>
      <c r="N255" s="10"/>
      <c r="O255" t="s" s="17">
        <v>35</v>
      </c>
      <c r="P255" s="10"/>
    </row>
    <row r="256" ht="56.05" customHeight="1">
      <c r="A256" t="s" s="8">
        <v>466</v>
      </c>
      <c r="B256" t="s" s="9">
        <v>33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467</v>
      </c>
      <c r="I256" s="10"/>
      <c r="J256" s="10"/>
      <c r="K256" s="16">
        <f>(D256*6)+(E256*4)</f>
        <v>250</v>
      </c>
      <c r="L256" s="10"/>
      <c r="M256" s="10"/>
      <c r="N256" s="10"/>
      <c r="O256" s="10"/>
      <c r="P256" s="10"/>
    </row>
    <row r="257" ht="20.05" customHeight="1">
      <c r="A257" t="s" s="8">
        <v>468</v>
      </c>
      <c r="B257" t="s" s="9">
        <v>33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39</v>
      </c>
      <c r="I257" s="10"/>
      <c r="J257" s="10"/>
      <c r="K257" s="16">
        <f>(D257*6)+(E257*4)</f>
        <v>330</v>
      </c>
      <c r="L257" s="10"/>
      <c r="M257" s="10"/>
      <c r="N257" s="10"/>
      <c r="O257" s="10"/>
      <c r="P257" s="10"/>
    </row>
    <row r="258" ht="20.05" customHeight="1">
      <c r="A258" t="s" s="8">
        <v>469</v>
      </c>
      <c r="B258" t="s" s="9">
        <v>33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470</v>
      </c>
      <c r="I258" s="10"/>
      <c r="J258" s="10"/>
      <c r="K258" s="16">
        <f>(D258*6)+(E258*4)</f>
        <v>260</v>
      </c>
      <c r="L258" s="10"/>
      <c r="M258" s="10"/>
      <c r="N258" s="10"/>
      <c r="O258" s="10"/>
      <c r="P258" s="10"/>
    </row>
    <row r="259" ht="56.05" customHeight="1">
      <c r="A259" t="s" s="8">
        <v>471</v>
      </c>
      <c r="B259" t="s" s="9">
        <v>33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472</v>
      </c>
      <c r="I259" s="10"/>
      <c r="J259" s="10"/>
      <c r="K259" s="16">
        <f>(D259*6)+(E259*4)</f>
        <v>290</v>
      </c>
      <c r="L259" s="10"/>
      <c r="M259" s="10"/>
      <c r="N259" s="10"/>
      <c r="O259" s="10"/>
      <c r="P259" s="10"/>
    </row>
    <row r="260" ht="20.05" customHeight="1">
      <c r="A260" t="s" s="8">
        <v>473</v>
      </c>
      <c r="B260" t="s" s="9">
        <v>33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39</v>
      </c>
      <c r="I260" s="10"/>
      <c r="J260" s="10"/>
      <c r="K260" s="16">
        <f>(D260*6)+(E260*4)</f>
        <v>290</v>
      </c>
      <c r="L260" s="10"/>
      <c r="M260" s="10"/>
      <c r="N260" s="10"/>
      <c r="O260" s="10"/>
      <c r="P260" s="10"/>
    </row>
    <row r="261" ht="20.05" customHeight="1">
      <c r="A261" t="s" s="8">
        <v>474</v>
      </c>
      <c r="B261" t="s" s="9">
        <v>33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39</v>
      </c>
      <c r="I261" s="10"/>
      <c r="J261" s="10"/>
      <c r="K261" s="16">
        <f>(D261*6)+(E261*4)</f>
        <v>290</v>
      </c>
      <c r="L261" s="10"/>
      <c r="M261" s="10"/>
      <c r="N261" s="10"/>
      <c r="O261" s="10"/>
      <c r="P261" s="10"/>
    </row>
    <row r="262" ht="20.05" customHeight="1">
      <c r="A262" t="s" s="8">
        <v>475</v>
      </c>
      <c r="B262" t="s" s="9">
        <v>33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39</v>
      </c>
      <c r="I262" s="10"/>
      <c r="J262" s="10"/>
      <c r="K262" s="16">
        <f>(D262*6)+(E262*4)</f>
        <v>300</v>
      </c>
      <c r="L262" s="10"/>
      <c r="M262" s="10"/>
      <c r="N262" s="10"/>
      <c r="O262" s="10"/>
      <c r="P262" s="10"/>
    </row>
    <row r="263" ht="20.05" customHeight="1">
      <c r="A263" t="s" s="8">
        <v>476</v>
      </c>
      <c r="B263" t="s" s="9">
        <v>33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39</v>
      </c>
      <c r="I263" s="10"/>
      <c r="J263" s="10"/>
      <c r="K263" s="16">
        <f>(D263*6)+(E263*4)</f>
        <v>280</v>
      </c>
      <c r="L263" s="10"/>
      <c r="M263" s="10"/>
      <c r="N263" s="10"/>
      <c r="O263" s="10"/>
      <c r="P263" s="10"/>
    </row>
    <row r="264" ht="20.05" customHeight="1">
      <c r="A264" t="s" s="8">
        <v>477</v>
      </c>
      <c r="B264" t="s" s="9">
        <v>33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39</v>
      </c>
      <c r="I264" s="10"/>
      <c r="J264" s="10"/>
      <c r="K264" s="16">
        <f>(D264*6)+(E264*4)</f>
        <v>640</v>
      </c>
      <c r="L264" s="10"/>
      <c r="M264" s="10"/>
      <c r="N264" s="10"/>
      <c r="O264" s="10"/>
      <c r="P264" s="10"/>
    </row>
    <row r="265" ht="32.05" customHeight="1">
      <c r="A265" t="s" s="8">
        <v>478</v>
      </c>
      <c r="B265" t="s" s="9">
        <v>33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479</v>
      </c>
      <c r="I265" s="10"/>
      <c r="J265" s="10"/>
      <c r="K265" s="16">
        <f>(D265*6)+(E265*4)</f>
        <v>500</v>
      </c>
      <c r="L265" s="10"/>
      <c r="M265" s="10"/>
      <c r="N265" s="10"/>
      <c r="O265" s="10"/>
      <c r="P265" s="10"/>
    </row>
    <row r="266" ht="44.05" customHeight="1">
      <c r="A266" t="s" s="8">
        <v>480</v>
      </c>
      <c r="B266" t="s" s="9">
        <v>33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481</v>
      </c>
      <c r="I266" s="10"/>
      <c r="J266" s="10"/>
      <c r="K266" s="16">
        <f>(D266*6)+(E266*4)</f>
        <v>450</v>
      </c>
      <c r="L266" t="s" s="17">
        <v>35</v>
      </c>
      <c r="M266" s="10"/>
      <c r="N266" s="10"/>
      <c r="O266" s="10"/>
      <c r="P266" t="s" s="17">
        <v>35</v>
      </c>
    </row>
    <row r="267" ht="20.05" customHeight="1">
      <c r="A267" t="s" s="8">
        <v>482</v>
      </c>
      <c r="B267" t="s" s="9">
        <v>33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483</v>
      </c>
      <c r="I267" s="10"/>
      <c r="J267" s="10"/>
      <c r="K267" s="16">
        <f>(D267*6)+(E267*4)</f>
        <v>320</v>
      </c>
      <c r="L267" s="10"/>
      <c r="M267" s="10"/>
      <c r="N267" s="10"/>
      <c r="O267" s="10"/>
      <c r="P267" s="10"/>
    </row>
    <row r="268" ht="32.05" customHeight="1">
      <c r="A268" t="s" s="8">
        <v>484</v>
      </c>
      <c r="B268" t="s" s="9">
        <v>33</v>
      </c>
      <c r="C268" s="16">
        <v>700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485</v>
      </c>
      <c r="I268" s="10"/>
      <c r="J268" s="10"/>
      <c r="K268" s="16">
        <f>(D268*6)+(E268*4)</f>
        <v>480</v>
      </c>
      <c r="L268" t="s" s="17">
        <v>35</v>
      </c>
      <c r="M268" s="10"/>
      <c r="N268" s="10"/>
      <c r="O268" t="s" s="17">
        <v>35</v>
      </c>
      <c r="P268" s="10"/>
    </row>
    <row r="269" ht="20.05" customHeight="1">
      <c r="A269" s="11"/>
      <c r="B269" t="s" s="9">
        <v>33</v>
      </c>
      <c r="C269" s="10"/>
      <c r="D269" s="10"/>
      <c r="E269" s="10"/>
      <c r="F269" t="s" s="17">
        <v>7</v>
      </c>
      <c r="G269" s="16">
        <v>3</v>
      </c>
      <c r="H269" t="s" s="17">
        <v>39</v>
      </c>
      <c r="I269" s="10"/>
      <c r="J269" s="10"/>
      <c r="K269" s="16">
        <f>(D269*6)+(E269*4)</f>
        <v>0</v>
      </c>
      <c r="L269" s="10"/>
      <c r="M269" s="10"/>
      <c r="N269" s="10"/>
      <c r="O269" s="10"/>
      <c r="P269" s="10"/>
    </row>
    <row r="270" ht="32.05" customHeight="1">
      <c r="A270" t="s" s="8">
        <v>486</v>
      </c>
      <c r="B270" t="s" s="9">
        <v>33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487</v>
      </c>
      <c r="I270" s="10"/>
      <c r="J270" s="10"/>
      <c r="K270" s="16">
        <f>(D270*6)+(E270*4)</f>
        <v>580</v>
      </c>
      <c r="L270" s="10"/>
      <c r="M270" s="10"/>
      <c r="N270" s="10"/>
      <c r="O270" s="10"/>
      <c r="P270" s="10"/>
    </row>
    <row r="271" ht="20.05" customHeight="1">
      <c r="A271" t="s" s="8">
        <v>488</v>
      </c>
      <c r="B271" t="s" s="9">
        <v>33</v>
      </c>
      <c r="C271" s="16">
        <v>700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489</v>
      </c>
      <c r="I271" s="10"/>
      <c r="J271" s="10"/>
      <c r="K271" s="16">
        <f>(D271*6)+(E271*4)</f>
        <v>490</v>
      </c>
      <c r="L271" t="s" s="17">
        <v>35</v>
      </c>
      <c r="M271" s="10"/>
      <c r="N271" s="10"/>
      <c r="O271" t="s" s="17">
        <v>35</v>
      </c>
      <c r="P271" s="10"/>
    </row>
    <row r="272" ht="20.05" customHeight="1">
      <c r="A272" t="s" s="8">
        <v>490</v>
      </c>
      <c r="B272" t="s" s="9">
        <v>33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39</v>
      </c>
      <c r="I272" s="10"/>
      <c r="J272" s="10"/>
      <c r="K272" s="16">
        <f>(D272*6)+(E272*4)</f>
        <v>550</v>
      </c>
      <c r="L272" s="10"/>
      <c r="M272" s="10"/>
      <c r="N272" s="10"/>
      <c r="O272" s="10"/>
      <c r="P272" s="10"/>
    </row>
    <row r="273" ht="44.05" customHeight="1">
      <c r="A273" t="s" s="8">
        <v>491</v>
      </c>
      <c r="B273" t="s" s="9">
        <v>33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492</v>
      </c>
      <c r="I273" s="10"/>
      <c r="J273" s="10"/>
      <c r="K273" s="16">
        <f>(D273*6)+(E273*4)</f>
        <v>380</v>
      </c>
      <c r="L273" s="10"/>
      <c r="M273" s="10"/>
      <c r="N273" s="10"/>
      <c r="O273" s="10"/>
      <c r="P273" s="10"/>
    </row>
    <row r="274" ht="20.05" customHeight="1">
      <c r="A274" t="s" s="8">
        <v>493</v>
      </c>
      <c r="B274" t="s" s="9">
        <v>33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39</v>
      </c>
      <c r="I274" s="10"/>
      <c r="J274" s="10"/>
      <c r="K274" s="16">
        <f>(D274*6)+(E274*4)</f>
        <v>750</v>
      </c>
      <c r="L274" s="10"/>
      <c r="M274" s="10"/>
      <c r="N274" s="10"/>
      <c r="O274" s="10"/>
      <c r="P274" s="10"/>
    </row>
    <row r="275" ht="68.05" customHeight="1">
      <c r="A275" t="s" s="8">
        <v>494</v>
      </c>
      <c r="B275" t="s" s="9">
        <v>33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495</v>
      </c>
      <c r="I275" s="10"/>
      <c r="J275" s="10"/>
      <c r="K275" s="16">
        <f>(D275*6)+(E275*4)</f>
        <v>670</v>
      </c>
      <c r="L275" s="10"/>
      <c r="M275" s="10"/>
      <c r="N275" s="10"/>
      <c r="O275" s="10"/>
      <c r="P275" s="10"/>
    </row>
    <row r="276" ht="56.05" customHeight="1">
      <c r="A276" t="s" s="8">
        <v>496</v>
      </c>
      <c r="B276" t="s" s="9">
        <v>33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497</v>
      </c>
      <c r="I276" s="10"/>
      <c r="J276" s="10"/>
      <c r="K276" s="16">
        <f>(D276*6)+(E276*4)</f>
        <v>540</v>
      </c>
      <c r="L276" s="10"/>
      <c r="M276" s="10"/>
      <c r="N276" s="10"/>
      <c r="O276" s="10"/>
      <c r="P276" s="10"/>
    </row>
    <row r="277" ht="44.05" customHeight="1">
      <c r="A277" t="s" s="8">
        <v>498</v>
      </c>
      <c r="B277" t="s" s="9">
        <v>33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499</v>
      </c>
      <c r="I277" s="10"/>
      <c r="J277" s="10"/>
      <c r="K277" s="16">
        <f>(D277*6)+(E277*4)</f>
        <v>0</v>
      </c>
      <c r="L277" s="10"/>
      <c r="M277" s="10"/>
      <c r="N277" s="10"/>
      <c r="O277" s="10"/>
      <c r="P277" s="10"/>
    </row>
    <row r="278" ht="32.05" customHeight="1">
      <c r="A278" t="s" s="8">
        <v>500</v>
      </c>
      <c r="B278" t="s" s="9">
        <v>33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501</v>
      </c>
      <c r="I278" s="10"/>
      <c r="J278" s="10"/>
      <c r="K278" s="16">
        <f>(D278*6)+(E278*4)</f>
        <v>470</v>
      </c>
      <c r="L278" s="10"/>
      <c r="M278" s="10"/>
      <c r="N278" s="10"/>
      <c r="O278" s="10"/>
      <c r="P278" s="10"/>
    </row>
    <row r="279" ht="32.05" customHeight="1">
      <c r="A279" t="s" s="8">
        <v>502</v>
      </c>
      <c r="B279" t="s" s="9">
        <v>33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503</v>
      </c>
      <c r="I279" s="10"/>
      <c r="J279" s="10"/>
      <c r="K279" s="16">
        <f>(D279*6)+(E279*4)</f>
        <v>1190</v>
      </c>
      <c r="L279" s="10"/>
      <c r="M279" s="10"/>
      <c r="N279" s="10"/>
      <c r="O279" s="10"/>
      <c r="P279" s="10"/>
    </row>
    <row r="280" ht="32.05" customHeight="1">
      <c r="A280" t="s" s="8">
        <v>504</v>
      </c>
      <c r="B280" t="s" s="9">
        <v>33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505</v>
      </c>
      <c r="I280" s="10"/>
      <c r="J280" s="10"/>
      <c r="K280" s="16">
        <f>(D280*6)+(E280*4)</f>
        <v>1580</v>
      </c>
      <c r="L280" s="10"/>
      <c r="M280" s="10"/>
      <c r="N280" s="10"/>
      <c r="O280" s="10"/>
      <c r="P280" s="10"/>
    </row>
    <row r="281" ht="32.05" customHeight="1">
      <c r="A281" t="s" s="8">
        <v>506</v>
      </c>
      <c r="B281" t="s" s="9">
        <v>33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507</v>
      </c>
      <c r="I281" s="10"/>
      <c r="J281" s="10"/>
      <c r="K281" s="16">
        <f>(D281*6)+(E281*4)</f>
        <v>750</v>
      </c>
      <c r="L281" s="10"/>
      <c r="M281" s="10"/>
      <c r="N281" s="10"/>
      <c r="O281" s="10"/>
      <c r="P281" s="10"/>
    </row>
    <row r="282" ht="56.05" customHeight="1">
      <c r="A282" t="s" s="8">
        <v>508</v>
      </c>
      <c r="B282" t="s" s="9">
        <v>33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509</v>
      </c>
      <c r="I282" s="10"/>
      <c r="J282" s="10"/>
      <c r="K282" s="16">
        <f>(D282*6)+(E282*4)</f>
        <v>1200</v>
      </c>
      <c r="L282" s="10"/>
      <c r="M282" s="10"/>
      <c r="N282" s="10"/>
      <c r="O282" s="10"/>
      <c r="P282" s="10"/>
    </row>
    <row r="283" ht="32.05" customHeight="1">
      <c r="A283" t="s" s="8">
        <v>510</v>
      </c>
      <c r="B283" t="s" s="9">
        <v>33</v>
      </c>
      <c r="C283" s="16">
        <v>1200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511</v>
      </c>
      <c r="I283" s="10"/>
      <c r="J283" s="10"/>
      <c r="K283" s="16">
        <f>(D283*6)+(E283*4)</f>
        <v>880</v>
      </c>
      <c r="L283" t="s" s="17">
        <v>35</v>
      </c>
      <c r="M283" s="10"/>
      <c r="N283" s="10"/>
      <c r="O283" s="10"/>
      <c r="P283" t="s" s="17">
        <v>35</v>
      </c>
    </row>
    <row r="284" ht="20.05" customHeight="1">
      <c r="A284" t="s" s="8">
        <v>512</v>
      </c>
      <c r="B284" t="s" s="9">
        <v>33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513</v>
      </c>
      <c r="I284" s="10"/>
      <c r="J284" s="10"/>
      <c r="K284" s="16">
        <f>(D284*6)+(E284*4)</f>
        <v>140</v>
      </c>
      <c r="L284" s="10"/>
      <c r="M284" s="10"/>
      <c r="N284" s="10"/>
      <c r="O284" s="10"/>
      <c r="P284" s="10"/>
    </row>
    <row r="285" ht="20.05" customHeight="1">
      <c r="A285" s="11"/>
      <c r="B285" t="s" s="9">
        <v>33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  <c r="N285" s="10"/>
      <c r="O285" s="10"/>
      <c r="P285" s="10"/>
    </row>
    <row r="286" ht="20.05" customHeight="1">
      <c r="A286" t="s" s="8">
        <v>514</v>
      </c>
      <c r="B286" t="s" s="9">
        <v>33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515</v>
      </c>
      <c r="I286" s="10"/>
      <c r="J286" s="10"/>
      <c r="K286" s="16">
        <f>(D286*6)+(E286*4)</f>
        <v>130</v>
      </c>
      <c r="L286" t="s" s="17">
        <v>35</v>
      </c>
      <c r="M286" s="10"/>
      <c r="N286" s="10"/>
      <c r="O286" t="s" s="17">
        <v>35</v>
      </c>
      <c r="P286" s="10"/>
    </row>
    <row r="287" ht="20.05" customHeight="1">
      <c r="A287" s="11"/>
      <c r="B287" t="s" s="9">
        <v>33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  <c r="N287" s="10"/>
      <c r="O287" s="10"/>
      <c r="P287" s="10"/>
    </row>
    <row r="288" ht="44.05" customHeight="1">
      <c r="A288" t="s" s="8">
        <v>516</v>
      </c>
      <c r="B288" t="s" s="9">
        <v>33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517</v>
      </c>
      <c r="I288" s="10"/>
      <c r="J288" s="10"/>
      <c r="K288" s="16">
        <f>(D288*6)+(E288*4)</f>
        <v>180</v>
      </c>
      <c r="L288" t="s" s="17">
        <v>35</v>
      </c>
      <c r="M288" s="10"/>
      <c r="N288" s="10"/>
      <c r="O288" s="10"/>
      <c r="P288" t="s" s="17">
        <v>35</v>
      </c>
    </row>
    <row r="289" ht="20.05" customHeight="1">
      <c r="A289" s="11"/>
      <c r="B289" t="s" s="9">
        <v>33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  <c r="N289" s="10"/>
      <c r="O289" s="10"/>
      <c r="P289" s="10"/>
    </row>
    <row r="290" ht="20.05" customHeight="1">
      <c r="A290" t="s" s="8">
        <v>518</v>
      </c>
      <c r="B290" t="s" s="9">
        <v>33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519</v>
      </c>
      <c r="I290" s="10"/>
      <c r="J290" s="10"/>
      <c r="K290" s="16">
        <f>(D290*6)+(E290*4)</f>
        <v>200</v>
      </c>
      <c r="L290" t="s" s="17">
        <v>35</v>
      </c>
      <c r="M290" s="10"/>
      <c r="N290" t="s" s="17">
        <v>35</v>
      </c>
      <c r="O290" s="10"/>
      <c r="P290" s="10"/>
    </row>
    <row r="291" ht="20.05" customHeight="1">
      <c r="A291" s="11"/>
      <c r="B291" t="s" s="9">
        <v>33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  <c r="N291" s="10"/>
      <c r="O291" s="10"/>
      <c r="P291" s="10"/>
    </row>
    <row r="292" ht="32.05" customHeight="1">
      <c r="A292" t="s" s="8">
        <v>520</v>
      </c>
      <c r="B292" t="s" s="9">
        <v>33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521</v>
      </c>
      <c r="I292" s="10"/>
      <c r="J292" s="10"/>
      <c r="K292" s="16">
        <f>(D292*6)+(E292*4)</f>
        <v>120</v>
      </c>
      <c r="L292" s="10"/>
      <c r="M292" s="10"/>
      <c r="N292" s="10"/>
      <c r="O292" s="10"/>
      <c r="P292" s="10"/>
    </row>
    <row r="293" ht="20.05" customHeight="1">
      <c r="A293" s="11"/>
      <c r="B293" t="s" s="9">
        <v>33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  <c r="N293" s="10"/>
      <c r="O293" s="10"/>
      <c r="P293" s="10"/>
    </row>
    <row r="294" ht="20.05" customHeight="1">
      <c r="A294" t="s" s="8">
        <v>522</v>
      </c>
      <c r="B294" t="s" s="9">
        <v>33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523</v>
      </c>
      <c r="I294" s="10"/>
      <c r="J294" s="10"/>
      <c r="K294" s="16">
        <f>(D294*6)+(E294*4)</f>
        <v>180</v>
      </c>
      <c r="L294" t="s" s="17">
        <v>35</v>
      </c>
      <c r="M294" s="10"/>
      <c r="N294" s="10"/>
      <c r="O294" s="10"/>
      <c r="P294" t="s" s="17">
        <v>35</v>
      </c>
    </row>
    <row r="295" ht="20.05" customHeight="1">
      <c r="A295" s="11"/>
      <c r="B295" t="s" s="9">
        <v>33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  <c r="N295" s="10"/>
      <c r="O295" s="10"/>
      <c r="P295" s="10"/>
    </row>
    <row r="296" ht="32.05" customHeight="1">
      <c r="A296" t="s" s="8">
        <v>524</v>
      </c>
      <c r="B296" t="s" s="9">
        <v>33</v>
      </c>
      <c r="C296" s="10"/>
      <c r="D296" s="10"/>
      <c r="E296" s="10"/>
      <c r="F296" t="s" s="17">
        <v>11</v>
      </c>
      <c r="G296" s="16">
        <v>1</v>
      </c>
      <c r="H296" t="s" s="17">
        <v>525</v>
      </c>
      <c r="I296" s="10"/>
      <c r="J296" s="10"/>
      <c r="K296" s="16">
        <f>(D296*6)+(E296*4)</f>
        <v>0</v>
      </c>
      <c r="L296" s="10"/>
      <c r="M296" s="10"/>
      <c r="N296" s="10"/>
      <c r="O296" s="10"/>
      <c r="P296" s="10"/>
    </row>
    <row r="297" ht="20.05" customHeight="1">
      <c r="A297" s="11"/>
      <c r="B297" t="s" s="9">
        <v>33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  <c r="N297" s="10"/>
      <c r="O297" s="10"/>
      <c r="P297" s="10"/>
    </row>
    <row r="298" ht="20.05" customHeight="1">
      <c r="A298" s="11"/>
      <c r="B298" t="s" s="9">
        <v>33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  <c r="N298" s="10"/>
      <c r="O298" s="10"/>
      <c r="P298" s="10"/>
    </row>
    <row r="299" ht="44.05" customHeight="1">
      <c r="A299" t="s" s="8">
        <v>526</v>
      </c>
      <c r="B299" t="s" s="9">
        <v>33</v>
      </c>
      <c r="C299" s="10"/>
      <c r="D299" s="10"/>
      <c r="E299" s="10"/>
      <c r="F299" t="s" s="17">
        <v>11</v>
      </c>
      <c r="G299" s="16">
        <v>2</v>
      </c>
      <c r="H299" t="s" s="17">
        <v>527</v>
      </c>
      <c r="I299" s="10"/>
      <c r="J299" s="10"/>
      <c r="K299" s="16">
        <f>(D299*6)+(E299*4)</f>
        <v>0</v>
      </c>
      <c r="L299" s="10"/>
      <c r="M299" s="10"/>
      <c r="N299" s="10"/>
      <c r="O299" s="10"/>
      <c r="P299" s="10"/>
    </row>
    <row r="300" ht="44.05" customHeight="1">
      <c r="A300" t="s" s="8">
        <v>528</v>
      </c>
      <c r="B300" t="s" s="9">
        <v>33</v>
      </c>
      <c r="C300" s="10"/>
      <c r="D300" s="10"/>
      <c r="E300" s="10"/>
      <c r="F300" t="s" s="17">
        <v>11</v>
      </c>
      <c r="G300" s="16">
        <v>2</v>
      </c>
      <c r="H300" t="s" s="17">
        <v>529</v>
      </c>
      <c r="I300" s="10"/>
      <c r="J300" s="10"/>
      <c r="K300" s="16">
        <f>(D300*6)+(E300*4)</f>
        <v>0</v>
      </c>
      <c r="L300" s="10"/>
      <c r="M300" s="10"/>
      <c r="N300" s="10"/>
      <c r="O300" s="10"/>
      <c r="P300" s="10"/>
    </row>
    <row r="301" ht="20.05" customHeight="1">
      <c r="A301" s="11"/>
      <c r="B301" t="s" s="9">
        <v>33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  <c r="N301" s="10"/>
      <c r="O301" s="10"/>
      <c r="P301" s="10"/>
    </row>
    <row r="302" ht="20.05" customHeight="1">
      <c r="A302" t="s" s="8">
        <v>530</v>
      </c>
      <c r="B302" t="s" s="9">
        <v>33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39</v>
      </c>
      <c r="I302" s="10"/>
      <c r="J302" s="10"/>
      <c r="K302" s="16">
        <f>(D302*6)+(E302*4)</f>
        <v>330</v>
      </c>
      <c r="L302" t="s" s="17">
        <v>35</v>
      </c>
      <c r="M302" s="10"/>
      <c r="N302" s="10"/>
      <c r="O302" s="10"/>
      <c r="P302" t="s" s="17">
        <v>35</v>
      </c>
    </row>
    <row r="303" ht="68.05" customHeight="1">
      <c r="A303" t="s" s="8">
        <v>531</v>
      </c>
      <c r="B303" t="s" s="9">
        <v>33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532</v>
      </c>
      <c r="I303" s="10"/>
      <c r="J303" s="10"/>
      <c r="K303" s="16">
        <f>(D303*6)+(E303*4)</f>
        <v>200</v>
      </c>
      <c r="L303" t="s" s="17">
        <v>35</v>
      </c>
      <c r="M303" s="10"/>
      <c r="N303" s="10"/>
      <c r="O303" t="s" s="17">
        <v>35</v>
      </c>
      <c r="P303" t="s" s="17">
        <v>35</v>
      </c>
    </row>
    <row r="304" ht="20.05" customHeight="1">
      <c r="A304" s="11"/>
      <c r="B304" t="s" s="9">
        <v>33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  <c r="N304" s="10"/>
      <c r="O304" s="10"/>
      <c r="P304" s="10"/>
    </row>
    <row r="305" ht="32.05" customHeight="1">
      <c r="A305" t="s" s="8">
        <v>533</v>
      </c>
      <c r="B305" t="s" s="9">
        <v>33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534</v>
      </c>
      <c r="I305" s="10"/>
      <c r="J305" s="10"/>
      <c r="K305" s="16">
        <f>(D305*6)+(E305*4)</f>
        <v>420</v>
      </c>
      <c r="L305" t="s" s="17">
        <v>35</v>
      </c>
      <c r="M305" s="10"/>
      <c r="N305" s="10"/>
      <c r="O305" t="s" s="17">
        <v>35</v>
      </c>
      <c r="P305" s="10"/>
    </row>
    <row r="306" ht="20.05" customHeight="1">
      <c r="A306" s="11"/>
      <c r="B306" t="s" s="9">
        <v>33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  <c r="N306" s="10"/>
      <c r="O306" s="10"/>
      <c r="P306" s="10"/>
    </row>
    <row r="307" ht="20.05" customHeight="1">
      <c r="A307" s="11"/>
      <c r="B307" t="s" s="9">
        <v>33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  <c r="N307" s="10"/>
      <c r="O307" s="10"/>
      <c r="P307" s="10"/>
    </row>
    <row r="308" ht="68.05" customHeight="1">
      <c r="A308" t="s" s="8">
        <v>535</v>
      </c>
      <c r="B308" t="s" s="9">
        <v>33</v>
      </c>
      <c r="C308" s="16">
        <v>800</v>
      </c>
      <c r="D308" s="16">
        <v>45</v>
      </c>
      <c r="E308" s="16">
        <v>75</v>
      </c>
      <c r="F308" t="s" s="17">
        <v>11</v>
      </c>
      <c r="G308" s="16">
        <v>3</v>
      </c>
      <c r="H308" t="s" s="17">
        <v>536</v>
      </c>
      <c r="I308" s="10"/>
      <c r="J308" s="10"/>
      <c r="K308" s="16">
        <f>(D308*6)+(E308*4)</f>
        <v>570</v>
      </c>
      <c r="L308" t="s" s="17">
        <v>35</v>
      </c>
      <c r="M308" s="10"/>
      <c r="N308" s="10"/>
      <c r="O308" t="s" s="17">
        <v>35</v>
      </c>
      <c r="P308" t="s" s="17">
        <v>35</v>
      </c>
    </row>
    <row r="309" ht="20.05" customHeight="1">
      <c r="A309" s="11"/>
      <c r="B309" t="s" s="9">
        <v>33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  <c r="N309" s="10"/>
      <c r="O309" s="10"/>
      <c r="P309" s="10"/>
    </row>
    <row r="310" ht="20.05" customHeight="1">
      <c r="A310" s="11"/>
      <c r="B310" t="s" s="9">
        <v>33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  <c r="N310" s="10"/>
      <c r="O310" s="10"/>
      <c r="P310" s="10"/>
    </row>
    <row r="311" ht="20.05" customHeight="1">
      <c r="A311" s="11"/>
      <c r="B311" t="s" s="9">
        <v>33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  <c r="N311" s="10"/>
      <c r="O311" s="10"/>
      <c r="P311" s="10"/>
    </row>
    <row r="312" ht="44.05" customHeight="1">
      <c r="A312" t="s" s="8">
        <v>537</v>
      </c>
      <c r="B312" t="s" s="9">
        <v>33</v>
      </c>
      <c r="C312" s="10"/>
      <c r="D312" s="10"/>
      <c r="E312" s="10"/>
      <c r="F312" t="s" s="17">
        <v>11</v>
      </c>
      <c r="G312" s="16">
        <v>3</v>
      </c>
      <c r="H312" t="s" s="17">
        <v>538</v>
      </c>
      <c r="I312" s="10"/>
      <c r="J312" s="10"/>
      <c r="K312" s="16">
        <f>(D312*6)+(E312*4)</f>
        <v>0</v>
      </c>
      <c r="L312" s="10"/>
      <c r="M312" s="10"/>
      <c r="N312" s="10"/>
      <c r="O312" s="10"/>
      <c r="P312" s="10"/>
    </row>
    <row r="313" ht="20.05" customHeight="1">
      <c r="A313" s="11"/>
      <c r="B313" t="s" s="9">
        <v>33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  <c r="N313" s="10"/>
      <c r="O313" s="10"/>
      <c r="P313" s="10"/>
    </row>
    <row r="314" ht="20.05" customHeight="1">
      <c r="A314" s="11"/>
      <c r="B314" t="s" s="9">
        <v>33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  <c r="N314" s="10"/>
      <c r="O314" s="10"/>
      <c r="P314" s="10"/>
    </row>
    <row r="315" ht="20.05" customHeight="1">
      <c r="A315" s="11"/>
      <c r="B315" t="s" s="9">
        <v>33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  <c r="N315" s="10"/>
      <c r="O315" s="10"/>
      <c r="P315" s="10"/>
    </row>
    <row r="316" ht="32.05" customHeight="1">
      <c r="A316" t="s" s="8">
        <v>539</v>
      </c>
      <c r="B316" t="s" s="9">
        <v>33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540</v>
      </c>
      <c r="I316" s="10"/>
      <c r="J316" s="10"/>
      <c r="K316" s="16">
        <f>(D316*6)+(E316*4)</f>
        <v>690</v>
      </c>
      <c r="L316" s="10"/>
      <c r="M316" s="10"/>
      <c r="N316" s="10"/>
      <c r="O316" s="10"/>
      <c r="P316" s="10"/>
    </row>
    <row r="317" ht="68.05" customHeight="1">
      <c r="A317" t="s" s="8">
        <v>541</v>
      </c>
      <c r="B317" t="s" s="9">
        <v>33</v>
      </c>
      <c r="C317" s="10"/>
      <c r="D317" s="10"/>
      <c r="E317" s="10"/>
      <c r="F317" t="s" s="17">
        <v>11</v>
      </c>
      <c r="G317" s="16">
        <v>4</v>
      </c>
      <c r="H317" t="s" s="17">
        <v>542</v>
      </c>
      <c r="I317" s="10"/>
      <c r="J317" s="10"/>
      <c r="K317" s="16">
        <f>(D317*6)+(E317*4)</f>
        <v>0</v>
      </c>
      <c r="L317" s="10"/>
      <c r="M317" s="10"/>
      <c r="N317" s="10"/>
      <c r="O317" s="10"/>
      <c r="P317" s="10"/>
    </row>
    <row r="318" ht="20.05" customHeight="1">
      <c r="A318" s="11"/>
      <c r="B318" t="s" s="9">
        <v>33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  <c r="N318" s="10"/>
      <c r="O318" s="10"/>
      <c r="P318" s="10"/>
    </row>
    <row r="319" ht="44.05" customHeight="1">
      <c r="A319" t="s" s="8">
        <v>543</v>
      </c>
      <c r="B319" t="s" s="9">
        <v>33</v>
      </c>
      <c r="C319" s="10"/>
      <c r="D319" s="10"/>
      <c r="E319" s="10"/>
      <c r="F319" t="s" s="17">
        <v>11</v>
      </c>
      <c r="G319" s="16">
        <v>4</v>
      </c>
      <c r="H319" t="s" s="17">
        <v>544</v>
      </c>
      <c r="I319" s="10"/>
      <c r="J319" s="10"/>
      <c r="K319" s="16">
        <f>(D319*6)+(E319*4)</f>
        <v>0</v>
      </c>
      <c r="L319" s="10"/>
      <c r="M319" s="10"/>
      <c r="N319" s="10"/>
      <c r="O319" s="10"/>
      <c r="P319" s="10"/>
    </row>
    <row r="320" ht="20.05" customHeight="1">
      <c r="A320" s="11"/>
      <c r="B320" t="s" s="9">
        <v>33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  <c r="N320" s="10"/>
      <c r="O320" s="10"/>
      <c r="P320" s="10"/>
    </row>
    <row r="321" ht="20.05" customHeight="1">
      <c r="A321" s="11"/>
      <c r="B321" t="s" s="9">
        <v>33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  <c r="N321" s="10"/>
      <c r="O321" s="10"/>
      <c r="P321" s="10"/>
    </row>
    <row r="322" ht="20.05" customHeight="1">
      <c r="A322" t="s" s="8">
        <v>545</v>
      </c>
      <c r="B322" t="s" s="9">
        <v>33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  <c r="N322" s="10"/>
      <c r="O322" s="10"/>
      <c r="P322" s="10"/>
    </row>
    <row r="323" ht="20.05" customHeight="1">
      <c r="A323" s="11"/>
      <c r="B323" t="s" s="9">
        <v>33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  <c r="N323" s="10"/>
      <c r="O323" s="10"/>
      <c r="P323" s="10"/>
    </row>
    <row r="324" ht="56.05" customHeight="1">
      <c r="A324" t="s" s="8">
        <v>546</v>
      </c>
      <c r="B324" t="s" s="9">
        <v>33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547</v>
      </c>
      <c r="I324" s="10"/>
      <c r="J324" s="10"/>
      <c r="K324" s="16">
        <f>(D324*6)+(E324*4)</f>
        <v>750</v>
      </c>
      <c r="L324" s="10"/>
      <c r="M324" s="10"/>
      <c r="N324" s="10"/>
      <c r="O324" s="10"/>
      <c r="P324" s="10"/>
    </row>
    <row r="325" ht="32.05" customHeight="1">
      <c r="A325" t="s" s="8">
        <v>548</v>
      </c>
      <c r="B325" t="s" s="9">
        <v>33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549</v>
      </c>
      <c r="I325" s="10"/>
      <c r="J325" s="10"/>
      <c r="K325" s="16">
        <f>(D325*6)+(E325*4)</f>
        <v>1200</v>
      </c>
      <c r="L325" s="10"/>
      <c r="M325" s="10"/>
      <c r="N325" s="10"/>
      <c r="O325" s="10"/>
      <c r="P325" s="10"/>
    </row>
    <row r="326" ht="20.05" customHeight="1">
      <c r="A326" s="11"/>
      <c r="B326" t="s" s="9">
        <v>33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  <c r="N326" s="10"/>
      <c r="O326" s="10"/>
      <c r="P326" s="10"/>
    </row>
    <row r="327" ht="20.05" customHeight="1">
      <c r="A327" s="11"/>
      <c r="B327" t="s" s="9">
        <v>33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  <c r="N327" s="10"/>
      <c r="O327" s="10"/>
      <c r="P327" s="10"/>
    </row>
    <row r="328" ht="32.05" customHeight="1">
      <c r="A328" t="s" s="8">
        <v>550</v>
      </c>
      <c r="B328" t="s" s="9">
        <v>33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551</v>
      </c>
      <c r="I328" s="10"/>
      <c r="J328" s="10"/>
      <c r="K328" s="16">
        <f>(D328*6)+(E328*4)</f>
        <v>250</v>
      </c>
      <c r="L328" t="s" s="17">
        <v>35</v>
      </c>
      <c r="M328" s="10"/>
      <c r="N328" s="10"/>
      <c r="O328" t="s" s="17">
        <v>35</v>
      </c>
      <c r="P328" s="10"/>
    </row>
    <row r="329" ht="32.05" customHeight="1">
      <c r="A329" t="s" s="8">
        <v>552</v>
      </c>
      <c r="B329" t="s" s="9">
        <v>33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305</v>
      </c>
      <c r="I329" s="10"/>
      <c r="J329" s="10"/>
      <c r="K329" s="16">
        <f>(D329*6)+(E329*4)</f>
        <v>160</v>
      </c>
      <c r="L329" t="s" s="17">
        <v>35</v>
      </c>
      <c r="M329" s="10"/>
      <c r="N329" t="s" s="17">
        <v>35</v>
      </c>
      <c r="O329" s="10"/>
      <c r="P329" s="10"/>
    </row>
    <row r="330" ht="32.05" customHeight="1">
      <c r="A330" t="s" s="8">
        <v>553</v>
      </c>
      <c r="B330" t="s" s="9">
        <v>33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554</v>
      </c>
      <c r="I330" s="10"/>
      <c r="J330" s="10"/>
      <c r="K330" s="16">
        <f>(D330*6)+(E330*4)</f>
        <v>160</v>
      </c>
      <c r="L330" t="s" s="17">
        <v>35</v>
      </c>
      <c r="M330" s="10"/>
      <c r="N330" s="10"/>
      <c r="O330" s="10"/>
      <c r="P330" t="s" s="17">
        <v>35</v>
      </c>
    </row>
    <row r="331" ht="44.05" customHeight="1">
      <c r="A331" t="s" s="8">
        <v>555</v>
      </c>
      <c r="B331" t="s" s="9">
        <v>33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556</v>
      </c>
      <c r="I331" s="10"/>
      <c r="J331" s="10"/>
      <c r="K331" s="16">
        <f>(D331*6)+(E331*4)</f>
        <v>170</v>
      </c>
      <c r="L331" t="s" s="17">
        <v>35</v>
      </c>
      <c r="M331" s="10"/>
      <c r="N331" s="10"/>
      <c r="O331" s="10"/>
      <c r="P331" t="s" s="17">
        <v>35</v>
      </c>
    </row>
    <row r="332" ht="20.05" customHeight="1">
      <c r="A332" s="11"/>
      <c r="B332" t="s" s="9">
        <v>33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  <c r="N332" s="10"/>
      <c r="O332" s="10"/>
      <c r="P332" s="10"/>
    </row>
    <row r="333" ht="20.05" customHeight="1">
      <c r="A333" s="11"/>
      <c r="B333" t="s" s="9">
        <v>33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  <c r="N333" s="10"/>
      <c r="O333" s="10"/>
      <c r="P333" s="10"/>
    </row>
    <row r="334" ht="20.05" customHeight="1">
      <c r="A334" s="11"/>
      <c r="B334" t="s" s="9">
        <v>33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  <c r="N334" s="10"/>
      <c r="O334" s="10"/>
      <c r="P334" s="10"/>
    </row>
    <row r="335" ht="20.05" customHeight="1">
      <c r="A335" s="11"/>
      <c r="B335" t="s" s="9">
        <v>33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  <c r="N335" s="10"/>
      <c r="O335" s="10"/>
      <c r="P335" s="10"/>
    </row>
    <row r="336" ht="20.05" customHeight="1">
      <c r="A336" s="11"/>
      <c r="B336" t="s" s="9">
        <v>33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  <c r="N336" s="10"/>
      <c r="O336" s="10"/>
      <c r="P336" s="10"/>
    </row>
    <row r="337" ht="20.05" customHeight="1">
      <c r="A337" s="11"/>
      <c r="B337" t="s" s="9">
        <v>33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  <c r="N337" s="10"/>
      <c r="O337" s="10"/>
      <c r="P337" s="10"/>
    </row>
    <row r="338" ht="20.05" customHeight="1">
      <c r="A338" s="11"/>
      <c r="B338" t="s" s="9">
        <v>33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  <c r="N338" s="10"/>
      <c r="O338" s="10"/>
      <c r="P338" s="10"/>
    </row>
    <row r="339" ht="20.05" customHeight="1">
      <c r="A339" s="11"/>
      <c r="B339" t="s" s="9">
        <v>33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  <c r="N339" s="10"/>
      <c r="O339" s="10"/>
      <c r="P339" s="10"/>
    </row>
    <row r="340" ht="20.05" customHeight="1">
      <c r="A340" s="11"/>
      <c r="B340" t="s" s="9">
        <v>33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  <c r="N340" s="10"/>
      <c r="O340" s="10"/>
      <c r="P340" s="10"/>
    </row>
    <row r="341" ht="32.05" customHeight="1">
      <c r="A341" t="s" s="8">
        <v>557</v>
      </c>
      <c r="B341" t="s" s="9">
        <v>33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558</v>
      </c>
      <c r="I341" s="10"/>
      <c r="J341" s="10"/>
      <c r="K341" s="16">
        <f>(D341*6)+(E341*4)</f>
        <v>260</v>
      </c>
      <c r="L341" t="s" s="17">
        <v>35</v>
      </c>
      <c r="M341" s="10"/>
      <c r="N341" s="10"/>
      <c r="O341" t="s" s="17">
        <v>35</v>
      </c>
      <c r="P341" s="10"/>
    </row>
    <row r="342" ht="32.05" customHeight="1">
      <c r="A342" t="s" s="8">
        <v>559</v>
      </c>
      <c r="B342" t="s" s="9">
        <v>33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560</v>
      </c>
      <c r="I342" s="10"/>
      <c r="J342" s="10"/>
      <c r="K342" s="16">
        <f>(D342*6)+(E342*4)</f>
        <v>310</v>
      </c>
      <c r="L342" t="s" s="17">
        <v>35</v>
      </c>
      <c r="M342" s="10"/>
      <c r="N342" t="s" s="17">
        <v>35</v>
      </c>
      <c r="O342" s="10"/>
      <c r="P342" s="10"/>
    </row>
    <row r="343" ht="44.05" customHeight="1">
      <c r="A343" t="s" s="8">
        <v>561</v>
      </c>
      <c r="B343" t="s" s="9">
        <v>33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562</v>
      </c>
      <c r="I343" s="10"/>
      <c r="J343" s="10"/>
      <c r="K343" s="16">
        <f>(D343*6)+(E343*4)</f>
        <v>260</v>
      </c>
      <c r="L343" t="s" s="17">
        <v>35</v>
      </c>
      <c r="M343" s="10"/>
      <c r="N343" s="10"/>
      <c r="O343" t="s" s="17">
        <v>35</v>
      </c>
      <c r="P343" s="10"/>
    </row>
    <row r="344" ht="20.05" customHeight="1">
      <c r="A344" s="11"/>
      <c r="B344" t="s" s="9">
        <v>33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  <c r="N344" s="10"/>
      <c r="O344" s="10"/>
      <c r="P344" s="10"/>
    </row>
    <row r="345" ht="20.05" customHeight="1">
      <c r="A345" s="11"/>
      <c r="B345" t="s" s="9">
        <v>33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  <c r="N345" s="10"/>
      <c r="O345" s="10"/>
      <c r="P345" s="10"/>
    </row>
    <row r="346" ht="20.05" customHeight="1">
      <c r="A346" s="11"/>
      <c r="B346" t="s" s="9">
        <v>33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  <c r="N346" s="10"/>
      <c r="O346" s="10"/>
      <c r="P346" s="10"/>
    </row>
    <row r="347" ht="20.05" customHeight="1">
      <c r="A347" s="11"/>
      <c r="B347" t="s" s="9">
        <v>33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  <c r="N347" s="10"/>
      <c r="O347" s="10"/>
      <c r="P347" s="10"/>
    </row>
    <row r="348" ht="32.05" customHeight="1">
      <c r="A348" t="s" s="8">
        <v>563</v>
      </c>
      <c r="B348" t="s" s="9">
        <v>33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305</v>
      </c>
      <c r="I348" s="10"/>
      <c r="J348" s="10"/>
      <c r="K348" s="16">
        <f>(D348*6)+(E348*4)</f>
        <v>360</v>
      </c>
      <c r="L348" t="s" s="17">
        <v>35</v>
      </c>
      <c r="M348" s="10"/>
      <c r="N348" s="10"/>
      <c r="O348" s="10"/>
      <c r="P348" t="s" s="17">
        <v>35</v>
      </c>
    </row>
    <row r="349" ht="20.05" customHeight="1">
      <c r="A349" s="11"/>
      <c r="B349" t="s" s="9">
        <v>33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  <c r="N349" s="10"/>
      <c r="O349" s="10"/>
      <c r="P349" s="10"/>
    </row>
    <row r="350" ht="20.05" customHeight="1">
      <c r="A350" s="11"/>
      <c r="B350" t="s" s="9">
        <v>33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  <c r="N350" s="10"/>
      <c r="O350" s="10"/>
      <c r="P350" s="10"/>
    </row>
    <row r="351" ht="56.05" customHeight="1">
      <c r="A351" t="s" s="8">
        <v>564</v>
      </c>
      <c r="B351" t="s" s="9">
        <v>33</v>
      </c>
      <c r="C351" s="16">
        <v>500</v>
      </c>
      <c r="D351" s="16">
        <v>55</v>
      </c>
      <c r="E351" s="16">
        <v>40</v>
      </c>
      <c r="F351" t="s" s="17">
        <v>13</v>
      </c>
      <c r="G351" s="16">
        <v>3</v>
      </c>
      <c r="H351" t="s" s="17">
        <v>565</v>
      </c>
      <c r="I351" s="10"/>
      <c r="J351" s="10"/>
      <c r="K351" s="16">
        <f>(D351*6)+(E351*4)</f>
        <v>490</v>
      </c>
      <c r="L351" t="s" s="17">
        <v>35</v>
      </c>
      <c r="M351" s="10"/>
      <c r="N351" s="10"/>
      <c r="O351" s="10"/>
      <c r="P351" s="10"/>
    </row>
    <row r="352" ht="44.05" customHeight="1">
      <c r="A352" t="s" s="8">
        <v>566</v>
      </c>
      <c r="B352" t="s" s="9">
        <v>33</v>
      </c>
      <c r="C352" s="10"/>
      <c r="D352" s="10"/>
      <c r="E352" s="10"/>
      <c r="F352" t="s" s="17">
        <v>13</v>
      </c>
      <c r="G352" s="16">
        <v>3</v>
      </c>
      <c r="H352" t="s" s="17">
        <v>567</v>
      </c>
      <c r="I352" s="10"/>
      <c r="J352" s="10"/>
      <c r="K352" s="16">
        <f>(D352*6)+(E352*4)</f>
        <v>0</v>
      </c>
      <c r="L352" s="10"/>
      <c r="M352" s="10"/>
      <c r="N352" s="10"/>
      <c r="O352" s="10"/>
      <c r="P352" s="10"/>
    </row>
    <row r="353" ht="56.05" customHeight="1">
      <c r="A353" t="s" s="8">
        <v>568</v>
      </c>
      <c r="B353" t="s" s="9">
        <v>33</v>
      </c>
      <c r="C353" s="10"/>
      <c r="D353" s="10"/>
      <c r="E353" s="10"/>
      <c r="F353" t="s" s="17">
        <v>13</v>
      </c>
      <c r="G353" s="16">
        <v>3</v>
      </c>
      <c r="H353" t="s" s="17">
        <v>569</v>
      </c>
      <c r="I353" s="10"/>
      <c r="J353" s="10"/>
      <c r="K353" s="16">
        <f>(D353*6)+(E353*4)</f>
        <v>0</v>
      </c>
      <c r="L353" s="10"/>
      <c r="M353" s="10"/>
      <c r="N353" s="10"/>
      <c r="O353" s="10"/>
      <c r="P353" s="10"/>
    </row>
    <row r="354" ht="20.05" customHeight="1">
      <c r="A354" s="11"/>
      <c r="B354" t="s" s="9">
        <v>33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  <c r="N354" s="10"/>
      <c r="O354" s="10"/>
      <c r="P354" s="10"/>
    </row>
    <row r="355" ht="20.05" customHeight="1">
      <c r="A355" s="11"/>
      <c r="B355" t="s" s="9">
        <v>33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  <c r="N355" s="10"/>
      <c r="O355" s="10"/>
      <c r="P355" s="10"/>
    </row>
    <row r="356" ht="20.05" customHeight="1">
      <c r="A356" s="11"/>
      <c r="B356" t="s" s="9">
        <v>33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  <c r="N356" s="10"/>
      <c r="O356" s="10"/>
      <c r="P356" s="10"/>
    </row>
    <row r="357" ht="44.05" customHeight="1">
      <c r="A357" t="s" s="8">
        <v>570</v>
      </c>
      <c r="B357" t="s" s="9">
        <v>33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571</v>
      </c>
      <c r="I357" s="10"/>
      <c r="J357" s="10"/>
      <c r="K357" s="16">
        <f>(D357*6)+(E357*4)</f>
        <v>500</v>
      </c>
      <c r="L357" s="10"/>
      <c r="M357" s="10"/>
      <c r="N357" s="10"/>
      <c r="O357" s="10"/>
      <c r="P357" s="10"/>
    </row>
    <row r="358" ht="32.05" customHeight="1">
      <c r="A358" t="s" s="8">
        <v>572</v>
      </c>
      <c r="B358" t="s" s="9">
        <v>33</v>
      </c>
      <c r="C358" s="10"/>
      <c r="D358" s="10"/>
      <c r="E358" s="10"/>
      <c r="F358" t="s" s="17">
        <v>13</v>
      </c>
      <c r="G358" s="16">
        <v>3</v>
      </c>
      <c r="H358" t="s" s="17">
        <v>573</v>
      </c>
      <c r="I358" s="10"/>
      <c r="J358" s="10"/>
      <c r="K358" s="16">
        <f>(D358*6)+(E358*4)</f>
        <v>0</v>
      </c>
      <c r="L358" s="10"/>
      <c r="M358" s="10"/>
      <c r="N358" s="10"/>
      <c r="O358" s="10"/>
      <c r="P358" s="10"/>
    </row>
    <row r="359" ht="20.05" customHeight="1">
      <c r="A359" s="11"/>
      <c r="B359" t="s" s="9">
        <v>33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  <c r="N359" s="10"/>
      <c r="O359" s="10"/>
      <c r="P359" s="10"/>
    </row>
    <row r="360" ht="20.05" customHeight="1">
      <c r="A360" s="11"/>
      <c r="B360" t="s" s="9">
        <v>33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  <c r="N360" s="10"/>
      <c r="O360" s="10"/>
      <c r="P360" s="10"/>
    </row>
    <row r="361" ht="20.05" customHeight="1">
      <c r="A361" s="11"/>
      <c r="B361" t="s" s="9">
        <v>33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  <c r="N361" s="10"/>
      <c r="O361" s="10"/>
      <c r="P361" s="10"/>
    </row>
    <row r="362" ht="20.05" customHeight="1">
      <c r="A362" s="11"/>
      <c r="B362" t="s" s="9">
        <v>33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  <c r="N362" s="10"/>
      <c r="O362" s="10"/>
      <c r="P362" s="10"/>
    </row>
    <row r="363" ht="32.05" customHeight="1">
      <c r="A363" t="s" s="8">
        <v>574</v>
      </c>
      <c r="B363" t="s" s="9">
        <v>33</v>
      </c>
      <c r="C363" s="16">
        <v>600</v>
      </c>
      <c r="D363" s="16">
        <v>45</v>
      </c>
      <c r="E363" s="16">
        <v>45</v>
      </c>
      <c r="F363" t="s" s="17">
        <v>13</v>
      </c>
      <c r="G363" s="16">
        <v>4</v>
      </c>
      <c r="H363" t="s" s="17">
        <v>575</v>
      </c>
      <c r="I363" s="10"/>
      <c r="J363" s="10"/>
      <c r="K363" s="16">
        <f>(D363*6)+(E363*4)</f>
        <v>450</v>
      </c>
      <c r="L363" t="s" s="17">
        <v>35</v>
      </c>
      <c r="M363" s="10"/>
      <c r="N363" s="10"/>
      <c r="O363" t="s" s="17">
        <v>35</v>
      </c>
      <c r="P363" s="10"/>
    </row>
    <row r="364" ht="20.05" customHeight="1">
      <c r="A364" s="11"/>
      <c r="B364" t="s" s="9">
        <v>33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  <c r="N364" s="10"/>
      <c r="O364" s="10"/>
      <c r="P364" s="10"/>
    </row>
    <row r="365" ht="20.05" customHeight="1">
      <c r="A365" s="11"/>
      <c r="B365" t="s" s="9">
        <v>33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  <c r="N365" s="10"/>
      <c r="O365" s="10"/>
      <c r="P365" s="10"/>
    </row>
    <row r="366" ht="20.05" customHeight="1">
      <c r="A366" s="11"/>
      <c r="B366" t="s" s="9">
        <v>33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  <c r="N366" s="10"/>
      <c r="O366" s="10"/>
      <c r="P366" s="10"/>
    </row>
    <row r="367" ht="44.05" customHeight="1">
      <c r="A367" t="s" s="8">
        <v>576</v>
      </c>
      <c r="B367" t="s" s="9">
        <v>33</v>
      </c>
      <c r="C367" s="16">
        <v>1100</v>
      </c>
      <c r="D367" s="16">
        <v>90</v>
      </c>
      <c r="E367" s="16">
        <v>80</v>
      </c>
      <c r="F367" t="s" s="17">
        <v>13</v>
      </c>
      <c r="G367" s="16">
        <v>5</v>
      </c>
      <c r="H367" t="s" s="17">
        <v>577</v>
      </c>
      <c r="I367" s="10"/>
      <c r="J367" s="10"/>
      <c r="K367" s="16">
        <f>(D367*6)+(E367*4)</f>
        <v>860</v>
      </c>
      <c r="L367" t="s" s="17">
        <v>35</v>
      </c>
      <c r="M367" s="10"/>
      <c r="N367" s="10"/>
      <c r="O367" s="10"/>
      <c r="P367" t="s" s="17">
        <v>35</v>
      </c>
    </row>
    <row r="368" ht="20.05" customHeight="1">
      <c r="A368" s="11"/>
      <c r="B368" t="s" s="9">
        <v>33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  <c r="N368" s="10"/>
      <c r="O368" s="10"/>
      <c r="P368" s="10"/>
    </row>
    <row r="369" ht="32.05" customHeight="1">
      <c r="A369" s="11"/>
      <c r="B369" t="s" s="9">
        <v>33</v>
      </c>
      <c r="C369" s="10"/>
      <c r="D369" s="10"/>
      <c r="E369" s="10"/>
      <c r="F369" t="s" s="17">
        <v>13</v>
      </c>
      <c r="G369" s="16">
        <v>5</v>
      </c>
      <c r="H369" t="s" s="17">
        <v>305</v>
      </c>
      <c r="I369" s="10"/>
      <c r="J369" s="10"/>
      <c r="K369" s="16">
        <f>(D369*6)+(E369*4)</f>
        <v>0</v>
      </c>
      <c r="L369" s="10"/>
      <c r="M369" s="10"/>
      <c r="N369" s="10"/>
      <c r="O369" s="10"/>
      <c r="P369" s="10"/>
    </row>
    <row r="370" ht="20.05" customHeight="1">
      <c r="A370" s="11"/>
      <c r="B370" t="s" s="9">
        <v>33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  <c r="N370" s="10"/>
      <c r="O370" s="10"/>
      <c r="P370" s="10"/>
    </row>
    <row r="371" ht="32.05" customHeight="1">
      <c r="A371" s="11"/>
      <c r="B371" t="s" s="9">
        <v>33</v>
      </c>
      <c r="C371" s="10"/>
      <c r="D371" s="10"/>
      <c r="E371" s="10"/>
      <c r="F371" t="s" s="17">
        <v>13</v>
      </c>
      <c r="G371" s="16">
        <v>5</v>
      </c>
      <c r="H371" t="s" s="17">
        <v>578</v>
      </c>
      <c r="I371" s="10"/>
      <c r="J371" s="10"/>
      <c r="K371" s="16">
        <f>(D371*6)+(E371*4)</f>
        <v>0</v>
      </c>
      <c r="L371" s="10"/>
      <c r="M371" s="10"/>
      <c r="N371" s="10"/>
      <c r="O371" s="10"/>
      <c r="P371" s="10"/>
    </row>
    <row r="372" ht="32.05" customHeight="1">
      <c r="A372" t="s" s="8">
        <v>579</v>
      </c>
      <c r="B372" t="s" s="9">
        <v>33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39</v>
      </c>
      <c r="I372" s="10"/>
      <c r="J372" s="10"/>
      <c r="K372" s="16">
        <f>(D372*6)+(E372*4)</f>
        <v>250</v>
      </c>
      <c r="L372" t="s" s="17">
        <v>35</v>
      </c>
      <c r="M372" s="10"/>
      <c r="N372" t="s" s="17">
        <v>35</v>
      </c>
      <c r="O372" s="10"/>
      <c r="P372" t="s" s="17">
        <v>35</v>
      </c>
    </row>
    <row r="373" ht="20.05" customHeight="1">
      <c r="A373" s="11"/>
      <c r="B373" t="s" s="9">
        <v>33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  <c r="N373" s="10"/>
      <c r="O373" s="10"/>
      <c r="P373" s="10"/>
    </row>
    <row r="374" ht="20.05" customHeight="1">
      <c r="A374" s="11"/>
      <c r="B374" t="s" s="9">
        <v>33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  <c r="N374" s="10"/>
      <c r="O374" s="10"/>
      <c r="P374" s="10"/>
    </row>
    <row r="375" ht="20.05" customHeight="1">
      <c r="A375" s="11"/>
      <c r="B375" t="s" s="9">
        <v>33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  <c r="N375" s="10"/>
      <c r="O375" s="10"/>
      <c r="P375" s="10"/>
    </row>
    <row r="376" ht="20.05" customHeight="1">
      <c r="A376" s="11"/>
      <c r="B376" t="s" s="9">
        <v>33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  <c r="N376" s="10"/>
      <c r="O376" s="10"/>
      <c r="P376" s="10"/>
    </row>
    <row r="377" ht="20.05" customHeight="1">
      <c r="A377" s="11"/>
      <c r="B377" t="s" s="9">
        <v>33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  <c r="N377" s="10"/>
      <c r="O377" s="10"/>
      <c r="P377" s="10"/>
    </row>
    <row r="378" ht="20.05" customHeight="1">
      <c r="A378" s="11"/>
      <c r="B378" t="s" s="9">
        <v>33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  <c r="N378" s="10"/>
      <c r="O378" s="10"/>
      <c r="P378" s="10"/>
    </row>
    <row r="379" ht="20.05" customHeight="1">
      <c r="A379" s="11"/>
      <c r="B379" t="s" s="9">
        <v>33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  <c r="N379" s="10"/>
      <c r="O379" s="10"/>
      <c r="P379" s="10"/>
    </row>
    <row r="380" ht="20.05" customHeight="1">
      <c r="A380" s="11"/>
      <c r="B380" t="s" s="9">
        <v>33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  <c r="N380" s="10"/>
      <c r="O380" s="10"/>
      <c r="P380" s="10"/>
    </row>
    <row r="381" ht="20.05" customHeight="1">
      <c r="A381" s="11"/>
      <c r="B381" t="s" s="9">
        <v>33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  <c r="N381" s="10"/>
      <c r="O381" s="10"/>
      <c r="P381" s="10"/>
    </row>
    <row r="382" ht="20.05" customHeight="1">
      <c r="A382" s="11"/>
      <c r="B382" t="s" s="9">
        <v>33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  <c r="N382" s="10"/>
      <c r="O382" s="10"/>
      <c r="P382" s="10"/>
    </row>
    <row r="383" ht="20.05" customHeight="1">
      <c r="A383" s="11"/>
      <c r="B383" t="s" s="9">
        <v>33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  <c r="N383" s="10"/>
      <c r="O383" s="10"/>
      <c r="P383" s="10"/>
    </row>
    <row r="384" ht="20.05" customHeight="1">
      <c r="A384" t="s" s="8">
        <v>580</v>
      </c>
      <c r="B384" t="s" s="9">
        <v>33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39</v>
      </c>
      <c r="I384" s="10"/>
      <c r="J384" s="10"/>
      <c r="K384" s="16">
        <f>(D384*6)+(E384*4)</f>
        <v>200</v>
      </c>
      <c r="L384" s="10"/>
      <c r="M384" s="10"/>
      <c r="N384" s="10"/>
      <c r="O384" s="10"/>
      <c r="P384" s="10"/>
    </row>
    <row r="385" ht="20.05" customHeight="1">
      <c r="A385" s="11"/>
      <c r="B385" t="s" s="9">
        <v>33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  <c r="N385" s="10"/>
      <c r="O385" s="10"/>
      <c r="P385" s="10"/>
    </row>
    <row r="386" ht="20.05" customHeight="1">
      <c r="A386" s="11"/>
      <c r="B386" t="s" s="9">
        <v>33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  <c r="N386" s="10"/>
      <c r="O386" s="10"/>
      <c r="P386" s="10"/>
    </row>
    <row r="387" ht="20.05" customHeight="1">
      <c r="A387" s="11"/>
      <c r="B387" t="s" s="9">
        <v>33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  <c r="N387" s="10"/>
      <c r="O387" s="10"/>
      <c r="P387" s="10"/>
    </row>
    <row r="388" ht="20.05" customHeight="1">
      <c r="A388" s="11"/>
      <c r="B388" t="s" s="9">
        <v>33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  <c r="N388" s="10"/>
      <c r="O388" s="10"/>
      <c r="P388" s="10"/>
    </row>
    <row r="389" ht="44.05" customHeight="1">
      <c r="A389" t="s" s="8">
        <v>581</v>
      </c>
      <c r="B389" t="s" s="9">
        <v>33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582</v>
      </c>
      <c r="I389" s="10"/>
      <c r="J389" s="10"/>
      <c r="K389" s="16">
        <f>(D389*6)+(E389*4)</f>
        <v>210</v>
      </c>
      <c r="L389" t="s" s="17">
        <v>35</v>
      </c>
      <c r="M389" s="10"/>
      <c r="N389" s="10"/>
      <c r="O389" s="10"/>
      <c r="P389" t="s" s="17">
        <v>35</v>
      </c>
    </row>
    <row r="390" ht="20.05" customHeight="1">
      <c r="A390" s="11"/>
      <c r="B390" t="s" s="9">
        <v>33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  <c r="N390" s="10"/>
      <c r="O390" s="10"/>
      <c r="P390" s="10"/>
    </row>
    <row r="391" ht="20.05" customHeight="1">
      <c r="A391" s="11"/>
      <c r="B391" t="s" s="9">
        <v>33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  <c r="N391" s="10"/>
      <c r="O391" s="10"/>
      <c r="P391" s="10"/>
    </row>
    <row r="392" ht="20.05" customHeight="1">
      <c r="A392" t="s" s="8">
        <v>583</v>
      </c>
      <c r="B392" t="s" s="9">
        <v>33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584</v>
      </c>
      <c r="I392" s="10"/>
      <c r="J392" s="10"/>
      <c r="K392" s="16">
        <f>(D392*6)+(E392*4)</f>
        <v>200</v>
      </c>
      <c r="L392" t="s" s="17">
        <v>35</v>
      </c>
      <c r="M392" s="10"/>
      <c r="N392" t="s" s="17">
        <v>35</v>
      </c>
      <c r="O392" s="10"/>
      <c r="P392" s="10"/>
    </row>
    <row r="393" ht="20.05" customHeight="1">
      <c r="A393" t="s" s="8">
        <v>585</v>
      </c>
      <c r="B393" t="s" s="9">
        <v>33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39</v>
      </c>
      <c r="I393" s="10"/>
      <c r="J393" s="10"/>
      <c r="K393" s="16">
        <f>(D393*6)+(E393*4)</f>
        <v>280</v>
      </c>
      <c r="L393" t="s" s="17">
        <v>35</v>
      </c>
      <c r="M393" s="10"/>
      <c r="N393" s="10"/>
      <c r="O393" s="10"/>
      <c r="P393" t="s" s="17">
        <v>35</v>
      </c>
    </row>
    <row r="394" ht="20.05" customHeight="1">
      <c r="A394" t="s" s="8">
        <v>586</v>
      </c>
      <c r="B394" t="s" s="9">
        <v>33</v>
      </c>
      <c r="C394" s="16">
        <v>420</v>
      </c>
      <c r="D394" s="16">
        <v>35</v>
      </c>
      <c r="E394" s="16">
        <v>35</v>
      </c>
      <c r="F394" t="s" s="17">
        <v>15</v>
      </c>
      <c r="G394" s="16">
        <v>2</v>
      </c>
      <c r="H394" t="s" s="17">
        <v>587</v>
      </c>
      <c r="I394" s="10"/>
      <c r="J394" s="10"/>
      <c r="K394" s="16">
        <f>(D394*6)+(E394*4)</f>
        <v>350</v>
      </c>
      <c r="L394" t="s" s="17">
        <v>35</v>
      </c>
      <c r="M394" s="10"/>
      <c r="N394" s="10"/>
      <c r="O394" t="s" s="17">
        <v>35</v>
      </c>
      <c r="P394" s="10"/>
    </row>
    <row r="395" ht="32.05" customHeight="1">
      <c r="A395" t="s" s="8">
        <v>588</v>
      </c>
      <c r="B395" t="s" s="9">
        <v>33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589</v>
      </c>
      <c r="I395" s="10"/>
      <c r="J395" s="10"/>
      <c r="K395" s="16">
        <f>(D395*6)+(E395*4)</f>
        <v>340</v>
      </c>
      <c r="L395" t="s" s="17">
        <v>35</v>
      </c>
      <c r="M395" s="10"/>
      <c r="N395" s="10"/>
      <c r="O395" s="10"/>
      <c r="P395" t="s" s="17">
        <v>35</v>
      </c>
    </row>
    <row r="396" ht="20.05" customHeight="1">
      <c r="A396" t="s" s="8">
        <v>590</v>
      </c>
      <c r="B396" t="s" s="9">
        <v>33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591</v>
      </c>
      <c r="I396" s="10"/>
      <c r="J396" s="10"/>
      <c r="K396" s="16">
        <f>(D396*6)+(E396*4)</f>
        <v>200</v>
      </c>
      <c r="L396" t="s" s="17">
        <v>35</v>
      </c>
      <c r="M396" s="10"/>
      <c r="N396" s="10"/>
      <c r="O396" s="10"/>
      <c r="P396" t="s" s="17">
        <v>35</v>
      </c>
    </row>
    <row r="397" ht="20.05" customHeight="1">
      <c r="A397" t="s" s="8">
        <v>592</v>
      </c>
      <c r="B397" t="s" s="9">
        <v>33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593</v>
      </c>
      <c r="I397" s="10"/>
      <c r="J397" s="10"/>
      <c r="K397" s="16">
        <f>(D397*6)+(E397*4)</f>
        <v>230</v>
      </c>
      <c r="L397" t="s" s="17">
        <v>35</v>
      </c>
      <c r="M397" s="10"/>
      <c r="N397" s="10"/>
      <c r="O397" s="10"/>
      <c r="P397" t="s" s="17">
        <v>35</v>
      </c>
    </row>
    <row r="398" ht="44.05" customHeight="1">
      <c r="A398" t="s" s="8">
        <v>594</v>
      </c>
      <c r="B398" t="s" s="9">
        <v>33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595</v>
      </c>
      <c r="I398" s="10"/>
      <c r="J398" s="10"/>
      <c r="K398" s="16">
        <f>(D398*6)+(E398*4)</f>
        <v>360</v>
      </c>
      <c r="L398" t="s" s="17">
        <v>35</v>
      </c>
      <c r="M398" s="10"/>
      <c r="N398" s="10"/>
      <c r="O398" s="10"/>
      <c r="P398" t="s" s="17">
        <v>35</v>
      </c>
    </row>
    <row r="399" ht="20.05" customHeight="1">
      <c r="A399" s="11"/>
      <c r="B399" t="s" s="9">
        <v>33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  <c r="N399" s="10"/>
      <c r="O399" s="10"/>
      <c r="P399" s="10"/>
    </row>
    <row r="400" ht="20.05" customHeight="1">
      <c r="A400" s="11"/>
      <c r="B400" t="s" s="9">
        <v>33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  <c r="N400" s="10"/>
      <c r="O400" s="10"/>
      <c r="P400" s="10"/>
    </row>
    <row r="401" ht="20.05" customHeight="1">
      <c r="A401" s="11"/>
      <c r="B401" t="s" s="9">
        <v>33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  <c r="N401" s="10"/>
      <c r="O401" s="10"/>
      <c r="P401" s="10"/>
    </row>
    <row r="402" ht="20.05" customHeight="1">
      <c r="A402" s="11"/>
      <c r="B402" t="s" s="9">
        <v>33</v>
      </c>
      <c r="C402" s="10"/>
      <c r="D402" s="10"/>
      <c r="E402" s="10"/>
      <c r="F402" t="s" s="17">
        <v>15</v>
      </c>
      <c r="G402" s="16">
        <v>2</v>
      </c>
      <c r="H402" s="10"/>
      <c r="I402" s="10"/>
      <c r="J402" s="10"/>
      <c r="K402" s="16">
        <f>(D402*6)+(E402*4)</f>
        <v>0</v>
      </c>
      <c r="L402" s="10"/>
      <c r="M402" s="10"/>
      <c r="N402" s="10"/>
      <c r="O402" s="10"/>
      <c r="P402" s="10"/>
    </row>
    <row r="403" ht="20.05" customHeight="1">
      <c r="A403" s="11"/>
      <c r="B403" t="s" s="9">
        <v>33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  <c r="N403" s="10"/>
      <c r="O403" s="10"/>
      <c r="P403" s="10"/>
    </row>
    <row r="404" ht="20.05" customHeight="1">
      <c r="A404" s="11"/>
      <c r="B404" t="s" s="9">
        <v>33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  <c r="N404" s="10"/>
      <c r="O404" s="10"/>
      <c r="P404" s="10"/>
    </row>
    <row r="405" ht="20.05" customHeight="1">
      <c r="A405" s="11"/>
      <c r="B405" t="s" s="9">
        <v>33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  <c r="N405" s="10"/>
      <c r="O405" s="10"/>
      <c r="P405" s="10"/>
    </row>
    <row r="406" ht="20.05" customHeight="1">
      <c r="A406" s="11"/>
      <c r="B406" t="s" s="9">
        <v>33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  <c r="N406" s="10"/>
      <c r="O406" s="10"/>
      <c r="P406" s="10"/>
    </row>
    <row r="407" ht="20.05" customHeight="1">
      <c r="A407" s="11"/>
      <c r="B407" t="s" s="9">
        <v>33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  <c r="N407" s="10"/>
      <c r="O407" s="10"/>
      <c r="P407" s="10"/>
    </row>
    <row r="408" ht="20.05" customHeight="1">
      <c r="A408" s="11"/>
      <c r="B408" t="s" s="9">
        <v>33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  <c r="N408" s="10"/>
      <c r="O408" s="10"/>
      <c r="P408" s="10"/>
    </row>
    <row r="409" ht="20.05" customHeight="1">
      <c r="A409" s="11"/>
      <c r="B409" t="s" s="9">
        <v>33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  <c r="N409" s="10"/>
      <c r="O409" s="10"/>
      <c r="P409" s="10"/>
    </row>
    <row r="410" ht="20.05" customHeight="1">
      <c r="A410" s="11"/>
      <c r="B410" t="s" s="9">
        <v>33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  <c r="N410" s="10"/>
      <c r="O410" s="10"/>
      <c r="P410" s="10"/>
    </row>
    <row r="411" ht="20.05" customHeight="1">
      <c r="A411" s="11"/>
      <c r="B411" t="s" s="9">
        <v>33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  <c r="N411" s="10"/>
      <c r="O411" s="10"/>
      <c r="P411" s="10"/>
    </row>
    <row r="412" ht="20.05" customHeight="1">
      <c r="A412" s="11"/>
      <c r="B412" t="s" s="9">
        <v>33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  <c r="N412" s="10"/>
      <c r="O412" s="10"/>
      <c r="P412" s="10"/>
    </row>
    <row r="413" ht="20.05" customHeight="1">
      <c r="A413" s="11"/>
      <c r="B413" t="s" s="9">
        <v>33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  <c r="N413" s="10"/>
      <c r="O413" s="10"/>
      <c r="P413" s="10"/>
    </row>
    <row r="414" ht="20.05" customHeight="1">
      <c r="A414" s="11"/>
      <c r="B414" t="s" s="9">
        <v>33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  <c r="N414" s="10"/>
      <c r="O414" s="10"/>
      <c r="P414" s="10"/>
    </row>
    <row r="415" ht="20.05" customHeight="1">
      <c r="A415" s="11"/>
      <c r="B415" t="s" s="9">
        <v>33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  <c r="N415" s="10"/>
      <c r="O415" s="10"/>
      <c r="P415" s="10"/>
    </row>
    <row r="416" ht="20.05" customHeight="1">
      <c r="A416" s="11"/>
      <c r="B416" t="s" s="9">
        <v>33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  <c r="N416" s="10"/>
      <c r="O416" s="10"/>
      <c r="P416" s="10"/>
    </row>
    <row r="417" ht="20.05" customHeight="1">
      <c r="A417" s="11"/>
      <c r="B417" t="s" s="9">
        <v>33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  <c r="N417" s="10"/>
      <c r="O417" s="10"/>
      <c r="P417" s="10"/>
    </row>
    <row r="418" ht="20.05" customHeight="1">
      <c r="A418" s="11"/>
      <c r="B418" t="s" s="9">
        <v>33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  <c r="N418" s="10"/>
      <c r="O418" s="10"/>
      <c r="P418" s="10"/>
    </row>
    <row r="419" ht="20.05" customHeight="1">
      <c r="A419" s="11"/>
      <c r="B419" t="s" s="9">
        <v>33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  <c r="N419" s="10"/>
      <c r="O419" s="10"/>
      <c r="P419" s="10"/>
    </row>
    <row r="420" ht="20.05" customHeight="1">
      <c r="A420" s="11"/>
      <c r="B420" t="s" s="9">
        <v>33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  <c r="N420" s="10"/>
      <c r="O420" s="10"/>
      <c r="P420" s="10"/>
    </row>
    <row r="421" ht="20.05" customHeight="1">
      <c r="A421" s="11"/>
      <c r="B421" t="s" s="9">
        <v>33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  <c r="N421" s="10"/>
      <c r="O421" s="10"/>
      <c r="P421" s="10"/>
    </row>
    <row r="422" ht="20.05" customHeight="1">
      <c r="A422" s="11"/>
      <c r="B422" t="s" s="9">
        <v>33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  <c r="N422" s="10"/>
      <c r="O422" s="10"/>
      <c r="P422" s="10"/>
    </row>
    <row r="423" ht="20.05" customHeight="1">
      <c r="A423" s="11"/>
      <c r="B423" t="s" s="9">
        <v>33</v>
      </c>
      <c r="C423" s="10"/>
      <c r="D423" s="10"/>
      <c r="E423" s="10"/>
      <c r="F423" t="s" s="17">
        <v>15</v>
      </c>
      <c r="G423" s="16">
        <v>4</v>
      </c>
      <c r="H423" s="10"/>
      <c r="I423" s="10"/>
      <c r="J423" s="10"/>
      <c r="K423" s="16">
        <f>(D423*6)+(E423*4)</f>
        <v>0</v>
      </c>
      <c r="L423" s="10"/>
      <c r="M423" s="10"/>
      <c r="N423" s="10"/>
      <c r="O423" s="10"/>
      <c r="P423" s="10"/>
    </row>
    <row r="424" ht="20.05" customHeight="1">
      <c r="A424" s="11"/>
      <c r="B424" t="s" s="9">
        <v>33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  <c r="N424" s="10"/>
      <c r="O424" s="10"/>
      <c r="P424" s="10"/>
    </row>
    <row r="425" ht="20.05" customHeight="1">
      <c r="A425" s="11"/>
      <c r="B425" t="s" s="9">
        <v>33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  <c r="N425" s="10"/>
      <c r="O425" s="10"/>
      <c r="P425" s="10"/>
    </row>
    <row r="426" ht="20.05" customHeight="1">
      <c r="A426" s="11"/>
      <c r="B426" t="s" s="9">
        <v>33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  <c r="N426" s="10"/>
      <c r="O426" s="10"/>
      <c r="P426" s="10"/>
    </row>
    <row r="427" ht="20.05" customHeight="1">
      <c r="A427" s="11"/>
      <c r="B427" t="s" s="9">
        <v>33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  <c r="N427" s="10"/>
      <c r="O427" s="10"/>
      <c r="P427" s="10"/>
    </row>
    <row r="428" ht="20.05" customHeight="1">
      <c r="A428" s="11"/>
      <c r="B428" t="s" s="9">
        <v>33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  <c r="N428" s="10"/>
      <c r="O428" s="10"/>
      <c r="P428" s="10"/>
    </row>
    <row r="429" ht="20.05" customHeight="1">
      <c r="A429" s="11"/>
      <c r="B429" t="s" s="9">
        <v>33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  <c r="N429" s="10"/>
      <c r="O429" s="10"/>
      <c r="P429" s="10"/>
    </row>
    <row r="430" ht="20.05" customHeight="1">
      <c r="A430" s="11"/>
      <c r="B430" t="s" s="9">
        <v>33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  <c r="N430" s="10"/>
      <c r="O430" s="10"/>
      <c r="P430" s="10"/>
    </row>
    <row r="431" ht="20.05" customHeight="1">
      <c r="A431" s="11"/>
      <c r="B431" t="s" s="9">
        <v>33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  <c r="N431" s="10"/>
      <c r="O431" s="10"/>
      <c r="P431" s="10"/>
    </row>
    <row r="432" ht="20.05" customHeight="1">
      <c r="A432" s="11"/>
      <c r="B432" t="s" s="9">
        <v>33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  <c r="N432" s="10"/>
      <c r="O432" s="10"/>
      <c r="P432" s="10"/>
    </row>
    <row r="433" ht="20.05" customHeight="1">
      <c r="A433" s="11"/>
      <c r="B433" t="s" s="9">
        <v>33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  <c r="N433" s="10"/>
      <c r="O433" s="10"/>
      <c r="P433" s="10"/>
    </row>
    <row r="434" ht="20.05" customHeight="1">
      <c r="A434" s="11"/>
      <c r="B434" t="s" s="9">
        <v>33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  <c r="N434" s="10"/>
      <c r="O434" s="10"/>
      <c r="P434" s="10"/>
    </row>
    <row r="435" ht="20.05" customHeight="1">
      <c r="A435" s="11"/>
      <c r="B435" t="s" s="9">
        <v>33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  <c r="N435" s="10"/>
      <c r="O435" s="10"/>
      <c r="P435" s="10"/>
    </row>
    <row r="436" ht="20.05" customHeight="1">
      <c r="A436" s="11"/>
      <c r="B436" t="s" s="9">
        <v>33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  <c r="N436" s="10"/>
      <c r="O436" s="10"/>
      <c r="P436" s="10"/>
    </row>
    <row r="437" ht="20.05" customHeight="1">
      <c r="A437" s="11"/>
      <c r="B437" t="s" s="9">
        <v>33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  <c r="N437" s="10"/>
      <c r="O437" s="10"/>
      <c r="P437" s="10"/>
    </row>
    <row r="438" ht="20.05" customHeight="1">
      <c r="A438" s="11"/>
      <c r="B438" t="s" s="9">
        <v>33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  <c r="N438" s="10"/>
      <c r="O438" s="10"/>
      <c r="P438" s="10"/>
    </row>
    <row r="439" ht="20.05" customHeight="1">
      <c r="A439" s="11"/>
      <c r="B439" t="s" s="9">
        <v>33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596</v>
      </c>
      <c r="I2" t="s" s="3">
        <v>597</v>
      </c>
      <c r="J2" t="s" s="3">
        <v>598</v>
      </c>
      <c r="K2" t="s" s="3">
        <v>599</v>
      </c>
      <c r="L2" t="s" s="3">
        <v>600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601</v>
      </c>
      <c r="B3" t="s" s="6">
        <v>602</v>
      </c>
      <c r="C3" s="7"/>
      <c r="D3" s="14">
        <v>125</v>
      </c>
      <c r="E3" s="14">
        <v>90</v>
      </c>
      <c r="F3" t="s" s="15">
        <v>3</v>
      </c>
      <c r="G3" s="7"/>
      <c r="H3" t="s" s="15">
        <v>39</v>
      </c>
      <c r="I3" t="s" s="15">
        <v>39</v>
      </c>
      <c r="J3" t="s" s="15">
        <v>603</v>
      </c>
      <c r="K3" t="s" s="15">
        <v>604</v>
      </c>
      <c r="L3" t="s" s="15">
        <v>605</v>
      </c>
      <c r="M3" s="7"/>
      <c r="N3" t="s" s="15">
        <v>35</v>
      </c>
      <c r="O3" s="7"/>
    </row>
    <row r="4" ht="80.05" customHeight="1">
      <c r="A4" t="s" s="8">
        <v>606</v>
      </c>
      <c r="B4" t="s" s="9">
        <v>602</v>
      </c>
      <c r="C4" s="10"/>
      <c r="D4" s="16">
        <v>120</v>
      </c>
      <c r="E4" s="16">
        <v>120</v>
      </c>
      <c r="F4" t="s" s="17">
        <v>3</v>
      </c>
      <c r="G4" s="10"/>
      <c r="H4" t="s" s="17">
        <v>607</v>
      </c>
      <c r="I4" t="s" s="17">
        <v>608</v>
      </c>
      <c r="J4" t="s" s="17">
        <v>609</v>
      </c>
      <c r="K4" t="s" s="17">
        <v>610</v>
      </c>
      <c r="L4" t="s" s="17">
        <v>611</v>
      </c>
      <c r="M4" s="10"/>
      <c r="N4" t="s" s="17">
        <v>35</v>
      </c>
      <c r="O4" s="10"/>
    </row>
    <row r="5" ht="68.05" customHeight="1">
      <c r="A5" t="s" s="8">
        <v>612</v>
      </c>
      <c r="B5" t="s" s="9">
        <v>602</v>
      </c>
      <c r="C5" s="10"/>
      <c r="D5" s="16">
        <v>0</v>
      </c>
      <c r="E5" s="16">
        <v>220</v>
      </c>
      <c r="F5" t="s" s="17">
        <v>9</v>
      </c>
      <c r="G5" s="10"/>
      <c r="H5" t="s" s="17">
        <v>39</v>
      </c>
      <c r="I5" t="s" s="17">
        <v>39</v>
      </c>
      <c r="J5" t="s" s="17">
        <v>613</v>
      </c>
      <c r="K5" t="s" s="17">
        <v>614</v>
      </c>
      <c r="L5" t="s" s="17">
        <v>615</v>
      </c>
      <c r="M5" s="10"/>
      <c r="N5" t="s" s="17">
        <v>35</v>
      </c>
      <c r="O5" s="10"/>
    </row>
    <row r="6" ht="68.05" customHeight="1">
      <c r="A6" t="s" s="8">
        <v>616</v>
      </c>
      <c r="B6" t="s" s="9">
        <v>602</v>
      </c>
      <c r="C6" s="10"/>
      <c r="D6" s="16">
        <v>150</v>
      </c>
      <c r="E6" s="16">
        <v>130</v>
      </c>
      <c r="F6" t="s" s="17">
        <v>9</v>
      </c>
      <c r="G6" s="10"/>
      <c r="H6" t="s" s="17">
        <v>39</v>
      </c>
      <c r="I6" t="s" s="17">
        <v>39</v>
      </c>
      <c r="J6" t="s" s="17">
        <v>617</v>
      </c>
      <c r="K6" t="s" s="17">
        <v>618</v>
      </c>
      <c r="L6" t="s" s="17">
        <v>619</v>
      </c>
      <c r="M6" s="10"/>
      <c r="N6" t="s" s="17">
        <v>35</v>
      </c>
      <c r="O6" s="10"/>
    </row>
    <row r="7" ht="68.05" customHeight="1">
      <c r="A7" t="s" s="8">
        <v>620</v>
      </c>
      <c r="B7" t="s" s="9">
        <v>602</v>
      </c>
      <c r="C7" s="10"/>
      <c r="D7" s="16">
        <v>90</v>
      </c>
      <c r="E7" s="16">
        <v>110</v>
      </c>
      <c r="F7" t="s" s="17">
        <v>11</v>
      </c>
      <c r="G7" s="10"/>
      <c r="H7" t="s" s="17">
        <v>621</v>
      </c>
      <c r="I7" t="s" s="17">
        <v>622</v>
      </c>
      <c r="J7" t="s" s="17">
        <v>623</v>
      </c>
      <c r="K7" t="s" s="17">
        <v>624</v>
      </c>
      <c r="L7" t="s" s="17">
        <v>625</v>
      </c>
      <c r="M7" s="10"/>
      <c r="N7" s="10"/>
      <c r="O7" s="10"/>
    </row>
    <row r="8" ht="80.05" customHeight="1">
      <c r="A8" t="s" s="8">
        <v>626</v>
      </c>
      <c r="B8" t="s" s="9">
        <v>602</v>
      </c>
      <c r="C8" s="10"/>
      <c r="D8" s="16">
        <v>145</v>
      </c>
      <c r="E8" s="16">
        <v>100</v>
      </c>
      <c r="F8" t="s" s="17">
        <v>13</v>
      </c>
      <c r="G8" s="10"/>
      <c r="H8" t="s" s="17">
        <v>627</v>
      </c>
      <c r="I8" t="s" s="17">
        <v>628</v>
      </c>
      <c r="J8" t="s" s="17">
        <v>629</v>
      </c>
      <c r="K8" t="s" s="17">
        <v>630</v>
      </c>
      <c r="L8" t="s" s="17">
        <v>631</v>
      </c>
      <c r="M8" s="10"/>
      <c r="N8" s="10"/>
      <c r="O8" s="10"/>
    </row>
    <row r="9" ht="92.05" customHeight="1">
      <c r="A9" t="s" s="8">
        <v>632</v>
      </c>
      <c r="B9" t="s" s="9">
        <v>602</v>
      </c>
      <c r="C9" s="10"/>
      <c r="D9" s="16">
        <v>50</v>
      </c>
      <c r="E9" s="16">
        <v>50</v>
      </c>
      <c r="F9" t="s" s="17">
        <v>15</v>
      </c>
      <c r="G9" s="10"/>
      <c r="H9" t="s" s="17">
        <v>633</v>
      </c>
      <c r="I9" t="s" s="17">
        <v>634</v>
      </c>
      <c r="J9" t="s" s="17">
        <v>635</v>
      </c>
      <c r="K9" t="s" s="17">
        <v>636</v>
      </c>
      <c r="L9" t="s" s="17">
        <v>637</v>
      </c>
      <c r="M9" s="10"/>
      <c r="N9" t="s" s="17">
        <v>35</v>
      </c>
      <c r="O9" s="10"/>
    </row>
    <row r="10" ht="68.05" customHeight="1">
      <c r="A10" t="s" s="8">
        <v>638</v>
      </c>
      <c r="B10" t="s" s="9">
        <v>602</v>
      </c>
      <c r="C10" s="10"/>
      <c r="D10" s="16">
        <v>80</v>
      </c>
      <c r="E10" s="16">
        <v>60</v>
      </c>
      <c r="F10" t="s" s="17">
        <v>13</v>
      </c>
      <c r="G10" s="10"/>
      <c r="H10" t="s" s="17">
        <v>639</v>
      </c>
      <c r="I10" t="s" s="17">
        <v>640</v>
      </c>
      <c r="J10" t="s" s="17">
        <v>603</v>
      </c>
      <c r="K10" t="s" s="17">
        <v>641</v>
      </c>
      <c r="L10" t="s" s="17">
        <v>642</v>
      </c>
      <c r="M10" s="10"/>
      <c r="N10" s="10"/>
      <c r="O10" s="10"/>
    </row>
    <row r="11" ht="68.05" customHeight="1">
      <c r="A11" t="s" s="8">
        <v>643</v>
      </c>
      <c r="B11" t="s" s="9">
        <v>602</v>
      </c>
      <c r="C11" s="10"/>
      <c r="D11" s="16">
        <v>100</v>
      </c>
      <c r="E11" s="16">
        <v>70</v>
      </c>
      <c r="F11" t="s" s="17">
        <v>13</v>
      </c>
      <c r="G11" s="10"/>
      <c r="H11" t="s" s="17">
        <v>644</v>
      </c>
      <c r="I11" t="s" s="17">
        <v>645</v>
      </c>
      <c r="J11" t="s" s="17">
        <v>646</v>
      </c>
      <c r="K11" t="s" s="17">
        <v>647</v>
      </c>
      <c r="L11" t="s" s="17">
        <v>648</v>
      </c>
      <c r="M11" s="10"/>
      <c r="N11" s="10"/>
      <c r="O11" s="10"/>
    </row>
    <row r="12" ht="68.05" customHeight="1">
      <c r="A12" t="s" s="8">
        <v>649</v>
      </c>
      <c r="B12" t="s" s="9">
        <v>602</v>
      </c>
      <c r="C12" s="10"/>
      <c r="D12" s="16">
        <v>150</v>
      </c>
      <c r="E12" s="16">
        <v>0</v>
      </c>
      <c r="F12" t="s" s="17">
        <v>11</v>
      </c>
      <c r="G12" s="10"/>
      <c r="H12" t="s" s="17">
        <v>650</v>
      </c>
      <c r="I12" t="s" s="17">
        <v>651</v>
      </c>
      <c r="J12" t="s" s="17">
        <v>652</v>
      </c>
      <c r="K12" t="s" s="17">
        <v>653</v>
      </c>
      <c r="L12" t="s" s="17">
        <v>654</v>
      </c>
      <c r="M12" s="10"/>
      <c r="N12" s="10"/>
      <c r="O12" s="10"/>
    </row>
    <row r="13" ht="68.05" customHeight="1">
      <c r="A13" t="s" s="8">
        <v>655</v>
      </c>
      <c r="B13" t="s" s="9">
        <v>602</v>
      </c>
      <c r="C13" s="10"/>
      <c r="D13" s="16">
        <v>120</v>
      </c>
      <c r="E13" s="16">
        <v>120</v>
      </c>
      <c r="F13" t="s" s="17">
        <v>3</v>
      </c>
      <c r="G13" s="10"/>
      <c r="H13" t="s" s="17">
        <v>656</v>
      </c>
      <c r="I13" t="s" s="17">
        <v>657</v>
      </c>
      <c r="J13" t="s" s="17">
        <v>609</v>
      </c>
      <c r="K13" t="s" s="17">
        <v>658</v>
      </c>
      <c r="L13" t="s" s="17">
        <v>659</v>
      </c>
      <c r="M13" s="10"/>
      <c r="N13" s="10"/>
      <c r="O13" s="10"/>
    </row>
    <row r="14" ht="68.05" customHeight="1">
      <c r="A14" t="s" s="8">
        <v>660</v>
      </c>
      <c r="B14" t="s" s="9">
        <v>602</v>
      </c>
      <c r="C14" s="10"/>
      <c r="D14" s="16">
        <v>130</v>
      </c>
      <c r="E14" s="16">
        <v>110</v>
      </c>
      <c r="F14" t="s" s="17">
        <v>11</v>
      </c>
      <c r="G14" s="10"/>
      <c r="H14" t="s" s="17">
        <v>39</v>
      </c>
      <c r="I14" t="s" s="17">
        <v>39</v>
      </c>
      <c r="J14" t="s" s="17">
        <v>661</v>
      </c>
      <c r="K14" t="s" s="17">
        <v>662</v>
      </c>
      <c r="L14" t="s" s="17">
        <v>663</v>
      </c>
      <c r="M14" s="10"/>
      <c r="N14" t="s" s="17">
        <v>35</v>
      </c>
      <c r="O14" s="10"/>
    </row>
    <row r="15" ht="68.05" customHeight="1">
      <c r="A15" t="s" s="8">
        <v>664</v>
      </c>
      <c r="B15" t="s" s="9">
        <v>602</v>
      </c>
      <c r="C15" s="10"/>
      <c r="D15" s="16">
        <v>200</v>
      </c>
      <c r="E15" s="16">
        <v>100</v>
      </c>
      <c r="F15" t="s" s="17">
        <v>5</v>
      </c>
      <c r="G15" s="10"/>
      <c r="H15" t="s" s="17">
        <v>665</v>
      </c>
      <c r="I15" t="s" s="17">
        <v>666</v>
      </c>
      <c r="J15" t="s" s="17">
        <v>652</v>
      </c>
      <c r="K15" t="s" s="17">
        <v>667</v>
      </c>
      <c r="L15" t="s" s="17">
        <v>668</v>
      </c>
      <c r="M15" s="10"/>
      <c r="N15" t="s" s="17">
        <v>35</v>
      </c>
      <c r="O15" s="10"/>
    </row>
    <row r="16" ht="68.05" customHeight="1">
      <c r="A16" t="s" s="8">
        <v>669</v>
      </c>
      <c r="B16" t="s" s="9">
        <v>602</v>
      </c>
      <c r="C16" s="10"/>
      <c r="D16" s="16">
        <v>100</v>
      </c>
      <c r="E16" s="16">
        <v>60</v>
      </c>
      <c r="F16" t="s" s="17">
        <v>9</v>
      </c>
      <c r="G16" s="10"/>
      <c r="H16" t="s" s="17">
        <v>670</v>
      </c>
      <c r="I16" t="s" s="17">
        <v>671</v>
      </c>
      <c r="J16" t="s" s="17">
        <v>603</v>
      </c>
      <c r="K16" t="s" s="17">
        <v>672</v>
      </c>
      <c r="L16" t="s" s="17">
        <v>673</v>
      </c>
      <c r="M16" s="10"/>
      <c r="N16" t="s" s="17">
        <v>35</v>
      </c>
      <c r="O16" s="10"/>
    </row>
    <row r="17" ht="68.05" customHeight="1">
      <c r="A17" t="s" s="8">
        <v>674</v>
      </c>
      <c r="B17" t="s" s="9">
        <v>602</v>
      </c>
      <c r="C17" s="10"/>
      <c r="D17" s="16">
        <v>30</v>
      </c>
      <c r="E17" s="16">
        <v>50</v>
      </c>
      <c r="F17" t="s" s="17">
        <v>5</v>
      </c>
      <c r="G17" s="10"/>
      <c r="H17" t="s" s="17">
        <v>675</v>
      </c>
      <c r="I17" t="s" s="17">
        <v>676</v>
      </c>
      <c r="J17" t="s" s="17">
        <v>603</v>
      </c>
      <c r="K17" t="s" s="17">
        <v>677</v>
      </c>
      <c r="L17" t="s" s="17">
        <v>678</v>
      </c>
      <c r="M17" s="10"/>
      <c r="N17" t="s" s="17">
        <v>35</v>
      </c>
      <c r="O17" s="10"/>
    </row>
    <row r="18" ht="68.05" customHeight="1">
      <c r="A18" t="s" s="8">
        <v>679</v>
      </c>
      <c r="B18" t="s" s="9">
        <v>602</v>
      </c>
      <c r="C18" s="10"/>
      <c r="D18" s="16">
        <v>30</v>
      </c>
      <c r="E18" s="16">
        <v>30</v>
      </c>
      <c r="F18" t="s" s="17">
        <v>3</v>
      </c>
      <c r="G18" s="10"/>
      <c r="H18" t="s" s="17">
        <v>680</v>
      </c>
      <c r="I18" t="s" s="17">
        <v>681</v>
      </c>
      <c r="J18" t="s" s="17">
        <v>661</v>
      </c>
      <c r="K18" t="s" s="17">
        <v>682</v>
      </c>
      <c r="L18" t="s" s="17">
        <v>683</v>
      </c>
      <c r="M18" s="10"/>
      <c r="N18" t="s" s="17">
        <v>35</v>
      </c>
      <c r="O18" s="10"/>
    </row>
    <row r="19" ht="68.05" customHeight="1">
      <c r="A19" t="s" s="8">
        <v>684</v>
      </c>
      <c r="B19" t="s" s="9">
        <v>602</v>
      </c>
      <c r="C19" s="10"/>
      <c r="D19" s="16">
        <v>50</v>
      </c>
      <c r="E19" s="16">
        <v>35</v>
      </c>
      <c r="F19" t="s" s="17">
        <v>3</v>
      </c>
      <c r="G19" s="10"/>
      <c r="H19" t="s" s="17">
        <v>685</v>
      </c>
      <c r="I19" t="s" s="17">
        <v>686</v>
      </c>
      <c r="J19" t="s" s="17">
        <v>603</v>
      </c>
      <c r="K19" t="s" s="17">
        <v>687</v>
      </c>
      <c r="L19" t="s" s="17">
        <v>631</v>
      </c>
      <c r="M19" s="10"/>
      <c r="N19" t="s" s="17">
        <v>35</v>
      </c>
      <c r="O19" s="10"/>
    </row>
    <row r="20" ht="68.05" customHeight="1">
      <c r="A20" t="s" s="8">
        <v>688</v>
      </c>
      <c r="B20" t="s" s="9">
        <v>602</v>
      </c>
      <c r="C20" s="10"/>
      <c r="D20" s="16">
        <v>35</v>
      </c>
      <c r="E20" s="16">
        <v>35</v>
      </c>
      <c r="F20" t="s" s="17">
        <v>3</v>
      </c>
      <c r="G20" s="10"/>
      <c r="H20" t="s" s="17">
        <v>689</v>
      </c>
      <c r="I20" t="s" s="17">
        <v>690</v>
      </c>
      <c r="J20" t="s" s="17">
        <v>691</v>
      </c>
      <c r="K20" t="s" s="17">
        <v>692</v>
      </c>
      <c r="L20" t="s" s="17">
        <v>693</v>
      </c>
      <c r="M20" s="10"/>
      <c r="N20" t="s" s="17">
        <v>35</v>
      </c>
      <c r="O20" s="10"/>
    </row>
    <row r="21" ht="68.05" customHeight="1">
      <c r="A21" t="s" s="8">
        <v>694</v>
      </c>
      <c r="B21" t="s" s="9">
        <v>602</v>
      </c>
      <c r="C21" s="10"/>
      <c r="D21" s="16">
        <v>60</v>
      </c>
      <c r="E21" s="16">
        <v>40</v>
      </c>
      <c r="F21" t="s" s="17">
        <v>3</v>
      </c>
      <c r="G21" s="10"/>
      <c r="H21" t="s" s="17">
        <v>695</v>
      </c>
      <c r="I21" t="s" s="17">
        <v>696</v>
      </c>
      <c r="J21" t="s" s="17">
        <v>603</v>
      </c>
      <c r="K21" t="s" s="17">
        <v>697</v>
      </c>
      <c r="L21" t="s" s="17">
        <v>698</v>
      </c>
      <c r="M21" s="10"/>
      <c r="N21" s="10"/>
      <c r="O21" s="10"/>
    </row>
    <row r="22" ht="68.05" customHeight="1">
      <c r="A22" t="s" s="8">
        <v>699</v>
      </c>
      <c r="B22" t="s" s="9">
        <v>602</v>
      </c>
      <c r="C22" s="10"/>
      <c r="D22" s="16">
        <v>40</v>
      </c>
      <c r="E22" s="16">
        <v>65</v>
      </c>
      <c r="F22" t="s" s="17">
        <v>3</v>
      </c>
      <c r="G22" s="10"/>
      <c r="H22" t="s" s="17">
        <v>700</v>
      </c>
      <c r="I22" t="s" s="17">
        <v>701</v>
      </c>
      <c r="J22" t="s" s="17">
        <v>702</v>
      </c>
      <c r="K22" t="s" s="17">
        <v>703</v>
      </c>
      <c r="L22" t="s" s="17">
        <v>704</v>
      </c>
      <c r="M22" s="10"/>
      <c r="N22" s="10"/>
      <c r="O22" s="10"/>
    </row>
    <row r="23" ht="80.05" customHeight="1">
      <c r="A23" t="s" s="8">
        <v>705</v>
      </c>
      <c r="B23" t="s" s="9">
        <v>602</v>
      </c>
      <c r="C23" s="10"/>
      <c r="D23" s="16">
        <v>70</v>
      </c>
      <c r="E23" s="16">
        <v>35</v>
      </c>
      <c r="F23" t="s" s="17">
        <v>3</v>
      </c>
      <c r="G23" s="10"/>
      <c r="H23" t="s" s="17">
        <v>706</v>
      </c>
      <c r="I23" t="s" s="17">
        <v>707</v>
      </c>
      <c r="J23" t="s" s="17">
        <v>708</v>
      </c>
      <c r="K23" t="s" s="17">
        <v>709</v>
      </c>
      <c r="L23" t="s" s="17">
        <v>710</v>
      </c>
      <c r="M23" s="10"/>
      <c r="N23" s="10"/>
      <c r="O23" s="10"/>
    </row>
    <row r="24" ht="68.05" customHeight="1">
      <c r="A24" t="s" s="8">
        <v>711</v>
      </c>
      <c r="B24" t="s" s="9">
        <v>602</v>
      </c>
      <c r="C24" s="10"/>
      <c r="D24" s="16">
        <v>90</v>
      </c>
      <c r="E24" s="16">
        <v>80</v>
      </c>
      <c r="F24" t="s" s="17">
        <v>3</v>
      </c>
      <c r="G24" s="10"/>
      <c r="H24" t="s" s="17">
        <v>712</v>
      </c>
      <c r="I24" t="s" s="17">
        <v>713</v>
      </c>
      <c r="J24" t="s" s="17">
        <v>714</v>
      </c>
      <c r="K24" t="s" s="17">
        <v>715</v>
      </c>
      <c r="L24" t="s" s="17">
        <v>716</v>
      </c>
      <c r="M24" s="10"/>
      <c r="N24" s="10"/>
      <c r="O24" s="10"/>
    </row>
    <row r="25" ht="68.05" customHeight="1">
      <c r="A25" t="s" s="8">
        <v>717</v>
      </c>
      <c r="B25" t="s" s="9">
        <v>602</v>
      </c>
      <c r="C25" s="10"/>
      <c r="D25" s="16">
        <v>70</v>
      </c>
      <c r="E25" s="16">
        <v>50</v>
      </c>
      <c r="F25" t="s" s="17">
        <v>3</v>
      </c>
      <c r="G25" s="10"/>
      <c r="H25" t="s" s="17">
        <v>718</v>
      </c>
      <c r="I25" t="s" s="17">
        <v>719</v>
      </c>
      <c r="J25" t="s" s="17">
        <v>603</v>
      </c>
      <c r="K25" t="s" s="17">
        <v>720</v>
      </c>
      <c r="L25" t="s" s="17">
        <v>721</v>
      </c>
      <c r="M25" s="10"/>
      <c r="N25" s="10"/>
      <c r="O25" s="10"/>
    </row>
    <row r="26" ht="68.05" customHeight="1">
      <c r="A26" t="s" s="8">
        <v>722</v>
      </c>
      <c r="B26" t="s" s="9">
        <v>602</v>
      </c>
      <c r="C26" s="10"/>
      <c r="D26" s="16">
        <v>80</v>
      </c>
      <c r="E26" s="16">
        <v>80</v>
      </c>
      <c r="F26" t="s" s="17">
        <v>3</v>
      </c>
      <c r="G26" s="10"/>
      <c r="H26" t="s" s="17">
        <v>39</v>
      </c>
      <c r="I26" t="s" s="17">
        <v>39</v>
      </c>
      <c r="J26" t="s" s="17">
        <v>603</v>
      </c>
      <c r="K26" t="s" s="17">
        <v>723</v>
      </c>
      <c r="L26" t="s" s="17">
        <v>724</v>
      </c>
      <c r="M26" s="10"/>
      <c r="N26" t="s" s="17">
        <v>35</v>
      </c>
      <c r="O26" s="10"/>
    </row>
    <row r="27" ht="68.05" customHeight="1">
      <c r="A27" t="s" s="8">
        <v>725</v>
      </c>
      <c r="B27" t="s" s="9">
        <v>602</v>
      </c>
      <c r="C27" s="10"/>
      <c r="D27" s="16">
        <v>45</v>
      </c>
      <c r="E27" s="16">
        <v>45</v>
      </c>
      <c r="F27" t="s" s="17">
        <v>3</v>
      </c>
      <c r="G27" s="10"/>
      <c r="H27" t="s" s="17">
        <v>726</v>
      </c>
      <c r="I27" t="s" s="17">
        <v>727</v>
      </c>
      <c r="J27" t="s" s="17">
        <v>603</v>
      </c>
      <c r="K27" t="s" s="17">
        <v>728</v>
      </c>
      <c r="L27" t="s" s="17">
        <v>729</v>
      </c>
      <c r="M27" s="10"/>
      <c r="N27" s="10"/>
      <c r="O27" s="10"/>
    </row>
    <row r="28" ht="92.05" customHeight="1">
      <c r="A28" t="s" s="8">
        <v>730</v>
      </c>
      <c r="B28" t="s" s="9">
        <v>602</v>
      </c>
      <c r="C28" s="10"/>
      <c r="D28" s="16">
        <v>0</v>
      </c>
      <c r="E28" s="16">
        <v>0</v>
      </c>
      <c r="F28" t="s" s="17">
        <v>3</v>
      </c>
      <c r="G28" s="10"/>
      <c r="H28" t="s" s="17">
        <v>731</v>
      </c>
      <c r="I28" t="s" s="17">
        <v>732</v>
      </c>
      <c r="J28" t="s" s="17">
        <v>603</v>
      </c>
      <c r="K28" t="s" s="17">
        <v>733</v>
      </c>
      <c r="L28" t="s" s="17">
        <v>734</v>
      </c>
      <c r="M28" s="10"/>
      <c r="N28" t="s" s="17">
        <v>35</v>
      </c>
      <c r="O28" s="10"/>
    </row>
    <row r="29" ht="68.05" customHeight="1">
      <c r="A29" t="s" s="8">
        <v>735</v>
      </c>
      <c r="B29" t="s" s="9">
        <v>602</v>
      </c>
      <c r="C29" s="10"/>
      <c r="D29" s="16">
        <v>40</v>
      </c>
      <c r="E29" s="16">
        <v>30</v>
      </c>
      <c r="F29" t="s" s="17">
        <v>3</v>
      </c>
      <c r="G29" s="10"/>
      <c r="H29" t="s" s="17">
        <v>736</v>
      </c>
      <c r="I29" t="s" s="17">
        <v>737</v>
      </c>
      <c r="J29" t="s" s="17">
        <v>738</v>
      </c>
      <c r="K29" t="s" s="17">
        <v>739</v>
      </c>
      <c r="L29" t="s" s="17">
        <v>740</v>
      </c>
      <c r="M29" s="10"/>
      <c r="N29" s="10"/>
      <c r="O29" s="10"/>
    </row>
    <row r="30" ht="68.05" customHeight="1">
      <c r="A30" t="s" s="8">
        <v>741</v>
      </c>
      <c r="B30" t="s" s="9">
        <v>602</v>
      </c>
      <c r="C30" s="10"/>
      <c r="D30" s="16">
        <v>100</v>
      </c>
      <c r="E30" s="16">
        <v>50</v>
      </c>
      <c r="F30" t="s" s="17">
        <v>3</v>
      </c>
      <c r="G30" s="10"/>
      <c r="H30" t="s" s="17">
        <v>39</v>
      </c>
      <c r="I30" t="s" s="17">
        <v>39</v>
      </c>
      <c r="J30" t="s" s="17">
        <v>609</v>
      </c>
      <c r="K30" t="s" s="17">
        <v>742</v>
      </c>
      <c r="L30" t="s" s="17">
        <v>743</v>
      </c>
      <c r="M30" s="10"/>
      <c r="N30" s="10"/>
      <c r="O30" s="10"/>
    </row>
    <row r="31" ht="80.05" customHeight="1">
      <c r="A31" t="s" s="8">
        <v>744</v>
      </c>
      <c r="B31" t="s" s="9">
        <v>602</v>
      </c>
      <c r="C31" s="10"/>
      <c r="D31" s="16">
        <v>100</v>
      </c>
      <c r="E31" s="16">
        <v>100</v>
      </c>
      <c r="F31" t="s" s="17">
        <v>3</v>
      </c>
      <c r="G31" s="10"/>
      <c r="H31" t="s" s="17">
        <v>745</v>
      </c>
      <c r="I31" t="s" s="17">
        <v>746</v>
      </c>
      <c r="J31" t="s" s="17">
        <v>646</v>
      </c>
      <c r="K31" t="s" s="17">
        <v>747</v>
      </c>
      <c r="L31" t="s" s="17">
        <v>748</v>
      </c>
      <c r="M31" s="10"/>
      <c r="N31" s="10"/>
      <c r="O31" s="10"/>
    </row>
    <row r="32" ht="68.05" customHeight="1">
      <c r="A32" t="s" s="8">
        <v>749</v>
      </c>
      <c r="B32" t="s" s="9">
        <v>602</v>
      </c>
      <c r="C32" s="10"/>
      <c r="D32" s="16">
        <v>20</v>
      </c>
      <c r="E32" s="16">
        <v>80</v>
      </c>
      <c r="F32" t="s" s="17">
        <v>13</v>
      </c>
      <c r="G32" s="10"/>
      <c r="H32" t="s" s="17">
        <v>750</v>
      </c>
      <c r="I32" t="s" s="17">
        <v>751</v>
      </c>
      <c r="J32" t="s" s="17">
        <v>603</v>
      </c>
      <c r="K32" t="s" s="17">
        <v>752</v>
      </c>
      <c r="L32" t="s" s="17">
        <v>753</v>
      </c>
      <c r="M32" s="10"/>
      <c r="N32" t="s" s="17">
        <v>35</v>
      </c>
      <c r="O32" s="10"/>
    </row>
    <row r="33" ht="68.05" customHeight="1">
      <c r="A33" t="s" s="8">
        <v>754</v>
      </c>
      <c r="B33" t="s" s="9">
        <v>602</v>
      </c>
      <c r="C33" s="10"/>
      <c r="D33" s="16">
        <v>35</v>
      </c>
      <c r="E33" s="16">
        <v>35</v>
      </c>
      <c r="F33" t="s" s="17">
        <v>5</v>
      </c>
      <c r="G33" s="10"/>
      <c r="H33" t="s" s="17">
        <v>39</v>
      </c>
      <c r="I33" t="s" s="17">
        <v>39</v>
      </c>
      <c r="J33" t="s" s="17">
        <v>603</v>
      </c>
      <c r="K33" t="s" s="17">
        <v>755</v>
      </c>
      <c r="L33" t="s" s="17">
        <v>756</v>
      </c>
      <c r="M33" s="10"/>
      <c r="N33" t="s" s="17">
        <v>35</v>
      </c>
      <c r="O33" s="10"/>
    </row>
    <row r="34" ht="68.05" customHeight="1">
      <c r="A34" t="s" s="8">
        <v>757</v>
      </c>
      <c r="B34" t="s" s="9">
        <v>602</v>
      </c>
      <c r="C34" s="10"/>
      <c r="D34" s="16">
        <v>45</v>
      </c>
      <c r="E34" s="16">
        <v>30</v>
      </c>
      <c r="F34" t="s" s="17">
        <v>5</v>
      </c>
      <c r="G34" s="10"/>
      <c r="H34" t="s" s="17">
        <v>758</v>
      </c>
      <c r="I34" t="s" s="17">
        <v>759</v>
      </c>
      <c r="J34" t="s" s="17">
        <v>603</v>
      </c>
      <c r="K34" t="s" s="17">
        <v>760</v>
      </c>
      <c r="L34" t="s" s="17">
        <v>761</v>
      </c>
      <c r="M34" s="10"/>
      <c r="N34" t="s" s="17">
        <v>35</v>
      </c>
      <c r="O34" s="10"/>
    </row>
    <row r="35" ht="68.05" customHeight="1">
      <c r="A35" t="s" s="8">
        <v>762</v>
      </c>
      <c r="B35" t="s" s="9">
        <v>602</v>
      </c>
      <c r="C35" s="10"/>
      <c r="D35" s="16">
        <v>50</v>
      </c>
      <c r="E35" s="16">
        <v>5</v>
      </c>
      <c r="F35" t="s" s="17">
        <v>5</v>
      </c>
      <c r="G35" s="10"/>
      <c r="H35" t="s" s="17">
        <v>39</v>
      </c>
      <c r="I35" t="s" s="17">
        <v>39</v>
      </c>
      <c r="J35" t="s" s="17">
        <v>691</v>
      </c>
      <c r="K35" t="s" s="17">
        <v>763</v>
      </c>
      <c r="L35" t="s" s="17">
        <v>764</v>
      </c>
      <c r="M35" s="10"/>
      <c r="N35" t="s" s="17">
        <v>35</v>
      </c>
      <c r="O35" s="10"/>
    </row>
    <row r="36" ht="68.05" customHeight="1">
      <c r="A36" t="s" s="8">
        <v>765</v>
      </c>
      <c r="B36" t="s" s="9">
        <v>602</v>
      </c>
      <c r="C36" s="10"/>
      <c r="D36" s="16">
        <v>200</v>
      </c>
      <c r="E36" s="16">
        <v>0</v>
      </c>
      <c r="F36" t="s" s="17">
        <v>5</v>
      </c>
      <c r="G36" s="10"/>
      <c r="H36" t="s" s="17">
        <v>766</v>
      </c>
      <c r="I36" t="s" s="17">
        <v>767</v>
      </c>
      <c r="J36" t="s" s="17">
        <v>768</v>
      </c>
      <c r="K36" t="s" s="17">
        <v>769</v>
      </c>
      <c r="L36" t="s" s="17">
        <v>770</v>
      </c>
      <c r="M36" s="10"/>
      <c r="N36" s="10"/>
      <c r="O36" s="10"/>
    </row>
    <row r="37" ht="68.05" customHeight="1">
      <c r="A37" t="s" s="8">
        <v>771</v>
      </c>
      <c r="B37" t="s" s="9">
        <v>602</v>
      </c>
      <c r="C37" s="10"/>
      <c r="D37" s="16">
        <v>75</v>
      </c>
      <c r="E37" s="16">
        <v>50</v>
      </c>
      <c r="F37" t="s" s="17">
        <v>9</v>
      </c>
      <c r="G37" s="10"/>
      <c r="H37" t="s" s="17">
        <v>39</v>
      </c>
      <c r="I37" t="s" s="17">
        <v>39</v>
      </c>
      <c r="J37" t="s" s="17">
        <v>691</v>
      </c>
      <c r="K37" t="s" s="17">
        <v>772</v>
      </c>
      <c r="L37" t="s" s="17">
        <v>773</v>
      </c>
      <c r="M37" s="10"/>
      <c r="N37" t="s" s="17">
        <v>35</v>
      </c>
      <c r="O37" s="10"/>
    </row>
    <row r="38" ht="80.05" customHeight="1">
      <c r="A38" t="s" s="8">
        <v>774</v>
      </c>
      <c r="B38" t="s" s="9">
        <v>602</v>
      </c>
      <c r="C38" s="10"/>
      <c r="D38" s="16">
        <v>250</v>
      </c>
      <c r="E38" s="16">
        <v>180</v>
      </c>
      <c r="F38" t="s" s="17">
        <v>9</v>
      </c>
      <c r="G38" s="10"/>
      <c r="H38" t="s" s="17">
        <v>775</v>
      </c>
      <c r="I38" t="s" s="17">
        <v>776</v>
      </c>
      <c r="J38" t="s" s="17">
        <v>777</v>
      </c>
      <c r="K38" t="s" s="17">
        <v>778</v>
      </c>
      <c r="L38" t="s" s="17">
        <v>779</v>
      </c>
      <c r="M38" s="10"/>
      <c r="N38" s="10"/>
      <c r="O38" s="10"/>
    </row>
    <row r="39" ht="80.05" customHeight="1">
      <c r="A39" t="s" s="8">
        <v>780</v>
      </c>
      <c r="B39" t="s" s="9">
        <v>602</v>
      </c>
      <c r="C39" s="10"/>
      <c r="D39" s="16">
        <v>150</v>
      </c>
      <c r="E39" s="16">
        <v>100</v>
      </c>
      <c r="F39" t="s" s="17">
        <v>9</v>
      </c>
      <c r="G39" s="10"/>
      <c r="H39" t="s" s="17">
        <v>781</v>
      </c>
      <c r="I39" t="s" s="17">
        <v>782</v>
      </c>
      <c r="J39" t="s" s="17">
        <v>609</v>
      </c>
      <c r="K39" t="s" s="17">
        <v>783</v>
      </c>
      <c r="L39" t="s" s="17">
        <v>784</v>
      </c>
      <c r="M39" s="10"/>
      <c r="N39" t="s" s="17">
        <v>35</v>
      </c>
      <c r="O39" s="10"/>
    </row>
    <row r="40" ht="68.05" customHeight="1">
      <c r="A40" t="s" s="8">
        <v>785</v>
      </c>
      <c r="B40" t="s" s="9">
        <v>602</v>
      </c>
      <c r="C40" s="10"/>
      <c r="D40" s="16">
        <v>0</v>
      </c>
      <c r="E40" s="16">
        <v>80</v>
      </c>
      <c r="F40" t="s" s="17">
        <v>9</v>
      </c>
      <c r="G40" s="10"/>
      <c r="H40" t="s" s="17">
        <v>786</v>
      </c>
      <c r="I40" t="s" s="17">
        <v>787</v>
      </c>
      <c r="J40" t="s" s="17">
        <v>788</v>
      </c>
      <c r="K40" t="s" s="17">
        <v>789</v>
      </c>
      <c r="L40" t="s" s="17">
        <v>790</v>
      </c>
      <c r="M40" s="10"/>
      <c r="N40" t="s" s="17">
        <v>35</v>
      </c>
      <c r="O40" s="10"/>
    </row>
    <row r="41" ht="68.05" customHeight="1">
      <c r="A41" t="s" s="8">
        <v>791</v>
      </c>
      <c r="B41" t="s" s="9">
        <v>602</v>
      </c>
      <c r="C41" s="10"/>
      <c r="D41" s="16">
        <v>75</v>
      </c>
      <c r="E41" s="16">
        <v>75</v>
      </c>
      <c r="F41" t="s" s="17">
        <v>9</v>
      </c>
      <c r="G41" s="10"/>
      <c r="H41" t="s" s="17">
        <v>39</v>
      </c>
      <c r="I41" t="s" s="17">
        <v>39</v>
      </c>
      <c r="J41" t="s" s="17">
        <v>702</v>
      </c>
      <c r="K41" t="s" s="17">
        <v>792</v>
      </c>
      <c r="L41" t="s" s="17">
        <v>793</v>
      </c>
      <c r="M41" s="10"/>
      <c r="N41" t="s" s="17">
        <v>35</v>
      </c>
      <c r="O41" s="10"/>
    </row>
    <row r="42" ht="68.05" customHeight="1">
      <c r="A42" t="s" s="8">
        <v>794</v>
      </c>
      <c r="B42" t="s" s="9">
        <v>602</v>
      </c>
      <c r="C42" s="10"/>
      <c r="D42" s="16">
        <v>55</v>
      </c>
      <c r="E42" s="16">
        <v>50</v>
      </c>
      <c r="F42" t="s" s="17">
        <v>9</v>
      </c>
      <c r="G42" s="10"/>
      <c r="H42" t="s" s="17">
        <v>795</v>
      </c>
      <c r="I42" t="s" s="17">
        <v>796</v>
      </c>
      <c r="J42" t="s" s="17">
        <v>603</v>
      </c>
      <c r="K42" t="s" s="17">
        <v>797</v>
      </c>
      <c r="L42" t="s" s="17">
        <v>798</v>
      </c>
      <c r="M42" s="10"/>
      <c r="N42" s="10"/>
      <c r="O42" s="10"/>
    </row>
    <row r="43" ht="80.05" customHeight="1">
      <c r="A43" t="s" s="8">
        <v>799</v>
      </c>
      <c r="B43" t="s" s="9">
        <v>602</v>
      </c>
      <c r="C43" s="10"/>
      <c r="D43" s="16">
        <v>80</v>
      </c>
      <c r="E43" s="16">
        <v>70</v>
      </c>
      <c r="F43" t="s" s="17">
        <v>9</v>
      </c>
      <c r="G43" s="10"/>
      <c r="H43" t="s" s="17">
        <v>800</v>
      </c>
      <c r="I43" t="s" s="17">
        <v>801</v>
      </c>
      <c r="J43" t="s" s="17">
        <v>603</v>
      </c>
      <c r="K43" t="s" s="17">
        <v>802</v>
      </c>
      <c r="L43" t="s" s="17">
        <v>803</v>
      </c>
      <c r="M43" s="10"/>
      <c r="N43" s="10"/>
      <c r="O43" s="10"/>
    </row>
    <row r="44" ht="68.05" customHeight="1">
      <c r="A44" t="s" s="8">
        <v>804</v>
      </c>
      <c r="B44" t="s" s="9">
        <v>602</v>
      </c>
      <c r="C44" s="10"/>
      <c r="D44" s="16">
        <v>90</v>
      </c>
      <c r="E44" s="16">
        <v>90</v>
      </c>
      <c r="F44" t="s" s="17">
        <v>15</v>
      </c>
      <c r="G44" s="10"/>
      <c r="H44" t="s" s="17">
        <v>805</v>
      </c>
      <c r="I44" t="s" s="17">
        <v>806</v>
      </c>
      <c r="J44" t="s" s="17">
        <v>807</v>
      </c>
      <c r="K44" t="s" s="17">
        <v>808</v>
      </c>
      <c r="L44" t="s" s="17">
        <v>809</v>
      </c>
      <c r="M44" s="10"/>
      <c r="N44" s="10"/>
      <c r="O44" s="10"/>
    </row>
    <row r="45" ht="68.05" customHeight="1">
      <c r="A45" t="s" s="8">
        <v>810</v>
      </c>
      <c r="B45" t="s" s="9">
        <v>602</v>
      </c>
      <c r="C45" s="10"/>
      <c r="D45" s="16">
        <v>50</v>
      </c>
      <c r="E45" s="16">
        <v>85</v>
      </c>
      <c r="F45" t="s" s="17">
        <v>9</v>
      </c>
      <c r="G45" s="10"/>
      <c r="H45" t="s" s="17">
        <v>811</v>
      </c>
      <c r="I45" t="s" s="17">
        <v>812</v>
      </c>
      <c r="J45" t="s" s="17">
        <v>813</v>
      </c>
      <c r="K45" t="s" s="17">
        <v>814</v>
      </c>
      <c r="L45" t="s" s="17">
        <v>815</v>
      </c>
      <c r="M45" s="10"/>
      <c r="N45" s="10"/>
      <c r="O45" s="10"/>
    </row>
    <row r="46" ht="80.05" customHeight="1">
      <c r="A46" t="s" s="8">
        <v>816</v>
      </c>
      <c r="B46" t="s" s="9">
        <v>602</v>
      </c>
      <c r="C46" s="10"/>
      <c r="D46" s="16">
        <v>110</v>
      </c>
      <c r="E46" s="16">
        <v>50</v>
      </c>
      <c r="F46" t="s" s="17">
        <v>7</v>
      </c>
      <c r="G46" s="10"/>
      <c r="H46" t="s" s="17">
        <v>817</v>
      </c>
      <c r="I46" t="s" s="17">
        <v>818</v>
      </c>
      <c r="J46" t="s" s="17">
        <v>819</v>
      </c>
      <c r="K46" t="s" s="17">
        <v>820</v>
      </c>
      <c r="L46" t="s" s="17">
        <v>821</v>
      </c>
      <c r="M46" s="10"/>
      <c r="N46" t="s" s="17">
        <v>35</v>
      </c>
      <c r="O46" s="10"/>
    </row>
    <row r="47" ht="68.05" customHeight="1">
      <c r="A47" t="s" s="8">
        <v>822</v>
      </c>
      <c r="B47" t="s" s="9">
        <v>602</v>
      </c>
      <c r="C47" s="10"/>
      <c r="D47" s="16">
        <v>80</v>
      </c>
      <c r="E47" s="16">
        <v>25</v>
      </c>
      <c r="F47" t="s" s="17">
        <v>9</v>
      </c>
      <c r="G47" s="10"/>
      <c r="H47" t="s" s="17">
        <v>823</v>
      </c>
      <c r="I47" t="s" s="17">
        <v>824</v>
      </c>
      <c r="J47" t="s" s="17">
        <v>825</v>
      </c>
      <c r="K47" t="s" s="17">
        <v>826</v>
      </c>
      <c r="L47" t="s" s="17">
        <v>827</v>
      </c>
      <c r="M47" s="10"/>
      <c r="N47" s="10"/>
      <c r="O47" s="10"/>
    </row>
    <row r="48" ht="68.05" customHeight="1">
      <c r="A48" t="s" s="8">
        <v>828</v>
      </c>
      <c r="B48" t="s" s="9">
        <v>602</v>
      </c>
      <c r="C48" s="10"/>
      <c r="D48" s="16">
        <v>60</v>
      </c>
      <c r="E48" s="16">
        <v>60</v>
      </c>
      <c r="F48" t="s" s="17">
        <v>13</v>
      </c>
      <c r="G48" s="10"/>
      <c r="H48" t="s" s="17">
        <v>829</v>
      </c>
      <c r="I48" t="s" s="17">
        <v>830</v>
      </c>
      <c r="J48" t="s" s="17">
        <v>603</v>
      </c>
      <c r="K48" t="s" s="17">
        <v>831</v>
      </c>
      <c r="L48" t="s" s="17">
        <v>793</v>
      </c>
      <c r="M48" s="10"/>
      <c r="N48" s="10"/>
      <c r="O48" s="10"/>
    </row>
    <row r="49" ht="68.05" customHeight="1">
      <c r="A49" t="s" s="8">
        <v>832</v>
      </c>
      <c r="B49" t="s" s="9">
        <v>602</v>
      </c>
      <c r="C49" s="10"/>
      <c r="D49" s="16">
        <v>40</v>
      </c>
      <c r="E49" s="16">
        <v>0</v>
      </c>
      <c r="F49" t="s" s="17">
        <v>9</v>
      </c>
      <c r="G49" s="10"/>
      <c r="H49" t="s" s="17">
        <v>39</v>
      </c>
      <c r="I49" t="s" s="17">
        <v>39</v>
      </c>
      <c r="J49" t="s" s="17">
        <v>833</v>
      </c>
      <c r="K49" t="s" s="17">
        <v>834</v>
      </c>
      <c r="L49" t="s" s="17">
        <v>835</v>
      </c>
      <c r="M49" s="10"/>
      <c r="N49" t="s" s="17">
        <v>35</v>
      </c>
      <c r="O49" s="10"/>
    </row>
    <row r="50" ht="68.05" customHeight="1">
      <c r="A50" t="s" s="8">
        <v>836</v>
      </c>
      <c r="B50" t="s" s="9">
        <v>602</v>
      </c>
      <c r="C50" s="10"/>
      <c r="D50" s="16">
        <v>35</v>
      </c>
      <c r="E50" s="16">
        <v>25</v>
      </c>
      <c r="F50" t="s" s="17">
        <v>9</v>
      </c>
      <c r="G50" s="10"/>
      <c r="H50" t="s" s="17">
        <v>837</v>
      </c>
      <c r="I50" t="s" s="17">
        <v>838</v>
      </c>
      <c r="J50" t="s" s="17">
        <v>702</v>
      </c>
      <c r="K50" t="s" s="17">
        <v>839</v>
      </c>
      <c r="L50" t="s" s="17">
        <v>840</v>
      </c>
      <c r="M50" s="10"/>
      <c r="N50" s="10"/>
      <c r="O50" s="10"/>
    </row>
    <row r="51" ht="68.05" customHeight="1">
      <c r="A51" t="s" s="8">
        <v>836</v>
      </c>
      <c r="B51" t="s" s="9">
        <v>602</v>
      </c>
      <c r="C51" s="10"/>
      <c r="D51" s="16">
        <v>35</v>
      </c>
      <c r="E51" s="16">
        <v>25</v>
      </c>
      <c r="F51" t="s" s="17">
        <v>3</v>
      </c>
      <c r="G51" s="10"/>
      <c r="H51" t="s" s="17">
        <v>837</v>
      </c>
      <c r="I51" t="s" s="17">
        <v>838</v>
      </c>
      <c r="J51" t="s" s="17">
        <v>702</v>
      </c>
      <c r="K51" t="s" s="17">
        <v>839</v>
      </c>
      <c r="L51" t="s" s="17">
        <v>840</v>
      </c>
      <c r="M51" s="10"/>
      <c r="N51" s="10"/>
      <c r="O51" s="10"/>
    </row>
    <row r="52" ht="128.05" customHeight="1">
      <c r="A52" t="s" s="8">
        <v>841</v>
      </c>
      <c r="B52" t="s" s="9">
        <v>602</v>
      </c>
      <c r="C52" s="10"/>
      <c r="D52" s="16">
        <v>20</v>
      </c>
      <c r="E52" s="16">
        <v>40</v>
      </c>
      <c r="F52" t="s" s="17">
        <v>3</v>
      </c>
      <c r="G52" s="10"/>
      <c r="H52" t="s" s="17">
        <v>842</v>
      </c>
      <c r="I52" t="s" s="17">
        <v>843</v>
      </c>
      <c r="J52" s="10"/>
      <c r="K52" t="s" s="17">
        <v>844</v>
      </c>
      <c r="L52" t="s" s="17">
        <v>845</v>
      </c>
      <c r="M52" s="10"/>
      <c r="N52" t="s" s="17">
        <v>35</v>
      </c>
      <c r="O52" s="10"/>
    </row>
    <row r="53" ht="92.05" customHeight="1">
      <c r="A53" t="s" s="8">
        <v>846</v>
      </c>
      <c r="B53" t="s" s="9">
        <v>602</v>
      </c>
      <c r="C53" s="10"/>
      <c r="D53" s="16">
        <v>55</v>
      </c>
      <c r="E53" s="16">
        <v>80</v>
      </c>
      <c r="F53" t="s" s="17">
        <v>7</v>
      </c>
      <c r="G53" s="10"/>
      <c r="H53" t="s" s="17">
        <v>847</v>
      </c>
      <c r="I53" t="s" s="17">
        <v>848</v>
      </c>
      <c r="J53" t="s" s="17">
        <v>849</v>
      </c>
      <c r="K53" t="s" s="17">
        <v>850</v>
      </c>
      <c r="L53" t="s" s="17">
        <v>851</v>
      </c>
      <c r="M53" s="10"/>
      <c r="N53" s="10"/>
      <c r="O53" s="10"/>
    </row>
    <row r="54" ht="68.05" customHeight="1">
      <c r="A54" t="s" s="8">
        <v>852</v>
      </c>
      <c r="B54" t="s" s="9">
        <v>602</v>
      </c>
      <c r="C54" s="10"/>
      <c r="D54" s="16">
        <v>40</v>
      </c>
      <c r="E54" s="16">
        <v>30</v>
      </c>
      <c r="F54" t="s" s="17">
        <v>7</v>
      </c>
      <c r="G54" s="10"/>
      <c r="H54" t="s" s="17">
        <v>853</v>
      </c>
      <c r="I54" t="s" s="17">
        <v>854</v>
      </c>
      <c r="J54" t="s" s="17">
        <v>855</v>
      </c>
      <c r="K54" t="s" s="17">
        <v>856</v>
      </c>
      <c r="L54" t="s" s="17">
        <v>857</v>
      </c>
      <c r="M54" s="10"/>
      <c r="N54" s="10"/>
      <c r="O54" s="10"/>
    </row>
    <row r="55" ht="80.05" customHeight="1">
      <c r="A55" t="s" s="8">
        <v>858</v>
      </c>
      <c r="B55" t="s" s="9">
        <v>602</v>
      </c>
      <c r="C55" s="10"/>
      <c r="D55" s="16">
        <v>90</v>
      </c>
      <c r="E55" s="16">
        <v>75</v>
      </c>
      <c r="F55" t="s" s="17">
        <v>5</v>
      </c>
      <c r="G55" s="10"/>
      <c r="H55" s="10"/>
      <c r="I55" t="s" s="17">
        <v>859</v>
      </c>
      <c r="J55" s="10"/>
      <c r="K55" t="s" s="17">
        <v>860</v>
      </c>
      <c r="L55" t="s" s="17">
        <v>861</v>
      </c>
      <c r="M55" s="10"/>
      <c r="N55" s="10"/>
      <c r="O55" s="10"/>
    </row>
    <row r="56" ht="68.05" customHeight="1">
      <c r="A56" t="s" s="8">
        <v>862</v>
      </c>
      <c r="B56" t="s" s="9">
        <v>602</v>
      </c>
      <c r="C56" s="10"/>
      <c r="D56" s="16">
        <v>55</v>
      </c>
      <c r="E56" s="16">
        <v>40</v>
      </c>
      <c r="F56" t="s" s="17">
        <v>7</v>
      </c>
      <c r="G56" s="10"/>
      <c r="H56" s="10"/>
      <c r="I56" t="s" s="17">
        <v>863</v>
      </c>
      <c r="J56" s="10"/>
      <c r="K56" t="s" s="17">
        <v>864</v>
      </c>
      <c r="L56" t="s" s="17">
        <v>857</v>
      </c>
      <c r="M56" s="10"/>
      <c r="N56" t="s" s="17">
        <v>35</v>
      </c>
      <c r="O56" s="10"/>
    </row>
    <row r="57" ht="80.05" customHeight="1">
      <c r="A57" t="s" s="8">
        <v>865</v>
      </c>
      <c r="B57" t="s" s="9">
        <v>602</v>
      </c>
      <c r="C57" s="10"/>
      <c r="D57" s="16">
        <v>175</v>
      </c>
      <c r="E57" s="16">
        <v>140</v>
      </c>
      <c r="F57" t="s" s="17">
        <v>7</v>
      </c>
      <c r="G57" s="10"/>
      <c r="H57" t="s" s="17">
        <v>866</v>
      </c>
      <c r="I57" t="s" s="17">
        <v>867</v>
      </c>
      <c r="J57" s="10"/>
      <c r="K57" t="s" s="17">
        <v>868</v>
      </c>
      <c r="L57" t="s" s="17">
        <v>869</v>
      </c>
      <c r="M57" s="10"/>
      <c r="N57" s="10"/>
      <c r="O57" s="10"/>
    </row>
    <row r="58" ht="80.05" customHeight="1">
      <c r="A58" t="s" s="8">
        <v>870</v>
      </c>
      <c r="B58" t="s" s="9">
        <v>602</v>
      </c>
      <c r="C58" s="10"/>
      <c r="D58" s="16">
        <v>30</v>
      </c>
      <c r="E58" s="16">
        <v>50</v>
      </c>
      <c r="F58" t="s" s="17">
        <v>7</v>
      </c>
      <c r="G58" s="10"/>
      <c r="H58" s="10"/>
      <c r="I58" t="s" s="17">
        <v>871</v>
      </c>
      <c r="J58" s="10"/>
      <c r="K58" t="s" s="17">
        <v>872</v>
      </c>
      <c r="L58" t="s" s="17">
        <v>873</v>
      </c>
      <c r="M58" s="10"/>
      <c r="N58" s="10"/>
      <c r="O58" s="10"/>
    </row>
    <row r="59" ht="92.05" customHeight="1">
      <c r="A59" t="s" s="8">
        <v>874</v>
      </c>
      <c r="B59" t="s" s="9">
        <v>602</v>
      </c>
      <c r="C59" s="10"/>
      <c r="D59" s="16">
        <v>60</v>
      </c>
      <c r="E59" s="16">
        <v>80</v>
      </c>
      <c r="F59" t="s" s="17">
        <v>7</v>
      </c>
      <c r="G59" s="10"/>
      <c r="H59" s="10"/>
      <c r="I59" t="s" s="17">
        <v>875</v>
      </c>
      <c r="J59" s="10"/>
      <c r="K59" t="s" s="17">
        <v>876</v>
      </c>
      <c r="L59" t="s" s="17">
        <v>877</v>
      </c>
      <c r="M59" s="10"/>
      <c r="N59" s="10"/>
      <c r="O59" s="10"/>
    </row>
    <row r="60" ht="80.05" customHeight="1">
      <c r="A60" t="s" s="8">
        <v>878</v>
      </c>
      <c r="B60" t="s" s="9">
        <v>602</v>
      </c>
      <c r="C60" s="10"/>
      <c r="D60" s="16">
        <v>180</v>
      </c>
      <c r="E60" s="16">
        <v>150</v>
      </c>
      <c r="F60" t="s" s="17">
        <v>11</v>
      </c>
      <c r="G60" s="10"/>
      <c r="H60" s="10"/>
      <c r="I60" t="s" s="17">
        <v>879</v>
      </c>
      <c r="J60" s="10"/>
      <c r="K60" t="s" s="17">
        <v>880</v>
      </c>
      <c r="L60" t="s" s="17">
        <v>881</v>
      </c>
      <c r="M60" s="10"/>
      <c r="N60" s="10"/>
      <c r="O60" s="10"/>
    </row>
    <row r="61" ht="80.05" customHeight="1">
      <c r="A61" t="s" s="8">
        <v>882</v>
      </c>
      <c r="B61" t="s" s="9">
        <v>602</v>
      </c>
      <c r="C61" s="10"/>
      <c r="D61" s="16">
        <v>60</v>
      </c>
      <c r="E61" s="16">
        <v>90</v>
      </c>
      <c r="F61" t="s" s="17">
        <v>7</v>
      </c>
      <c r="G61" s="10"/>
      <c r="H61" s="10"/>
      <c r="I61" t="s" s="17">
        <v>39</v>
      </c>
      <c r="J61" s="10"/>
      <c r="K61" t="s" s="17">
        <v>883</v>
      </c>
      <c r="L61" t="s" s="17">
        <v>884</v>
      </c>
      <c r="M61" s="10"/>
      <c r="N61" s="10"/>
      <c r="O61" s="10"/>
    </row>
    <row r="62" ht="80.05" customHeight="1">
      <c r="A62" t="s" s="8">
        <v>885</v>
      </c>
      <c r="B62" t="s" s="9">
        <v>602</v>
      </c>
      <c r="C62" s="10"/>
      <c r="D62" s="16">
        <v>70</v>
      </c>
      <c r="E62" s="16">
        <v>50</v>
      </c>
      <c r="F62" t="s" s="17">
        <v>7</v>
      </c>
      <c r="G62" s="10"/>
      <c r="H62" s="10"/>
      <c r="I62" t="s" s="17">
        <v>886</v>
      </c>
      <c r="J62" s="10"/>
      <c r="K62" t="s" s="17">
        <v>887</v>
      </c>
      <c r="L62" t="s" s="17">
        <v>888</v>
      </c>
      <c r="M62" s="10"/>
      <c r="N62" s="10"/>
      <c r="O62" s="10"/>
    </row>
    <row r="63" ht="80.05" customHeight="1">
      <c r="A63" t="s" s="8">
        <v>889</v>
      </c>
      <c r="B63" t="s" s="9">
        <v>602</v>
      </c>
      <c r="C63" s="10"/>
      <c r="D63" s="16">
        <v>60</v>
      </c>
      <c r="E63" s="16">
        <v>60</v>
      </c>
      <c r="F63" t="s" s="17">
        <v>7</v>
      </c>
      <c r="G63" s="10"/>
      <c r="H63" s="10"/>
      <c r="I63" t="s" s="17">
        <v>153</v>
      </c>
      <c r="J63" s="10"/>
      <c r="K63" t="s" s="17">
        <v>890</v>
      </c>
      <c r="L63" t="s" s="17">
        <v>891</v>
      </c>
      <c r="M63" s="10"/>
      <c r="N63" s="10"/>
      <c r="O63" s="10"/>
    </row>
    <row r="64" ht="80.05" customHeight="1">
      <c r="A64" t="s" s="8">
        <v>892</v>
      </c>
      <c r="B64" t="s" s="9">
        <v>602</v>
      </c>
      <c r="C64" s="10"/>
      <c r="D64" s="16">
        <v>80</v>
      </c>
      <c r="E64" s="16">
        <v>55</v>
      </c>
      <c r="F64" t="s" s="17">
        <v>7</v>
      </c>
      <c r="G64" s="10"/>
      <c r="H64" s="10"/>
      <c r="I64" t="s" s="17">
        <v>893</v>
      </c>
      <c r="J64" s="10"/>
      <c r="K64" t="s" s="17">
        <v>894</v>
      </c>
      <c r="L64" t="s" s="17">
        <v>895</v>
      </c>
      <c r="M64" s="10"/>
      <c r="N64" s="10"/>
      <c r="O64" s="10"/>
    </row>
    <row r="65" ht="80.05" customHeight="1">
      <c r="A65" t="s" s="8">
        <v>896</v>
      </c>
      <c r="B65" t="s" s="9">
        <v>602</v>
      </c>
      <c r="C65" s="10"/>
      <c r="D65" s="16">
        <v>65</v>
      </c>
      <c r="E65" s="16">
        <v>70</v>
      </c>
      <c r="F65" t="s" s="17">
        <v>7</v>
      </c>
      <c r="G65" s="10"/>
      <c r="H65" s="10"/>
      <c r="I65" t="s" s="17">
        <v>897</v>
      </c>
      <c r="J65" s="10"/>
      <c r="K65" t="s" s="17">
        <v>898</v>
      </c>
      <c r="L65" t="s" s="17">
        <v>861</v>
      </c>
      <c r="M65" s="10"/>
      <c r="N65" s="10"/>
      <c r="O65" s="10"/>
    </row>
    <row r="66" ht="80.05" customHeight="1">
      <c r="A66" t="s" s="8">
        <v>899</v>
      </c>
      <c r="B66" t="s" s="9">
        <v>602</v>
      </c>
      <c r="C66" s="10"/>
      <c r="D66" s="16">
        <v>50</v>
      </c>
      <c r="E66" s="16">
        <v>50</v>
      </c>
      <c r="F66" t="s" s="17">
        <v>7</v>
      </c>
      <c r="G66" s="10"/>
      <c r="H66" s="10"/>
      <c r="I66" t="s" s="17">
        <v>900</v>
      </c>
      <c r="J66" s="10"/>
      <c r="K66" t="s" s="17">
        <v>901</v>
      </c>
      <c r="L66" t="s" s="17">
        <v>902</v>
      </c>
      <c r="M66" s="10"/>
      <c r="N66" s="10"/>
      <c r="O66" s="10"/>
    </row>
    <row r="67" ht="80.05" customHeight="1">
      <c r="A67" t="s" s="8">
        <v>903</v>
      </c>
      <c r="B67" t="s" s="9">
        <v>602</v>
      </c>
      <c r="C67" s="10"/>
      <c r="D67" s="16">
        <v>90</v>
      </c>
      <c r="E67" s="16">
        <v>80</v>
      </c>
      <c r="F67" t="s" s="17">
        <v>7</v>
      </c>
      <c r="G67" s="10"/>
      <c r="H67" s="10"/>
      <c r="I67" t="s" s="17">
        <v>904</v>
      </c>
      <c r="J67" s="10"/>
      <c r="K67" t="s" s="17">
        <v>905</v>
      </c>
      <c r="L67" t="s" s="17">
        <v>902</v>
      </c>
      <c r="M67" s="10"/>
      <c r="N67" s="10"/>
      <c r="O67" s="10"/>
    </row>
    <row r="68" ht="104.05" customHeight="1">
      <c r="A68" t="s" s="8">
        <v>906</v>
      </c>
      <c r="B68" t="s" s="9">
        <v>602</v>
      </c>
      <c r="C68" s="10"/>
      <c r="D68" s="16">
        <v>50</v>
      </c>
      <c r="E68" s="16">
        <v>100</v>
      </c>
      <c r="F68" t="s" s="17">
        <v>7</v>
      </c>
      <c r="G68" s="10"/>
      <c r="H68" s="10"/>
      <c r="I68" t="s" s="17">
        <v>907</v>
      </c>
      <c r="J68" s="10"/>
      <c r="K68" t="s" s="17">
        <v>908</v>
      </c>
      <c r="L68" t="s" s="17">
        <v>902</v>
      </c>
      <c r="M68" s="10"/>
      <c r="N68" s="10"/>
      <c r="O68" s="10"/>
    </row>
    <row r="69" ht="80.05" customHeight="1">
      <c r="A69" t="s" s="8">
        <v>909</v>
      </c>
      <c r="B69" t="s" s="9">
        <v>602</v>
      </c>
      <c r="C69" s="10"/>
      <c r="D69" s="16">
        <v>155</v>
      </c>
      <c r="E69" s="16">
        <v>0</v>
      </c>
      <c r="F69" t="s" s="17">
        <v>7</v>
      </c>
      <c r="G69" s="10"/>
      <c r="H69" s="10"/>
      <c r="I69" t="s" s="17">
        <v>39</v>
      </c>
      <c r="J69" s="10"/>
      <c r="K69" t="s" s="17">
        <v>910</v>
      </c>
      <c r="L69" t="s" s="17">
        <v>902</v>
      </c>
      <c r="M69" s="10"/>
      <c r="N69" s="10"/>
      <c r="O69" s="10"/>
    </row>
    <row r="70" ht="80.05" customHeight="1">
      <c r="A70" t="s" s="8">
        <v>911</v>
      </c>
      <c r="B70" t="s" s="9">
        <v>602</v>
      </c>
      <c r="C70" s="10"/>
      <c r="D70" s="16">
        <v>10</v>
      </c>
      <c r="E70" s="16">
        <v>120</v>
      </c>
      <c r="F70" t="s" s="17">
        <v>7</v>
      </c>
      <c r="G70" s="10"/>
      <c r="H70" s="10"/>
      <c r="I70" t="s" s="17">
        <v>912</v>
      </c>
      <c r="J70" s="10"/>
      <c r="K70" t="s" s="17">
        <v>913</v>
      </c>
      <c r="L70" t="s" s="17">
        <v>902</v>
      </c>
      <c r="M70" s="10"/>
      <c r="N70" s="10"/>
      <c r="O70" s="10"/>
    </row>
    <row r="71" ht="80.05" customHeight="1">
      <c r="A71" t="s" s="8">
        <v>914</v>
      </c>
      <c r="B71" t="s" s="9">
        <v>602</v>
      </c>
      <c r="C71" s="10"/>
      <c r="D71" s="16">
        <v>120</v>
      </c>
      <c r="E71" s="16">
        <v>0</v>
      </c>
      <c r="F71" t="s" s="17">
        <v>7</v>
      </c>
      <c r="G71" s="10"/>
      <c r="H71" s="10"/>
      <c r="I71" t="s" s="17">
        <v>915</v>
      </c>
      <c r="J71" s="10"/>
      <c r="K71" t="s" s="17">
        <v>916</v>
      </c>
      <c r="L71" t="s" s="17">
        <v>917</v>
      </c>
      <c r="M71" s="10"/>
      <c r="N71" s="10"/>
      <c r="O71" s="10"/>
    </row>
    <row r="72" ht="80.05" customHeight="1">
      <c r="A72" t="s" s="8">
        <v>918</v>
      </c>
      <c r="B72" t="s" s="9">
        <v>602</v>
      </c>
      <c r="C72" s="10"/>
      <c r="D72" s="16">
        <v>45</v>
      </c>
      <c r="E72" s="16">
        <v>40</v>
      </c>
      <c r="F72" t="s" s="17">
        <v>15</v>
      </c>
      <c r="G72" s="10"/>
      <c r="H72" s="10"/>
      <c r="I72" t="s" s="17">
        <v>39</v>
      </c>
      <c r="J72" s="10"/>
      <c r="K72" t="s" s="17">
        <v>919</v>
      </c>
      <c r="L72" t="s" s="17">
        <v>920</v>
      </c>
      <c r="M72" s="10"/>
      <c r="N72" t="s" s="17">
        <v>35</v>
      </c>
      <c r="O72" s="10"/>
    </row>
    <row r="73" ht="80.05" customHeight="1">
      <c r="A73" t="s" s="8">
        <v>921</v>
      </c>
      <c r="B73" t="s" s="9">
        <v>602</v>
      </c>
      <c r="C73" s="10"/>
      <c r="D73" s="16">
        <v>50</v>
      </c>
      <c r="E73" s="16">
        <v>45</v>
      </c>
      <c r="F73" t="s" s="17">
        <v>11</v>
      </c>
      <c r="G73" s="10"/>
      <c r="H73" s="10"/>
      <c r="I73" t="s" s="17">
        <v>922</v>
      </c>
      <c r="J73" s="10"/>
      <c r="K73" t="s" s="17">
        <v>923</v>
      </c>
      <c r="L73" t="s" s="17">
        <v>924</v>
      </c>
      <c r="M73" s="10"/>
      <c r="N73" t="s" s="17">
        <v>35</v>
      </c>
      <c r="O73" s="10"/>
    </row>
    <row r="74" ht="80.05" customHeight="1">
      <c r="A74" t="s" s="8">
        <v>925</v>
      </c>
      <c r="B74" t="s" s="9">
        <v>602</v>
      </c>
      <c r="C74" s="10"/>
      <c r="D74" s="16">
        <v>25</v>
      </c>
      <c r="E74" s="16">
        <v>55</v>
      </c>
      <c r="F74" t="s" s="17">
        <v>13</v>
      </c>
      <c r="G74" s="10"/>
      <c r="H74" s="10"/>
      <c r="I74" t="s" s="17">
        <v>926</v>
      </c>
      <c r="J74" s="10"/>
      <c r="K74" t="s" s="17">
        <v>927</v>
      </c>
      <c r="L74" t="s" s="17">
        <v>928</v>
      </c>
      <c r="M74" s="10"/>
      <c r="N74" t="s" s="17">
        <v>35</v>
      </c>
      <c r="O74" s="10"/>
    </row>
    <row r="75" ht="92.05" customHeight="1">
      <c r="A75" t="s" s="8">
        <v>929</v>
      </c>
      <c r="B75" t="s" s="9">
        <v>602</v>
      </c>
      <c r="C75" s="10"/>
      <c r="D75" s="16">
        <v>60</v>
      </c>
      <c r="E75" s="16">
        <v>40</v>
      </c>
      <c r="F75" t="s" s="17">
        <v>15</v>
      </c>
      <c r="G75" s="10"/>
      <c r="H75" s="10"/>
      <c r="I75" t="s" s="17">
        <v>930</v>
      </c>
      <c r="J75" s="10"/>
      <c r="K75" t="s" s="17">
        <v>931</v>
      </c>
      <c r="L75" t="s" s="17">
        <v>932</v>
      </c>
      <c r="M75" s="10"/>
      <c r="N75" t="s" s="17">
        <v>35</v>
      </c>
      <c r="O75" s="10"/>
    </row>
    <row r="76" ht="80.05" customHeight="1">
      <c r="A76" t="s" s="8">
        <v>933</v>
      </c>
      <c r="B76" t="s" s="9">
        <v>602</v>
      </c>
      <c r="C76" s="10"/>
      <c r="D76" s="16">
        <v>80</v>
      </c>
      <c r="E76" s="16">
        <v>55</v>
      </c>
      <c r="F76" t="s" s="17">
        <v>15</v>
      </c>
      <c r="G76" s="10"/>
      <c r="H76" s="10"/>
      <c r="I76" t="s" s="17">
        <v>934</v>
      </c>
      <c r="J76" s="10"/>
      <c r="K76" t="s" s="17">
        <v>935</v>
      </c>
      <c r="L76" t="s" s="17">
        <v>936</v>
      </c>
      <c r="M76" s="10"/>
      <c r="N76" t="s" s="17">
        <v>35</v>
      </c>
      <c r="O76" s="10"/>
    </row>
    <row r="77" ht="80.05" customHeight="1">
      <c r="A77" t="s" s="8">
        <v>937</v>
      </c>
      <c r="B77" t="s" s="9">
        <v>602</v>
      </c>
      <c r="C77" s="10"/>
      <c r="D77" s="16">
        <v>65</v>
      </c>
      <c r="E77" s="16">
        <v>50</v>
      </c>
      <c r="F77" t="s" s="17">
        <v>15</v>
      </c>
      <c r="G77" s="10"/>
      <c r="H77" s="10"/>
      <c r="I77" t="s" s="17">
        <v>938</v>
      </c>
      <c r="J77" s="10"/>
      <c r="K77" t="s" s="17">
        <v>939</v>
      </c>
      <c r="L77" t="s" s="17">
        <v>940</v>
      </c>
      <c r="M77" s="10"/>
      <c r="N77" t="s" s="17">
        <v>35</v>
      </c>
      <c r="O77" s="10"/>
    </row>
    <row r="78" ht="80.05" customHeight="1">
      <c r="A78" t="s" s="8">
        <v>941</v>
      </c>
      <c r="B78" t="s" s="9">
        <v>602</v>
      </c>
      <c r="C78" s="10"/>
      <c r="D78" s="16">
        <v>45</v>
      </c>
      <c r="E78" s="16">
        <v>30</v>
      </c>
      <c r="F78" t="s" s="17">
        <v>13</v>
      </c>
      <c r="G78" s="10"/>
      <c r="H78" s="10"/>
      <c r="I78" t="s" s="17">
        <v>39</v>
      </c>
      <c r="J78" s="10"/>
      <c r="K78" t="s" s="17">
        <v>942</v>
      </c>
      <c r="L78" t="s" s="17">
        <v>943</v>
      </c>
      <c r="M78" s="10"/>
      <c r="N78" t="s" s="17">
        <v>35</v>
      </c>
      <c r="O78" s="10"/>
    </row>
    <row r="79" ht="104.05" customHeight="1">
      <c r="A79" t="s" s="8">
        <v>944</v>
      </c>
      <c r="B79" t="s" s="9">
        <v>602</v>
      </c>
      <c r="C79" s="10"/>
      <c r="D79" s="16">
        <v>60</v>
      </c>
      <c r="E79" s="16">
        <v>0</v>
      </c>
      <c r="F79" t="s" s="17">
        <v>13</v>
      </c>
      <c r="G79" s="10"/>
      <c r="H79" s="10"/>
      <c r="I79" t="s" s="17">
        <v>945</v>
      </c>
      <c r="J79" s="10"/>
      <c r="K79" t="s" s="17">
        <v>946</v>
      </c>
      <c r="L79" t="s" s="17">
        <v>947</v>
      </c>
      <c r="M79" s="10"/>
      <c r="N79" t="s" s="17">
        <v>35</v>
      </c>
      <c r="O79" s="10"/>
    </row>
    <row r="80" ht="68.05" customHeight="1">
      <c r="A80" t="s" s="8">
        <v>948</v>
      </c>
      <c r="B80" t="s" s="9">
        <v>602</v>
      </c>
      <c r="C80" s="10"/>
      <c r="D80" s="16">
        <v>55</v>
      </c>
      <c r="E80" s="16">
        <v>40</v>
      </c>
      <c r="F80" t="s" s="17">
        <v>13</v>
      </c>
      <c r="G80" s="10"/>
      <c r="H80" s="10"/>
      <c r="I80" t="s" s="17">
        <v>949</v>
      </c>
      <c r="J80" s="10"/>
      <c r="K80" t="s" s="17">
        <v>950</v>
      </c>
      <c r="L80" t="s" s="17">
        <v>951</v>
      </c>
      <c r="M80" s="10"/>
      <c r="N80" t="s" s="17">
        <v>35</v>
      </c>
      <c r="O80" s="10"/>
    </row>
    <row r="81" ht="80.05" customHeight="1">
      <c r="A81" t="s" s="8">
        <v>952</v>
      </c>
      <c r="B81" t="s" s="9">
        <v>602</v>
      </c>
      <c r="C81" s="10"/>
      <c r="D81" s="16">
        <v>30</v>
      </c>
      <c r="E81" s="16">
        <v>20</v>
      </c>
      <c r="F81" t="s" s="17">
        <v>11</v>
      </c>
      <c r="G81" s="10"/>
      <c r="H81" s="10"/>
      <c r="I81" t="s" s="17">
        <v>953</v>
      </c>
      <c r="J81" s="10"/>
      <c r="K81" t="s" s="17">
        <v>954</v>
      </c>
      <c r="L81" t="s" s="17">
        <v>955</v>
      </c>
      <c r="M81" s="10"/>
      <c r="N81" t="s" s="17">
        <v>35</v>
      </c>
      <c r="O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P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6" width="14.4062" style="19" customWidth="1"/>
    <col min="17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"&amp;COUNTIF(N3:N545,"Yes")</f>
        <v>956</v>
      </c>
      <c r="O2" t="s" s="3">
        <f>"Booster Pack - Unseen Presence / "&amp;COUNTIF(O3:O545,"Yes")</f>
        <v>957</v>
      </c>
      <c r="P2" t="s" s="3">
        <f>"Booster Pack - Wind of Dominance / "&amp;COUNTIF(P3:P545,"Yes")</f>
        <v>958</v>
      </c>
    </row>
    <row r="3" ht="32.25" customHeight="1">
      <c r="A3" t="s" s="5">
        <v>959</v>
      </c>
      <c r="B3" t="s" s="6">
        <v>960</v>
      </c>
      <c r="C3" s="14">
        <v>0</v>
      </c>
      <c r="D3" s="7"/>
      <c r="E3" s="7"/>
      <c r="F3" s="7"/>
      <c r="G3" s="14">
        <v>1</v>
      </c>
      <c r="H3" t="s" s="15">
        <v>961</v>
      </c>
      <c r="I3" s="7"/>
      <c r="J3" t="s" s="15">
        <v>35</v>
      </c>
      <c r="K3" s="7"/>
      <c r="L3" t="s" s="15">
        <v>35</v>
      </c>
      <c r="M3" s="7"/>
      <c r="N3" t="s" s="15">
        <v>35</v>
      </c>
      <c r="O3" s="7"/>
      <c r="P3" s="7"/>
    </row>
    <row r="4" ht="68.05" customHeight="1">
      <c r="A4" t="s" s="8">
        <v>962</v>
      </c>
      <c r="B4" t="s" s="9">
        <v>960</v>
      </c>
      <c r="C4" s="16">
        <v>0</v>
      </c>
      <c r="D4" s="10"/>
      <c r="E4" s="10"/>
      <c r="F4" s="10"/>
      <c r="G4" s="16">
        <v>2</v>
      </c>
      <c r="H4" t="s" s="17">
        <v>963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964</v>
      </c>
      <c r="B5" t="s" s="9">
        <v>960</v>
      </c>
      <c r="C5" s="16">
        <v>0</v>
      </c>
      <c r="D5" s="10"/>
      <c r="E5" s="10"/>
      <c r="F5" s="10"/>
      <c r="G5" s="16">
        <v>1</v>
      </c>
      <c r="H5" t="s" s="17">
        <v>965</v>
      </c>
      <c r="I5" s="10"/>
      <c r="J5" t="s" s="17">
        <v>35</v>
      </c>
      <c r="K5" s="10"/>
      <c r="L5" t="s" s="17">
        <v>35</v>
      </c>
      <c r="M5" s="10"/>
      <c r="N5" t="s" s="17">
        <v>35</v>
      </c>
      <c r="O5" s="10"/>
      <c r="P5" s="10"/>
    </row>
    <row r="6" ht="44.05" customHeight="1">
      <c r="A6" t="s" s="8">
        <v>966</v>
      </c>
      <c r="B6" t="s" s="9">
        <v>960</v>
      </c>
      <c r="C6" s="16">
        <v>0</v>
      </c>
      <c r="D6" s="10"/>
      <c r="E6" s="10"/>
      <c r="F6" s="10"/>
      <c r="G6" s="16">
        <v>2</v>
      </c>
      <c r="H6" t="s" s="17">
        <v>967</v>
      </c>
      <c r="I6" s="10"/>
      <c r="J6" t="s" s="17">
        <v>35</v>
      </c>
      <c r="K6" s="10"/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968</v>
      </c>
      <c r="B7" t="s" s="9">
        <v>960</v>
      </c>
      <c r="C7" s="16">
        <v>500</v>
      </c>
      <c r="D7" s="10"/>
      <c r="E7" s="10"/>
      <c r="F7" s="10"/>
      <c r="G7" s="16">
        <v>3</v>
      </c>
      <c r="H7" t="s" s="17">
        <v>969</v>
      </c>
      <c r="I7" s="10"/>
      <c r="J7" t="s" s="17">
        <v>35</v>
      </c>
      <c r="K7" s="10"/>
      <c r="L7" t="s" s="17">
        <v>35</v>
      </c>
      <c r="M7" s="10"/>
      <c r="N7" s="10"/>
      <c r="O7" t="s" s="17">
        <v>35</v>
      </c>
      <c r="P7" s="10"/>
    </row>
    <row r="8" ht="68.05" customHeight="1">
      <c r="A8" t="s" s="8">
        <v>970</v>
      </c>
      <c r="B8" t="s" s="9">
        <v>960</v>
      </c>
      <c r="C8" s="16">
        <v>0</v>
      </c>
      <c r="D8" s="10"/>
      <c r="E8" s="10"/>
      <c r="F8" s="10"/>
      <c r="G8" s="16">
        <v>5</v>
      </c>
      <c r="H8" t="s" s="17">
        <v>971</v>
      </c>
      <c r="I8" s="10"/>
      <c r="J8" t="s" s="17">
        <v>35</v>
      </c>
      <c r="K8" s="10"/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972</v>
      </c>
      <c r="B9" t="s" s="9">
        <v>960</v>
      </c>
      <c r="C9" s="16">
        <v>800</v>
      </c>
      <c r="D9" s="10"/>
      <c r="E9" s="10"/>
      <c r="F9" s="10"/>
      <c r="G9" s="16">
        <v>4</v>
      </c>
      <c r="H9" t="s" s="17">
        <v>973</v>
      </c>
      <c r="I9" s="10"/>
      <c r="J9" t="s" s="17">
        <v>35</v>
      </c>
      <c r="K9" s="10"/>
      <c r="L9" t="s" s="17">
        <v>35</v>
      </c>
      <c r="M9" s="10"/>
      <c r="N9" t="s" s="17">
        <v>35</v>
      </c>
      <c r="O9" s="10"/>
      <c r="P9" s="10"/>
    </row>
    <row r="10" ht="32.05" customHeight="1">
      <c r="A10" t="s" s="8">
        <v>974</v>
      </c>
      <c r="B10" t="s" s="9">
        <v>960</v>
      </c>
      <c r="C10" s="16">
        <v>250</v>
      </c>
      <c r="D10" s="10"/>
      <c r="E10" s="10"/>
      <c r="F10" s="10"/>
      <c r="G10" s="16">
        <v>2</v>
      </c>
      <c r="H10" t="s" s="17">
        <v>975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32.05" customHeight="1">
      <c r="A11" t="s" s="8">
        <v>976</v>
      </c>
      <c r="B11" t="s" s="9">
        <v>960</v>
      </c>
      <c r="C11" s="16">
        <v>1500</v>
      </c>
      <c r="D11" s="10"/>
      <c r="E11" s="10"/>
      <c r="F11" s="10"/>
      <c r="G11" s="16">
        <v>3</v>
      </c>
      <c r="H11" t="s" s="17">
        <v>977</v>
      </c>
      <c r="I11" s="10"/>
      <c r="J11" t="s" s="17">
        <v>35</v>
      </c>
      <c r="K11" s="10"/>
      <c r="L11" t="s" s="17">
        <v>35</v>
      </c>
      <c r="M11" s="10"/>
      <c r="N11" s="10"/>
      <c r="O11" t="s" s="17">
        <v>35</v>
      </c>
      <c r="P11" s="10"/>
    </row>
    <row r="12" ht="44.05" customHeight="1">
      <c r="A12" t="s" s="8">
        <v>978</v>
      </c>
      <c r="B12" t="s" s="9">
        <v>960</v>
      </c>
      <c r="C12" s="16">
        <v>200</v>
      </c>
      <c r="D12" s="10"/>
      <c r="E12" s="10"/>
      <c r="F12" s="10"/>
      <c r="G12" s="16">
        <v>2</v>
      </c>
      <c r="H12" t="s" s="17">
        <v>979</v>
      </c>
      <c r="I12" s="10"/>
      <c r="J12" t="s" s="17">
        <v>35</v>
      </c>
      <c r="K12" s="10"/>
      <c r="L12" s="10"/>
      <c r="M12" s="10"/>
      <c r="N12" s="10"/>
      <c r="O12" s="10"/>
      <c r="P12" s="10"/>
    </row>
    <row r="13" ht="32.05" customHeight="1">
      <c r="A13" t="s" s="8">
        <v>980</v>
      </c>
      <c r="B13" t="s" s="9">
        <v>960</v>
      </c>
      <c r="C13" s="16">
        <v>500</v>
      </c>
      <c r="D13" s="10"/>
      <c r="E13" s="10"/>
      <c r="F13" s="10"/>
      <c r="G13" s="16">
        <v>3</v>
      </c>
      <c r="H13" t="s" s="17">
        <v>981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20.05" customHeight="1">
      <c r="A14" t="s" s="8">
        <v>982</v>
      </c>
      <c r="B14" t="s" s="9">
        <v>960</v>
      </c>
      <c r="C14" s="16">
        <v>1500</v>
      </c>
      <c r="D14" s="10"/>
      <c r="E14" s="10"/>
      <c r="F14" s="10"/>
      <c r="G14" s="16">
        <v>5</v>
      </c>
      <c r="H14" t="s" s="17">
        <v>983</v>
      </c>
      <c r="I14" s="10"/>
      <c r="J14" t="s" s="17">
        <v>35</v>
      </c>
      <c r="K14" s="10"/>
      <c r="L14" t="s" s="17">
        <v>35</v>
      </c>
      <c r="M14" s="10"/>
      <c r="N14" s="10"/>
      <c r="O14" s="10"/>
      <c r="P14" t="s" s="17">
        <v>35</v>
      </c>
    </row>
    <row r="15" ht="44.05" customHeight="1">
      <c r="A15" t="s" s="8">
        <v>984</v>
      </c>
      <c r="B15" t="s" s="9">
        <v>960</v>
      </c>
      <c r="C15" s="16">
        <v>500</v>
      </c>
      <c r="D15" s="10"/>
      <c r="E15" s="10"/>
      <c r="F15" s="10"/>
      <c r="G15" s="16">
        <v>4</v>
      </c>
      <c r="H15" t="s" s="17">
        <v>985</v>
      </c>
      <c r="I15" s="10"/>
      <c r="J15" t="s" s="17">
        <v>35</v>
      </c>
      <c r="K15" s="10"/>
      <c r="L15" t="s" s="17">
        <v>35</v>
      </c>
      <c r="M15" s="10"/>
      <c r="N15" s="10"/>
      <c r="O15" s="10"/>
      <c r="P15" t="s" s="17">
        <v>35</v>
      </c>
    </row>
    <row r="16" ht="44.05" customHeight="1">
      <c r="A16" t="s" s="8">
        <v>986</v>
      </c>
      <c r="B16" t="s" s="9">
        <v>960</v>
      </c>
      <c r="C16" s="16">
        <v>1500</v>
      </c>
      <c r="D16" s="10"/>
      <c r="E16" s="10"/>
      <c r="F16" s="10"/>
      <c r="G16" s="16">
        <v>5</v>
      </c>
      <c r="H16" t="s" s="17">
        <v>987</v>
      </c>
      <c r="I16" s="10"/>
      <c r="J16" t="s" s="17">
        <v>35</v>
      </c>
      <c r="K16" s="10"/>
      <c r="L16" t="s" s="17">
        <v>35</v>
      </c>
      <c r="M16" s="10"/>
      <c r="N16" s="10"/>
      <c r="O16" t="s" s="17">
        <v>35</v>
      </c>
      <c r="P16" s="10"/>
    </row>
    <row r="17" ht="44.05" customHeight="1">
      <c r="A17" t="s" s="8">
        <v>988</v>
      </c>
      <c r="B17" t="s" s="9">
        <v>960</v>
      </c>
      <c r="C17" s="16">
        <v>900</v>
      </c>
      <c r="D17" s="10"/>
      <c r="E17" s="10"/>
      <c r="F17" s="10"/>
      <c r="G17" s="16">
        <v>4</v>
      </c>
      <c r="H17" t="s" s="17">
        <v>989</v>
      </c>
      <c r="I17" s="10"/>
      <c r="J17" t="s" s="17">
        <v>35</v>
      </c>
      <c r="K17" s="10"/>
      <c r="L17" t="s" s="17">
        <v>35</v>
      </c>
      <c r="M17" s="10"/>
      <c r="N17" s="10"/>
      <c r="O17" s="10"/>
      <c r="P17" t="s" s="17">
        <v>35</v>
      </c>
    </row>
    <row r="18" ht="44.05" customHeight="1">
      <c r="A18" t="s" s="8">
        <v>990</v>
      </c>
      <c r="B18" t="s" s="9">
        <v>960</v>
      </c>
      <c r="C18" s="16">
        <v>0</v>
      </c>
      <c r="D18" s="10"/>
      <c r="E18" s="10"/>
      <c r="F18" s="10"/>
      <c r="G18" s="16">
        <v>3</v>
      </c>
      <c r="H18" t="s" s="17">
        <v>991</v>
      </c>
      <c r="I18" s="10"/>
      <c r="J18" t="s" s="17">
        <v>35</v>
      </c>
      <c r="K18" s="10"/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992</v>
      </c>
      <c r="B19" t="s" s="9">
        <v>960</v>
      </c>
      <c r="C19" s="16">
        <v>800</v>
      </c>
      <c r="D19" s="10"/>
      <c r="E19" s="10"/>
      <c r="F19" s="10"/>
      <c r="G19" s="16">
        <v>4</v>
      </c>
      <c r="H19" t="s" s="17">
        <v>993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994</v>
      </c>
      <c r="B20" t="s" s="9">
        <v>960</v>
      </c>
      <c r="C20" s="16">
        <v>600</v>
      </c>
      <c r="D20" s="10"/>
      <c r="E20" s="10"/>
      <c r="F20" s="10"/>
      <c r="G20" s="16">
        <v>4</v>
      </c>
      <c r="H20" t="s" s="17">
        <v>995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996</v>
      </c>
      <c r="B21" t="s" s="9">
        <v>960</v>
      </c>
      <c r="C21" s="16">
        <v>0</v>
      </c>
      <c r="D21" s="10"/>
      <c r="E21" s="10"/>
      <c r="F21" s="10"/>
      <c r="G21" s="16">
        <v>1</v>
      </c>
      <c r="H21" t="s" s="17">
        <v>997</v>
      </c>
      <c r="I21" s="10"/>
      <c r="J21" t="s" s="17">
        <v>35</v>
      </c>
      <c r="K21" s="10"/>
      <c r="L21" t="s" s="17">
        <v>35</v>
      </c>
      <c r="M21" s="10"/>
      <c r="N21" t="s" s="17">
        <v>35</v>
      </c>
      <c r="O21" s="10"/>
      <c r="P21" s="10"/>
    </row>
    <row r="22" ht="32.05" customHeight="1">
      <c r="A22" t="s" s="8">
        <v>998</v>
      </c>
      <c r="B22" t="s" s="9">
        <v>960</v>
      </c>
      <c r="C22" s="16">
        <v>50</v>
      </c>
      <c r="D22" s="10"/>
      <c r="E22" s="10"/>
      <c r="F22" s="10"/>
      <c r="G22" s="16">
        <v>2</v>
      </c>
      <c r="H22" t="s" s="17">
        <v>999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32.05" customHeight="1">
      <c r="A23" t="s" s="8">
        <v>1000</v>
      </c>
      <c r="B23" t="s" s="9">
        <v>960</v>
      </c>
      <c r="C23" s="16">
        <v>100</v>
      </c>
      <c r="D23" s="10"/>
      <c r="E23" s="10"/>
      <c r="F23" s="10"/>
      <c r="G23" s="16">
        <v>3</v>
      </c>
      <c r="H23" t="s" s="17">
        <v>1001</v>
      </c>
      <c r="I23" s="10"/>
      <c r="J23" t="s" s="17">
        <v>35</v>
      </c>
      <c r="K23" s="10"/>
      <c r="L23" s="10"/>
      <c r="M23" s="10"/>
      <c r="N23" s="10"/>
      <c r="O23" s="10"/>
      <c r="P23" s="10"/>
    </row>
    <row r="24" ht="44.05" customHeight="1">
      <c r="A24" t="s" s="8">
        <v>1002</v>
      </c>
      <c r="B24" t="s" s="9">
        <v>960</v>
      </c>
      <c r="C24" s="16">
        <v>1000</v>
      </c>
      <c r="D24" s="10"/>
      <c r="E24" s="10"/>
      <c r="F24" s="10"/>
      <c r="G24" s="16">
        <v>5</v>
      </c>
      <c r="H24" t="s" s="17">
        <v>1003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44.05" customHeight="1">
      <c r="A25" t="s" s="8">
        <v>1004</v>
      </c>
      <c r="B25" t="s" s="9">
        <v>960</v>
      </c>
      <c r="C25" s="16">
        <v>850</v>
      </c>
      <c r="D25" s="10"/>
      <c r="E25" s="10"/>
      <c r="F25" s="10"/>
      <c r="G25" s="16">
        <v>2</v>
      </c>
      <c r="H25" t="s" s="17">
        <v>1005</v>
      </c>
      <c r="I25" s="10"/>
      <c r="J25" t="s" s="17">
        <v>35</v>
      </c>
      <c r="K25" s="10"/>
      <c r="L25" s="10"/>
      <c r="M25" s="10"/>
      <c r="N25" s="10"/>
      <c r="O25" s="10"/>
      <c r="P25" s="10"/>
    </row>
    <row r="26" ht="44.05" customHeight="1">
      <c r="A26" t="s" s="8">
        <v>1006</v>
      </c>
      <c r="B26" t="s" s="9">
        <v>960</v>
      </c>
      <c r="C26" s="16">
        <v>600</v>
      </c>
      <c r="D26" s="10"/>
      <c r="E26" s="10"/>
      <c r="F26" s="10"/>
      <c r="G26" s="16">
        <v>1</v>
      </c>
      <c r="H26" t="s" s="17">
        <v>1007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44.05" customHeight="1">
      <c r="A27" t="s" s="8">
        <v>1008</v>
      </c>
      <c r="B27" t="s" s="9">
        <v>960</v>
      </c>
      <c r="C27" s="16">
        <v>600</v>
      </c>
      <c r="D27" s="10"/>
      <c r="E27" s="10"/>
      <c r="F27" s="10"/>
      <c r="G27" s="16">
        <v>1</v>
      </c>
      <c r="H27" t="s" s="17">
        <v>1009</v>
      </c>
      <c r="I27" s="10"/>
      <c r="J27" t="s" s="17">
        <v>35</v>
      </c>
      <c r="K27" s="10"/>
      <c r="L27" s="10"/>
      <c r="M27" s="10"/>
      <c r="N27" s="10"/>
      <c r="O27" s="10"/>
      <c r="P27" s="10"/>
    </row>
    <row r="28" ht="44.05" customHeight="1">
      <c r="A28" t="s" s="8">
        <v>1010</v>
      </c>
      <c r="B28" t="s" s="9">
        <v>960</v>
      </c>
      <c r="C28" s="16">
        <v>600</v>
      </c>
      <c r="D28" s="10"/>
      <c r="E28" s="10"/>
      <c r="F28" s="10"/>
      <c r="G28" s="16">
        <v>1</v>
      </c>
      <c r="H28" t="s" s="17">
        <v>1011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44.05" customHeight="1">
      <c r="A29" t="s" s="8">
        <v>1012</v>
      </c>
      <c r="B29" t="s" s="9">
        <v>960</v>
      </c>
      <c r="C29" s="16">
        <v>600</v>
      </c>
      <c r="D29" s="10"/>
      <c r="E29" s="10"/>
      <c r="F29" s="10"/>
      <c r="G29" s="16">
        <v>1</v>
      </c>
      <c r="H29" t="s" s="17">
        <v>1013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44.05" customHeight="1">
      <c r="A30" t="s" s="8">
        <v>1014</v>
      </c>
      <c r="B30" t="s" s="9">
        <v>960</v>
      </c>
      <c r="C30" s="16">
        <v>600</v>
      </c>
      <c r="D30" s="10"/>
      <c r="E30" s="10"/>
      <c r="F30" s="10"/>
      <c r="G30" s="16">
        <v>1</v>
      </c>
      <c r="H30" t="s" s="17">
        <v>1015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44.05" customHeight="1">
      <c r="A31" t="s" s="8">
        <v>1016</v>
      </c>
      <c r="B31" t="s" s="9">
        <v>960</v>
      </c>
      <c r="C31" s="16">
        <v>600</v>
      </c>
      <c r="D31" s="10"/>
      <c r="E31" s="10"/>
      <c r="F31" s="10"/>
      <c r="G31" s="16">
        <v>1</v>
      </c>
      <c r="H31" t="s" s="17">
        <v>1017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44.05" customHeight="1">
      <c r="A32" t="s" s="8">
        <v>1018</v>
      </c>
      <c r="B32" t="s" s="9">
        <v>960</v>
      </c>
      <c r="C32" s="16">
        <v>600</v>
      </c>
      <c r="D32" s="10"/>
      <c r="E32" s="10"/>
      <c r="F32" s="10"/>
      <c r="G32" s="16">
        <v>1</v>
      </c>
      <c r="H32" t="s" s="17">
        <v>1019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1020</v>
      </c>
      <c r="B33" t="s" s="9">
        <v>960</v>
      </c>
      <c r="C33" s="16">
        <v>300</v>
      </c>
      <c r="D33" s="10"/>
      <c r="E33" s="10"/>
      <c r="F33" s="10"/>
      <c r="G33" s="16">
        <v>2</v>
      </c>
      <c r="H33" t="s" s="17">
        <v>1021</v>
      </c>
      <c r="I33" s="10"/>
      <c r="J33" t="s" s="17">
        <v>35</v>
      </c>
      <c r="K33" s="10"/>
      <c r="L33" s="10"/>
      <c r="M33" s="10"/>
      <c r="N33" s="10"/>
      <c r="O33" s="10"/>
      <c r="P33" s="10"/>
    </row>
    <row r="34" ht="56.05" customHeight="1">
      <c r="A34" t="s" s="8">
        <v>1022</v>
      </c>
      <c r="B34" t="s" s="9">
        <v>960</v>
      </c>
      <c r="C34" s="16">
        <v>800</v>
      </c>
      <c r="D34" s="10"/>
      <c r="E34" s="10"/>
      <c r="F34" s="10"/>
      <c r="G34" s="16">
        <v>3</v>
      </c>
      <c r="H34" t="s" s="17">
        <v>1023</v>
      </c>
      <c r="I34" s="10"/>
      <c r="J34" t="s" s="17">
        <v>35</v>
      </c>
      <c r="K34" s="10"/>
      <c r="L34" s="10"/>
      <c r="M34" s="10"/>
      <c r="N34" s="10"/>
      <c r="O34" s="10"/>
      <c r="P34" s="10"/>
    </row>
    <row r="35" ht="56.05" customHeight="1">
      <c r="A35" t="s" s="8">
        <v>1024</v>
      </c>
      <c r="B35" t="s" s="9">
        <v>960</v>
      </c>
      <c r="C35" s="16">
        <v>800</v>
      </c>
      <c r="D35" s="10"/>
      <c r="E35" s="10"/>
      <c r="F35" s="10"/>
      <c r="G35" s="16">
        <v>3</v>
      </c>
      <c r="H35" t="s" s="17">
        <v>1025</v>
      </c>
      <c r="I35" s="10"/>
      <c r="J35" t="s" s="17">
        <v>35</v>
      </c>
      <c r="K35" s="10"/>
      <c r="L35" s="10"/>
      <c r="M35" s="10"/>
      <c r="N35" s="10"/>
      <c r="O35" s="10"/>
      <c r="P35" s="10"/>
    </row>
    <row r="36" ht="44.05" customHeight="1">
      <c r="A36" t="s" s="8">
        <v>1026</v>
      </c>
      <c r="B36" t="s" s="9">
        <v>960</v>
      </c>
      <c r="C36" s="16">
        <v>800</v>
      </c>
      <c r="D36" s="10"/>
      <c r="E36" s="10"/>
      <c r="F36" s="10"/>
      <c r="G36" s="16">
        <v>3</v>
      </c>
      <c r="H36" t="s" s="17">
        <v>1027</v>
      </c>
      <c r="I36" s="10"/>
      <c r="J36" t="s" s="17">
        <v>35</v>
      </c>
      <c r="K36" s="10"/>
      <c r="L36" s="10"/>
      <c r="M36" s="10"/>
      <c r="N36" s="10"/>
      <c r="O36" s="10"/>
      <c r="P36" s="10"/>
    </row>
    <row r="37" ht="44.05" customHeight="1">
      <c r="A37" t="s" s="8">
        <v>1028</v>
      </c>
      <c r="B37" t="s" s="9">
        <v>960</v>
      </c>
      <c r="C37" s="16">
        <v>800</v>
      </c>
      <c r="D37" s="10"/>
      <c r="E37" s="10"/>
      <c r="F37" s="10"/>
      <c r="G37" s="16">
        <v>3</v>
      </c>
      <c r="H37" t="s" s="17">
        <v>1029</v>
      </c>
      <c r="I37" s="10"/>
      <c r="J37" t="s" s="17">
        <v>35</v>
      </c>
      <c r="K37" s="10"/>
      <c r="L37" s="10"/>
      <c r="M37" s="10"/>
      <c r="N37" s="10"/>
      <c r="O37" s="10"/>
      <c r="P37" s="10"/>
    </row>
    <row r="38" ht="44.05" customHeight="1">
      <c r="A38" t="s" s="8">
        <v>1030</v>
      </c>
      <c r="B38" t="s" s="9">
        <v>960</v>
      </c>
      <c r="C38" s="16">
        <v>800</v>
      </c>
      <c r="D38" s="10"/>
      <c r="E38" s="10"/>
      <c r="F38" s="10"/>
      <c r="G38" s="16">
        <v>3</v>
      </c>
      <c r="H38" t="s" s="17">
        <v>1031</v>
      </c>
      <c r="I38" s="10"/>
      <c r="J38" t="s" s="17">
        <v>35</v>
      </c>
      <c r="K38" s="10"/>
      <c r="L38" s="10"/>
      <c r="M38" s="10"/>
      <c r="N38" s="10"/>
      <c r="O38" s="10"/>
      <c r="P38" s="10"/>
    </row>
    <row r="39" ht="56.05" customHeight="1">
      <c r="A39" t="s" s="8">
        <v>1032</v>
      </c>
      <c r="B39" t="s" s="9">
        <v>960</v>
      </c>
      <c r="C39" s="16">
        <v>800</v>
      </c>
      <c r="D39" s="10"/>
      <c r="E39" s="10"/>
      <c r="F39" s="10"/>
      <c r="G39" s="16">
        <v>3</v>
      </c>
      <c r="H39" t="s" s="17">
        <v>1033</v>
      </c>
      <c r="I39" s="10"/>
      <c r="J39" t="s" s="17">
        <v>35</v>
      </c>
      <c r="K39" s="10"/>
      <c r="L39" s="10"/>
      <c r="M39" s="10"/>
      <c r="N39" s="10"/>
      <c r="O39" s="10"/>
      <c r="P39" s="10"/>
    </row>
    <row r="40" ht="68.05" customHeight="1">
      <c r="A40" t="s" s="8">
        <v>1034</v>
      </c>
      <c r="B40" t="s" s="9">
        <v>960</v>
      </c>
      <c r="C40" s="16">
        <v>800</v>
      </c>
      <c r="D40" s="10"/>
      <c r="E40" s="10"/>
      <c r="F40" s="10"/>
      <c r="G40" s="16">
        <v>3</v>
      </c>
      <c r="H40" t="s" s="17">
        <v>1035</v>
      </c>
      <c r="I40" s="10"/>
      <c r="J40" t="s" s="17">
        <v>35</v>
      </c>
      <c r="K40" s="10"/>
      <c r="L40" s="10"/>
      <c r="M40" s="10"/>
      <c r="N40" s="10"/>
      <c r="O40" s="10"/>
      <c r="P40" s="10"/>
    </row>
    <row r="41" ht="56.05" customHeight="1">
      <c r="A41" t="s" s="8">
        <v>1036</v>
      </c>
      <c r="B41" t="s" s="9">
        <v>960</v>
      </c>
      <c r="C41" s="16">
        <v>1200</v>
      </c>
      <c r="D41" s="10"/>
      <c r="E41" s="10"/>
      <c r="F41" s="10"/>
      <c r="G41" s="16">
        <v>3</v>
      </c>
      <c r="H41" t="s" s="17">
        <v>1037</v>
      </c>
      <c r="I41" s="10"/>
      <c r="J41" t="s" s="17">
        <v>35</v>
      </c>
      <c r="K41" s="10"/>
      <c r="L41" s="10"/>
      <c r="M41" s="10"/>
      <c r="N41" s="10"/>
      <c r="O41" s="10"/>
      <c r="P41" s="10"/>
    </row>
    <row r="42" ht="44.05" customHeight="1">
      <c r="A42" t="s" s="8">
        <v>1038</v>
      </c>
      <c r="B42" t="s" s="9">
        <v>960</v>
      </c>
      <c r="C42" s="16">
        <v>1500</v>
      </c>
      <c r="D42" s="10"/>
      <c r="E42" s="10"/>
      <c r="F42" s="10"/>
      <c r="G42" s="16">
        <v>4</v>
      </c>
      <c r="H42" t="s" s="17">
        <v>1039</v>
      </c>
      <c r="I42" s="10"/>
      <c r="J42" t="s" s="17">
        <v>35</v>
      </c>
      <c r="K42" s="10"/>
      <c r="L42" s="10"/>
      <c r="M42" s="10"/>
      <c r="N42" s="10"/>
      <c r="O42" s="10"/>
      <c r="P42" s="10"/>
    </row>
    <row r="43" ht="44.05" customHeight="1">
      <c r="A43" t="s" s="8">
        <v>1040</v>
      </c>
      <c r="B43" t="s" s="9">
        <v>960</v>
      </c>
      <c r="C43" s="16">
        <v>500</v>
      </c>
      <c r="D43" s="10"/>
      <c r="E43" s="10"/>
      <c r="F43" s="10"/>
      <c r="G43" s="16">
        <v>2</v>
      </c>
      <c r="H43" t="s" s="17">
        <v>1041</v>
      </c>
      <c r="I43" s="10"/>
      <c r="J43" s="10"/>
      <c r="K43" s="10"/>
      <c r="L43" t="s" s="17">
        <v>35</v>
      </c>
      <c r="M43" s="10"/>
      <c r="N43" s="10"/>
      <c r="O43" t="s" s="17">
        <v>35</v>
      </c>
      <c r="P43" s="10"/>
    </row>
    <row r="44" ht="56.05" customHeight="1">
      <c r="A44" t="s" s="8">
        <v>1042</v>
      </c>
      <c r="B44" t="s" s="9">
        <v>960</v>
      </c>
      <c r="C44" s="16">
        <v>700</v>
      </c>
      <c r="D44" s="10"/>
      <c r="E44" s="10"/>
      <c r="F44" s="10"/>
      <c r="G44" s="16">
        <v>1</v>
      </c>
      <c r="H44" t="s" s="17">
        <v>1043</v>
      </c>
      <c r="I44" s="10"/>
      <c r="J44" s="10"/>
      <c r="K44" s="10"/>
      <c r="L44" t="s" s="17">
        <v>35</v>
      </c>
      <c r="M44" s="10"/>
      <c r="N44" s="10"/>
      <c r="O44" t="s" s="17">
        <v>35</v>
      </c>
      <c r="P44" s="10"/>
    </row>
    <row r="45" ht="44.05" customHeight="1">
      <c r="A45" t="s" s="8">
        <v>1044</v>
      </c>
      <c r="B45" t="s" s="9">
        <v>960</v>
      </c>
      <c r="C45" s="16">
        <v>1200</v>
      </c>
      <c r="D45" s="10"/>
      <c r="E45" s="10"/>
      <c r="F45" s="10"/>
      <c r="G45" s="16">
        <v>1</v>
      </c>
      <c r="H45" t="s" s="17">
        <v>1045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1046</v>
      </c>
      <c r="B46" t="s" s="9">
        <v>960</v>
      </c>
      <c r="C46" s="16">
        <v>1500</v>
      </c>
      <c r="D46" s="10"/>
      <c r="E46" s="10"/>
      <c r="F46" s="10"/>
      <c r="G46" s="16">
        <v>1</v>
      </c>
      <c r="H46" t="s" s="17">
        <v>1047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1048</v>
      </c>
      <c r="B47" t="s" s="9">
        <v>960</v>
      </c>
      <c r="C47" s="16">
        <v>950</v>
      </c>
      <c r="D47" s="10"/>
      <c r="E47" s="10"/>
      <c r="F47" s="10"/>
      <c r="G47" s="16">
        <v>1</v>
      </c>
      <c r="H47" t="s" s="17">
        <v>1049</v>
      </c>
      <c r="I47" s="10"/>
      <c r="J47" s="10"/>
      <c r="K47" s="10"/>
      <c r="L47" s="10"/>
      <c r="M47" s="10"/>
      <c r="N47" s="10"/>
      <c r="O47" s="10"/>
      <c r="P47" s="10"/>
    </row>
    <row r="48" ht="44.05" customHeight="1">
      <c r="A48" t="s" s="8">
        <v>1050</v>
      </c>
      <c r="B48" t="s" s="9">
        <v>960</v>
      </c>
      <c r="C48" s="16">
        <v>0</v>
      </c>
      <c r="D48" s="10"/>
      <c r="E48" s="10"/>
      <c r="F48" s="10"/>
      <c r="G48" s="16">
        <v>3</v>
      </c>
      <c r="H48" t="s" s="17">
        <v>1051</v>
      </c>
      <c r="I48" s="10"/>
      <c r="J48" s="10"/>
      <c r="K48" s="10"/>
      <c r="L48" s="10"/>
      <c r="M48" s="10"/>
      <c r="N48" s="10"/>
      <c r="O48" s="10"/>
      <c r="P48" s="10"/>
    </row>
    <row r="49" ht="68.05" customHeight="1">
      <c r="A49" t="s" s="8">
        <v>1052</v>
      </c>
      <c r="B49" t="s" s="9">
        <v>960</v>
      </c>
      <c r="C49" s="16">
        <v>2000</v>
      </c>
      <c r="D49" s="10"/>
      <c r="E49" s="10"/>
      <c r="F49" s="10"/>
      <c r="G49" s="16">
        <v>5</v>
      </c>
      <c r="H49" t="s" s="17">
        <v>1053</v>
      </c>
      <c r="I49" s="10"/>
      <c r="J49" s="10"/>
      <c r="K49" s="10"/>
      <c r="L49" s="10"/>
      <c r="M49" s="10"/>
      <c r="N49" s="10"/>
      <c r="O49" s="10"/>
      <c r="P49" s="10"/>
    </row>
    <row r="50" ht="56.05" customHeight="1">
      <c r="A50" t="s" s="8">
        <v>1054</v>
      </c>
      <c r="B50" t="s" s="9">
        <v>960</v>
      </c>
      <c r="C50" s="16">
        <v>100</v>
      </c>
      <c r="D50" s="10"/>
      <c r="E50" s="10"/>
      <c r="F50" s="10"/>
      <c r="G50" s="16">
        <v>1</v>
      </c>
      <c r="H50" t="s" s="17">
        <v>1055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1056</v>
      </c>
      <c r="B51" s="12"/>
      <c r="C51" s="16">
        <v>0</v>
      </c>
      <c r="D51" s="10"/>
      <c r="E51" s="10"/>
      <c r="F51" s="10"/>
      <c r="G51" s="16">
        <v>1</v>
      </c>
      <c r="H51" t="s" s="17">
        <v>1057</v>
      </c>
      <c r="I51" s="10"/>
      <c r="J51" s="10"/>
      <c r="K51" s="10"/>
      <c r="L51" s="10"/>
      <c r="M51" s="10"/>
      <c r="N51" s="10"/>
      <c r="O51" s="10"/>
      <c r="P51" s="10"/>
    </row>
    <row r="52" ht="44.05" customHeight="1">
      <c r="A52" t="s" s="8">
        <v>1058</v>
      </c>
      <c r="B52" t="s" s="9">
        <v>960</v>
      </c>
      <c r="C52" s="16">
        <v>0</v>
      </c>
      <c r="D52" s="10"/>
      <c r="E52" s="10"/>
      <c r="F52" s="10"/>
      <c r="G52" s="16">
        <v>2</v>
      </c>
      <c r="H52" t="s" s="17">
        <v>1059</v>
      </c>
      <c r="I52" s="10"/>
      <c r="J52" s="10"/>
      <c r="K52" s="10"/>
      <c r="L52" t="s" s="17">
        <v>35</v>
      </c>
      <c r="M52" s="10"/>
      <c r="N52" s="10"/>
      <c r="O52" t="s" s="17">
        <v>35</v>
      </c>
      <c r="P52" s="10"/>
    </row>
    <row r="53" ht="32.05" customHeight="1">
      <c r="A53" t="s" s="8">
        <v>1060</v>
      </c>
      <c r="B53" s="12"/>
      <c r="C53" s="16">
        <v>0</v>
      </c>
      <c r="D53" s="10"/>
      <c r="E53" s="10"/>
      <c r="F53" s="10"/>
      <c r="G53" s="16">
        <v>2</v>
      </c>
      <c r="H53" t="s" s="17">
        <v>1061</v>
      </c>
      <c r="I53" s="10"/>
      <c r="J53" s="10"/>
      <c r="K53" s="10"/>
      <c r="L53" s="10"/>
      <c r="M53" s="10"/>
      <c r="N53" s="10"/>
      <c r="O53" s="10"/>
      <c r="P53" s="10"/>
    </row>
    <row r="54" ht="32.05" customHeight="1">
      <c r="A54" t="s" s="8">
        <v>1062</v>
      </c>
      <c r="B54" s="12"/>
      <c r="C54" s="16">
        <v>500</v>
      </c>
      <c r="D54" s="10"/>
      <c r="E54" s="10"/>
      <c r="F54" s="10"/>
      <c r="G54" s="16">
        <v>3</v>
      </c>
      <c r="H54" t="s" s="17">
        <v>1063</v>
      </c>
      <c r="I54" s="10"/>
      <c r="J54" s="10"/>
      <c r="K54" s="10"/>
      <c r="L54" s="10"/>
      <c r="M54" s="10"/>
      <c r="N54" s="10"/>
      <c r="O54" s="10"/>
      <c r="P54" s="10"/>
    </row>
    <row r="55" ht="32.05" customHeight="1">
      <c r="A55" t="s" s="8">
        <v>1064</v>
      </c>
      <c r="B55" t="s" s="9">
        <v>960</v>
      </c>
      <c r="C55" s="16">
        <v>0</v>
      </c>
      <c r="D55" s="10"/>
      <c r="E55" s="10"/>
      <c r="F55" s="10"/>
      <c r="G55" s="16">
        <v>1</v>
      </c>
      <c r="H55" t="s" s="17">
        <v>1065</v>
      </c>
      <c r="I55" s="10"/>
      <c r="J55" s="10"/>
      <c r="K55" s="10"/>
      <c r="L55" t="s" s="17">
        <v>35</v>
      </c>
      <c r="M55" s="10"/>
      <c r="N55" t="s" s="17">
        <v>35</v>
      </c>
      <c r="O55" s="10"/>
      <c r="P55" s="10"/>
    </row>
    <row r="56" ht="44.05" customHeight="1">
      <c r="A56" t="s" s="8">
        <v>1066</v>
      </c>
      <c r="B56" t="s" s="9">
        <v>960</v>
      </c>
      <c r="C56" s="16">
        <v>0</v>
      </c>
      <c r="D56" s="10"/>
      <c r="E56" s="10"/>
      <c r="F56" s="10"/>
      <c r="G56" s="16">
        <v>1</v>
      </c>
      <c r="H56" t="s" s="17">
        <v>1067</v>
      </c>
      <c r="I56" s="10"/>
      <c r="J56" s="10"/>
      <c r="K56" s="10"/>
      <c r="L56" t="s" s="17">
        <v>35</v>
      </c>
      <c r="M56" s="10"/>
      <c r="N56" t="s" s="17">
        <v>35</v>
      </c>
      <c r="O56" s="10"/>
      <c r="P56" s="10"/>
    </row>
    <row r="57" ht="44.05" customHeight="1">
      <c r="A57" t="s" s="8">
        <v>1068</v>
      </c>
      <c r="B57" s="12"/>
      <c r="C57" s="16">
        <v>0</v>
      </c>
      <c r="D57" s="10"/>
      <c r="E57" s="10"/>
      <c r="F57" s="10"/>
      <c r="G57" s="16">
        <v>1</v>
      </c>
      <c r="H57" t="s" s="17">
        <v>1069</v>
      </c>
      <c r="I57" s="10"/>
      <c r="J57" s="10"/>
      <c r="K57" s="10"/>
      <c r="L57" s="10"/>
      <c r="M57" s="10"/>
      <c r="N57" s="10"/>
      <c r="O57" s="10"/>
      <c r="P57" s="10"/>
    </row>
    <row r="58" ht="80.05" customHeight="1">
      <c r="A58" t="s" s="8">
        <v>1070</v>
      </c>
      <c r="B58" t="s" s="9">
        <v>960</v>
      </c>
      <c r="C58" s="16">
        <v>0</v>
      </c>
      <c r="D58" s="10"/>
      <c r="E58" s="10"/>
      <c r="F58" s="10"/>
      <c r="G58" s="16">
        <v>2</v>
      </c>
      <c r="H58" t="s" s="17">
        <v>1071</v>
      </c>
      <c r="I58" s="10"/>
      <c r="J58" s="10"/>
      <c r="K58" s="10"/>
      <c r="L58" t="s" s="17">
        <v>35</v>
      </c>
      <c r="M58" s="10"/>
      <c r="N58" s="10"/>
      <c r="O58" s="10"/>
      <c r="P58" t="s" s="17">
        <v>35</v>
      </c>
    </row>
    <row r="59" ht="44.05" customHeight="1">
      <c r="A59" t="s" s="8">
        <v>1072</v>
      </c>
      <c r="B59" s="12"/>
      <c r="C59" s="16">
        <v>0</v>
      </c>
      <c r="D59" s="10"/>
      <c r="E59" s="10"/>
      <c r="F59" s="10"/>
      <c r="G59" s="16">
        <v>2</v>
      </c>
      <c r="H59" t="s" s="17">
        <v>1073</v>
      </c>
      <c r="I59" s="10"/>
      <c r="J59" s="10"/>
      <c r="K59" s="10"/>
      <c r="L59" s="10"/>
      <c r="M59" s="10"/>
      <c r="N59" s="10"/>
      <c r="O59" s="10"/>
      <c r="P59" s="10"/>
    </row>
    <row r="60" ht="44.05" customHeight="1">
      <c r="A60" t="s" s="8">
        <v>1074</v>
      </c>
      <c r="B60" t="s" s="9">
        <v>960</v>
      </c>
      <c r="C60" s="16">
        <v>0</v>
      </c>
      <c r="D60" s="10"/>
      <c r="E60" s="10"/>
      <c r="F60" s="10"/>
      <c r="G60" s="16">
        <v>1</v>
      </c>
      <c r="H60" t="s" s="17">
        <v>1075</v>
      </c>
      <c r="I60" s="10"/>
      <c r="J60" s="10"/>
      <c r="K60" s="10"/>
      <c r="L60" t="s" s="17">
        <v>35</v>
      </c>
      <c r="M60" s="10"/>
      <c r="N60" s="10"/>
      <c r="O60" t="s" s="17">
        <v>35</v>
      </c>
      <c r="P60" s="10"/>
    </row>
    <row r="61" ht="20.05" customHeight="1">
      <c r="A61" s="11"/>
      <c r="B61" s="12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P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6" width="14.4062" style="20" customWidth="1"/>
    <col min="17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1076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"&amp;COUNTIF(N3:N556,"Yes")</f>
        <v>1077</v>
      </c>
      <c r="O2" t="s" s="3">
        <f>"Booster Pack - Unseen Presence / "&amp;COUNTIF(O3:O556,"Yes")</f>
        <v>1078</v>
      </c>
      <c r="P2" t="s" s="3">
        <f>"Booster Pack - Wind of Dominance / "&amp;COUNTIF(P3:P556,"Yes")</f>
        <v>1079</v>
      </c>
    </row>
    <row r="3" ht="8.75" customHeight="1" hidden="1">
      <c r="A3" t="s" s="21">
        <v>1080</v>
      </c>
      <c r="B3" t="s" s="22">
        <v>1081</v>
      </c>
      <c r="C3" s="23">
        <v>0</v>
      </c>
      <c r="D3" s="24"/>
      <c r="E3" s="24"/>
      <c r="F3" s="24"/>
      <c r="G3" s="23">
        <v>1</v>
      </c>
      <c r="H3" t="s" s="25">
        <v>1082</v>
      </c>
      <c r="I3" s="24"/>
      <c r="J3" t="s" s="25">
        <v>35</v>
      </c>
      <c r="K3" s="24"/>
      <c r="L3" s="24"/>
      <c r="M3" s="24"/>
      <c r="N3" s="24"/>
      <c r="O3" t="s" s="25">
        <v>35</v>
      </c>
      <c r="P3" s="24"/>
    </row>
    <row r="4" ht="32.25" customHeight="1">
      <c r="A4" t="s" s="5">
        <v>1083</v>
      </c>
      <c r="B4" t="s" s="6">
        <v>1081</v>
      </c>
      <c r="C4" s="14">
        <v>0</v>
      </c>
      <c r="D4" s="7"/>
      <c r="E4" s="7"/>
      <c r="F4" s="7"/>
      <c r="G4" s="14">
        <v>1</v>
      </c>
      <c r="H4" t="s" s="15">
        <v>1084</v>
      </c>
      <c r="I4" s="7"/>
      <c r="J4" t="s" s="15">
        <v>35</v>
      </c>
      <c r="K4" s="7"/>
      <c r="L4" t="s" s="15">
        <v>35</v>
      </c>
      <c r="M4" s="7"/>
      <c r="N4" t="s" s="15">
        <v>35</v>
      </c>
      <c r="O4" s="7"/>
      <c r="P4" s="7"/>
    </row>
    <row r="5" ht="8.35" customHeight="1" hidden="1">
      <c r="A5" t="s" s="8">
        <v>1085</v>
      </c>
      <c r="B5" t="s" s="9">
        <v>1081</v>
      </c>
      <c r="C5" s="16">
        <v>0</v>
      </c>
      <c r="D5" s="10"/>
      <c r="E5" s="10"/>
      <c r="F5" s="10"/>
      <c r="G5" s="16">
        <v>3</v>
      </c>
      <c r="H5" t="s" s="17">
        <v>1086</v>
      </c>
      <c r="I5" s="10"/>
      <c r="J5" t="s" s="17">
        <v>35</v>
      </c>
      <c r="K5" s="10"/>
      <c r="L5" s="10"/>
      <c r="M5" s="10"/>
      <c r="N5" s="10"/>
      <c r="O5" s="10"/>
      <c r="P5" s="10"/>
    </row>
    <row r="6" ht="8.35" customHeight="1" hidden="1">
      <c r="A6" t="s" s="8">
        <v>1087</v>
      </c>
      <c r="B6" t="s" s="9">
        <v>1081</v>
      </c>
      <c r="C6" s="16">
        <v>0</v>
      </c>
      <c r="D6" s="10"/>
      <c r="E6" s="10"/>
      <c r="F6" s="10"/>
      <c r="G6" s="16">
        <v>5</v>
      </c>
      <c r="H6" t="s" s="17">
        <v>1088</v>
      </c>
      <c r="I6" s="10"/>
      <c r="J6" t="s" s="17">
        <v>35</v>
      </c>
      <c r="K6" s="10"/>
      <c r="L6" s="10"/>
      <c r="M6" s="10"/>
      <c r="N6" s="10"/>
      <c r="O6" s="10"/>
      <c r="P6" s="10"/>
    </row>
    <row r="7" ht="8.35" customHeight="1" hidden="1">
      <c r="A7" t="s" s="8">
        <v>1089</v>
      </c>
      <c r="B7" t="s" s="9">
        <v>1081</v>
      </c>
      <c r="C7" s="16">
        <v>0</v>
      </c>
      <c r="D7" s="10"/>
      <c r="E7" s="10"/>
      <c r="F7" s="10"/>
      <c r="G7" s="16">
        <v>2</v>
      </c>
      <c r="H7" t="s" s="17">
        <v>1090</v>
      </c>
      <c r="I7" s="10"/>
      <c r="J7" t="s" s="17">
        <v>35</v>
      </c>
      <c r="K7" s="10"/>
      <c r="L7" s="10"/>
      <c r="M7" s="10"/>
      <c r="N7" s="10"/>
      <c r="O7" s="10"/>
      <c r="P7" s="10"/>
    </row>
    <row r="8" ht="8.35" customHeight="1" hidden="1">
      <c r="A8" t="s" s="8">
        <v>1091</v>
      </c>
      <c r="B8" t="s" s="9">
        <v>1081</v>
      </c>
      <c r="C8" s="16">
        <v>0</v>
      </c>
      <c r="D8" s="10"/>
      <c r="E8" s="10"/>
      <c r="F8" s="10"/>
      <c r="G8" s="16">
        <v>3</v>
      </c>
      <c r="H8" t="s" s="17">
        <v>1092</v>
      </c>
      <c r="I8" s="10"/>
      <c r="J8" t="s" s="17">
        <v>35</v>
      </c>
      <c r="K8" s="10"/>
      <c r="L8" s="10"/>
      <c r="M8" s="10"/>
      <c r="N8" s="10"/>
      <c r="O8" s="10"/>
      <c r="P8" s="10"/>
    </row>
    <row r="9" ht="8.35" customHeight="1" hidden="1">
      <c r="A9" t="s" s="8">
        <v>1093</v>
      </c>
      <c r="B9" t="s" s="9">
        <v>1081</v>
      </c>
      <c r="C9" s="16">
        <v>0</v>
      </c>
      <c r="D9" s="10"/>
      <c r="E9" s="10"/>
      <c r="F9" s="10"/>
      <c r="G9" s="16">
        <v>4</v>
      </c>
      <c r="H9" t="s" s="17">
        <v>1094</v>
      </c>
      <c r="I9" s="10"/>
      <c r="J9" t="s" s="17">
        <v>35</v>
      </c>
      <c r="K9" s="10"/>
      <c r="L9" s="10"/>
      <c r="M9" s="10"/>
      <c r="N9" s="10"/>
      <c r="O9" s="10"/>
      <c r="P9" s="10"/>
    </row>
    <row r="10" ht="32.05" customHeight="1">
      <c r="A10" t="s" s="8">
        <v>1095</v>
      </c>
      <c r="B10" t="s" s="9">
        <v>1081</v>
      </c>
      <c r="C10" s="16">
        <v>0</v>
      </c>
      <c r="D10" s="10"/>
      <c r="E10" s="10"/>
      <c r="F10" s="10"/>
      <c r="G10" s="16">
        <v>2</v>
      </c>
      <c r="H10" t="s" s="17">
        <v>1096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44.05" customHeight="1">
      <c r="A11" t="s" s="8">
        <v>1097</v>
      </c>
      <c r="B11" t="s" s="9">
        <v>1081</v>
      </c>
      <c r="C11" s="16">
        <v>0</v>
      </c>
      <c r="D11" s="10"/>
      <c r="E11" s="10"/>
      <c r="F11" s="10"/>
      <c r="G11" s="16">
        <v>3</v>
      </c>
      <c r="H11" t="s" s="17">
        <v>1098</v>
      </c>
      <c r="I11" s="10"/>
      <c r="J11" t="s" s="17">
        <v>35</v>
      </c>
      <c r="K11" s="10"/>
      <c r="L11" t="s" s="17">
        <v>35</v>
      </c>
      <c r="M11" s="10"/>
      <c r="N11" t="s" s="17">
        <v>35</v>
      </c>
      <c r="O11" s="10"/>
      <c r="P11" s="10"/>
    </row>
    <row r="12" ht="44.05" customHeight="1">
      <c r="A12" t="s" s="8">
        <v>1099</v>
      </c>
      <c r="B12" t="s" s="9">
        <v>1081</v>
      </c>
      <c r="C12" s="16">
        <v>0</v>
      </c>
      <c r="D12" s="10"/>
      <c r="E12" s="10"/>
      <c r="F12" s="10"/>
      <c r="G12" s="16">
        <v>4</v>
      </c>
      <c r="H12" t="s" s="17">
        <v>1100</v>
      </c>
      <c r="I12" s="10"/>
      <c r="J12" t="s" s="17">
        <v>35</v>
      </c>
      <c r="K12" s="10"/>
      <c r="L12" t="s" s="17">
        <v>35</v>
      </c>
      <c r="M12" s="10"/>
      <c r="N12" s="10"/>
      <c r="O12" t="s" s="17">
        <v>35</v>
      </c>
      <c r="P12" s="10"/>
    </row>
    <row r="13" ht="56.05" customHeight="1">
      <c r="A13" t="s" s="8">
        <v>1101</v>
      </c>
      <c r="B13" t="s" s="9">
        <v>1081</v>
      </c>
      <c r="C13" s="16">
        <v>0</v>
      </c>
      <c r="D13" s="10"/>
      <c r="E13" s="10"/>
      <c r="F13" s="10"/>
      <c r="G13" s="16">
        <v>4</v>
      </c>
      <c r="H13" t="s" s="17">
        <v>1102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8.35" customHeight="1" hidden="1">
      <c r="A14" t="s" s="8">
        <v>1103</v>
      </c>
      <c r="B14" t="s" s="9">
        <v>1081</v>
      </c>
      <c r="C14" s="16">
        <v>3000</v>
      </c>
      <c r="D14" s="10"/>
      <c r="E14" s="10"/>
      <c r="F14" s="10"/>
      <c r="G14" s="16">
        <v>5</v>
      </c>
      <c r="H14" t="s" s="17">
        <v>1104</v>
      </c>
      <c r="I14" s="10"/>
      <c r="J14" t="s" s="17">
        <v>35</v>
      </c>
      <c r="K14" s="10"/>
      <c r="L14" s="10"/>
      <c r="M14" s="10"/>
      <c r="N14" s="10"/>
      <c r="O14" s="10"/>
      <c r="P14" s="10"/>
    </row>
    <row r="15" ht="8.35" customHeight="1" hidden="1">
      <c r="A15" t="s" s="8">
        <v>1105</v>
      </c>
      <c r="B15" t="s" s="9">
        <v>1081</v>
      </c>
      <c r="C15" s="16">
        <v>2000</v>
      </c>
      <c r="D15" s="10"/>
      <c r="E15" s="10"/>
      <c r="F15" s="10"/>
      <c r="G15" s="16">
        <v>3</v>
      </c>
      <c r="H15" t="s" s="17">
        <v>1106</v>
      </c>
      <c r="I15" s="10"/>
      <c r="J15" t="s" s="17">
        <v>35</v>
      </c>
      <c r="K15" s="10"/>
      <c r="L15" s="10"/>
      <c r="M15" s="10"/>
      <c r="N15" s="10"/>
      <c r="O15" s="10"/>
      <c r="P15" s="10"/>
    </row>
    <row r="16" ht="32.05" customHeight="1">
      <c r="A16" t="s" s="8">
        <v>1107</v>
      </c>
      <c r="B16" t="s" s="9">
        <v>1081</v>
      </c>
      <c r="C16" s="16">
        <v>1000</v>
      </c>
      <c r="D16" s="10"/>
      <c r="E16" s="10"/>
      <c r="F16" s="10"/>
      <c r="G16" s="16">
        <v>4</v>
      </c>
      <c r="H16" t="s" s="17">
        <v>1108</v>
      </c>
      <c r="I16" s="10"/>
      <c r="J16" t="s" s="17">
        <v>35</v>
      </c>
      <c r="K16" s="10"/>
      <c r="L16" t="s" s="17">
        <v>35</v>
      </c>
      <c r="M16" s="10"/>
      <c r="N16" s="10"/>
      <c r="O16" s="10"/>
      <c r="P16" t="s" s="17">
        <v>35</v>
      </c>
    </row>
    <row r="17" ht="44.05" customHeight="1">
      <c r="A17" t="s" s="8">
        <v>1109</v>
      </c>
      <c r="B17" t="s" s="9">
        <v>1081</v>
      </c>
      <c r="C17" s="16">
        <v>800</v>
      </c>
      <c r="D17" s="10"/>
      <c r="E17" s="10"/>
      <c r="F17" s="10"/>
      <c r="G17" s="16">
        <v>3</v>
      </c>
      <c r="H17" t="s" s="17">
        <v>1110</v>
      </c>
      <c r="I17" s="10"/>
      <c r="J17" t="s" s="17">
        <v>35</v>
      </c>
      <c r="K17" s="10"/>
      <c r="L17" t="s" s="17">
        <v>35</v>
      </c>
      <c r="M17" s="10"/>
      <c r="N17" t="s" s="17">
        <v>35</v>
      </c>
      <c r="O17" s="10"/>
      <c r="P17" s="10"/>
    </row>
    <row r="18" ht="8.35" customHeight="1" hidden="1">
      <c r="A18" t="s" s="8">
        <v>1111</v>
      </c>
      <c r="B18" t="s" s="9">
        <v>1081</v>
      </c>
      <c r="C18" s="16">
        <v>500</v>
      </c>
      <c r="D18" s="10"/>
      <c r="E18" s="10"/>
      <c r="F18" s="10"/>
      <c r="G18" s="16">
        <v>2</v>
      </c>
      <c r="H18" t="s" s="17">
        <v>1112</v>
      </c>
      <c r="I18" s="10"/>
      <c r="J18" t="s" s="17">
        <v>35</v>
      </c>
      <c r="K18" s="10"/>
      <c r="L18" s="10"/>
      <c r="M18" s="10"/>
      <c r="N18" s="10"/>
      <c r="O18" s="10"/>
      <c r="P18" s="10"/>
    </row>
    <row r="19" ht="8.35" customHeight="1" hidden="1">
      <c r="A19" t="s" s="8">
        <v>1113</v>
      </c>
      <c r="B19" t="s" s="9">
        <v>1081</v>
      </c>
      <c r="C19" s="16">
        <v>1000</v>
      </c>
      <c r="D19" s="10"/>
      <c r="E19" s="10"/>
      <c r="F19" s="10"/>
      <c r="G19" s="16">
        <v>4</v>
      </c>
      <c r="H19" t="s" s="17">
        <v>1114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8.35" customHeight="1" hidden="1">
      <c r="A20" t="s" s="8">
        <v>1115</v>
      </c>
      <c r="B20" t="s" s="9">
        <v>1081</v>
      </c>
      <c r="C20" s="16">
        <v>600</v>
      </c>
      <c r="D20" s="10"/>
      <c r="E20" s="10"/>
      <c r="F20" s="10"/>
      <c r="G20" s="16">
        <v>3</v>
      </c>
      <c r="H20" t="s" s="17">
        <v>1116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8.35" customHeight="1" hidden="1">
      <c r="A21" t="s" s="8">
        <v>1117</v>
      </c>
      <c r="B21" t="s" s="9">
        <v>1081</v>
      </c>
      <c r="C21" s="16">
        <v>1500</v>
      </c>
      <c r="D21" s="10"/>
      <c r="E21" s="10"/>
      <c r="F21" s="10"/>
      <c r="G21" s="16">
        <v>4</v>
      </c>
      <c r="H21" t="s" s="17">
        <v>1118</v>
      </c>
      <c r="I21" s="10"/>
      <c r="J21" t="s" s="17">
        <v>35</v>
      </c>
      <c r="K21" s="10"/>
      <c r="L21" s="10"/>
      <c r="M21" s="10"/>
      <c r="N21" s="10"/>
      <c r="O21" s="10"/>
      <c r="P21" s="10"/>
    </row>
    <row r="22" ht="8.35" customHeight="1" hidden="1">
      <c r="A22" t="s" s="8">
        <v>1119</v>
      </c>
      <c r="B22" t="s" s="9">
        <v>1081</v>
      </c>
      <c r="C22" s="16">
        <v>850</v>
      </c>
      <c r="D22" s="10"/>
      <c r="E22" s="10"/>
      <c r="F22" s="10"/>
      <c r="G22" s="16">
        <v>3</v>
      </c>
      <c r="H22" t="s" s="17">
        <v>1120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44.05" customHeight="1">
      <c r="A23" t="s" s="8">
        <v>1121</v>
      </c>
      <c r="B23" t="s" s="9">
        <v>1081</v>
      </c>
      <c r="C23" s="16">
        <v>1000</v>
      </c>
      <c r="D23" s="10"/>
      <c r="E23" s="10"/>
      <c r="F23" s="10"/>
      <c r="G23" s="16">
        <v>5</v>
      </c>
      <c r="H23" t="s" s="17">
        <v>1122</v>
      </c>
      <c r="I23" s="10"/>
      <c r="J23" t="s" s="17">
        <v>35</v>
      </c>
      <c r="K23" s="10"/>
      <c r="L23" t="s" s="17">
        <v>35</v>
      </c>
      <c r="M23" s="10"/>
      <c r="N23" s="10"/>
      <c r="O23" s="10"/>
      <c r="P23" t="s" s="17">
        <v>35</v>
      </c>
    </row>
    <row r="24" ht="8.35" customHeight="1" hidden="1">
      <c r="A24" t="s" s="8">
        <v>1123</v>
      </c>
      <c r="B24" t="s" s="9">
        <v>1081</v>
      </c>
      <c r="C24" s="16">
        <v>2000</v>
      </c>
      <c r="D24" s="10"/>
      <c r="E24" s="10"/>
      <c r="F24" s="10"/>
      <c r="G24" s="16">
        <v>4</v>
      </c>
      <c r="H24" t="s" s="17">
        <v>1124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80.05" customHeight="1">
      <c r="A25" t="s" s="8">
        <v>1125</v>
      </c>
      <c r="B25" t="s" s="9">
        <v>1081</v>
      </c>
      <c r="C25" s="16">
        <v>1000</v>
      </c>
      <c r="D25" s="10"/>
      <c r="E25" s="10"/>
      <c r="F25" s="10"/>
      <c r="G25" s="16">
        <v>3</v>
      </c>
      <c r="H25" t="s" s="17">
        <v>1126</v>
      </c>
      <c r="I25" s="10"/>
      <c r="J25" t="s" s="17">
        <v>35</v>
      </c>
      <c r="K25" s="10"/>
      <c r="L25" t="s" s="17">
        <v>35</v>
      </c>
      <c r="M25" s="10"/>
      <c r="N25" s="10"/>
      <c r="O25" s="10"/>
      <c r="P25" t="s" s="17">
        <v>35</v>
      </c>
    </row>
    <row r="26" ht="8.35" customHeight="1" hidden="1">
      <c r="A26" t="s" s="8">
        <v>1127</v>
      </c>
      <c r="B26" t="s" s="9">
        <v>1081</v>
      </c>
      <c r="C26" s="16">
        <v>2000</v>
      </c>
      <c r="D26" s="10"/>
      <c r="E26" s="10"/>
      <c r="F26" s="10"/>
      <c r="G26" s="16">
        <v>5</v>
      </c>
      <c r="H26" t="s" s="17">
        <v>1128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32.05" customHeight="1">
      <c r="A27" t="s" s="8">
        <v>1129</v>
      </c>
      <c r="B27" t="s" s="9">
        <v>1081</v>
      </c>
      <c r="C27" s="16">
        <v>600</v>
      </c>
      <c r="D27" s="10"/>
      <c r="E27" s="10"/>
      <c r="F27" s="10"/>
      <c r="G27" s="16">
        <v>1</v>
      </c>
      <c r="H27" t="s" s="17">
        <v>1130</v>
      </c>
      <c r="I27" s="10"/>
      <c r="J27" t="s" s="17">
        <v>35</v>
      </c>
      <c r="K27" s="10"/>
      <c r="L27" t="s" s="17">
        <v>35</v>
      </c>
      <c r="M27" s="10"/>
      <c r="N27" t="s" s="17">
        <v>35</v>
      </c>
      <c r="O27" s="10"/>
      <c r="P27" s="10"/>
    </row>
    <row r="28" ht="8.35" customHeight="1" hidden="1">
      <c r="A28" t="s" s="8">
        <v>1131</v>
      </c>
      <c r="B28" t="s" s="9">
        <v>1081</v>
      </c>
      <c r="C28" s="16">
        <v>500</v>
      </c>
      <c r="D28" s="10"/>
      <c r="E28" s="10"/>
      <c r="F28" s="10"/>
      <c r="G28" s="16">
        <v>2</v>
      </c>
      <c r="H28" t="s" s="17">
        <v>1132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8.35" customHeight="1" hidden="1">
      <c r="A29" t="s" s="8">
        <v>1133</v>
      </c>
      <c r="B29" t="s" s="9">
        <v>1081</v>
      </c>
      <c r="C29" s="16">
        <v>700</v>
      </c>
      <c r="D29" s="10"/>
      <c r="E29" s="10"/>
      <c r="F29" s="10"/>
      <c r="G29" s="16">
        <v>5</v>
      </c>
      <c r="H29" t="s" s="17">
        <v>1134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8.35" customHeight="1" hidden="1">
      <c r="A30" t="s" s="8">
        <v>1135</v>
      </c>
      <c r="B30" t="s" s="9">
        <v>1081</v>
      </c>
      <c r="C30" s="16">
        <v>1200</v>
      </c>
      <c r="D30" s="10"/>
      <c r="E30" s="10"/>
      <c r="F30" s="10"/>
      <c r="G30" s="16">
        <v>4</v>
      </c>
      <c r="H30" t="s" s="17">
        <v>1136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8.35" customHeight="1" hidden="1">
      <c r="A31" t="s" s="8">
        <v>1137</v>
      </c>
      <c r="B31" t="s" s="9">
        <v>1081</v>
      </c>
      <c r="C31" s="16">
        <v>1000</v>
      </c>
      <c r="D31" s="10"/>
      <c r="E31" s="10"/>
      <c r="F31" s="10"/>
      <c r="G31" s="16">
        <v>5</v>
      </c>
      <c r="H31" t="s" s="17">
        <v>1138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8.35" customHeight="1" hidden="1">
      <c r="A32" t="s" s="8">
        <v>1139</v>
      </c>
      <c r="B32" t="s" s="9">
        <v>1081</v>
      </c>
      <c r="C32" s="16">
        <v>1800</v>
      </c>
      <c r="D32" s="10"/>
      <c r="E32" s="10"/>
      <c r="F32" s="10"/>
      <c r="G32" s="16">
        <v>5</v>
      </c>
      <c r="H32" t="s" s="17">
        <v>1140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56.05" customHeight="1">
      <c r="A33" t="s" s="8">
        <v>1141</v>
      </c>
      <c r="B33" t="s" s="9">
        <v>1081</v>
      </c>
      <c r="C33" s="16">
        <v>1500</v>
      </c>
      <c r="D33" s="10"/>
      <c r="E33" s="10"/>
      <c r="F33" s="10"/>
      <c r="G33" s="16">
        <v>4</v>
      </c>
      <c r="H33" t="s" s="17">
        <v>1142</v>
      </c>
      <c r="I33" s="10"/>
      <c r="J33" t="s" s="17">
        <v>35</v>
      </c>
      <c r="K33" s="10"/>
      <c r="L33" t="s" s="17">
        <v>35</v>
      </c>
      <c r="M33" s="10"/>
      <c r="N33" s="10"/>
      <c r="O33" s="10"/>
      <c r="P33" t="s" s="17">
        <v>35</v>
      </c>
    </row>
    <row r="34" ht="8.35" customHeight="1" hidden="1">
      <c r="A34" t="s" s="8">
        <v>1143</v>
      </c>
      <c r="B34" t="s" s="9">
        <v>1081</v>
      </c>
      <c r="C34" s="16">
        <v>1000</v>
      </c>
      <c r="D34" s="10"/>
      <c r="E34" s="10"/>
      <c r="F34" s="10"/>
      <c r="G34" s="16">
        <v>3</v>
      </c>
      <c r="H34" t="s" s="17">
        <v>1144</v>
      </c>
      <c r="I34" s="10"/>
      <c r="J34" s="10"/>
      <c r="K34" s="10"/>
      <c r="L34" s="10"/>
      <c r="M34" s="10"/>
      <c r="N34" s="10"/>
      <c r="O34" s="10"/>
      <c r="P34" s="10"/>
    </row>
    <row r="35" ht="8.35" customHeight="1" hidden="1">
      <c r="A35" t="s" s="8">
        <v>1145</v>
      </c>
      <c r="B35" t="s" s="9">
        <v>1081</v>
      </c>
      <c r="C35" s="16">
        <v>600</v>
      </c>
      <c r="D35" s="10"/>
      <c r="E35" s="10"/>
      <c r="F35" s="10"/>
      <c r="G35" s="16">
        <v>2</v>
      </c>
      <c r="H35" t="s" s="17">
        <v>1146</v>
      </c>
      <c r="I35" s="10"/>
      <c r="J35" s="10"/>
      <c r="K35" s="10"/>
      <c r="L35" s="10"/>
      <c r="M35" s="10"/>
      <c r="N35" s="10"/>
      <c r="O35" s="10"/>
      <c r="P35" s="10"/>
    </row>
    <row r="36" ht="8.35" customHeight="1" hidden="1">
      <c r="A36" t="s" s="8">
        <v>1147</v>
      </c>
      <c r="B36" t="s" s="9">
        <v>1081</v>
      </c>
      <c r="C36" s="16">
        <v>250</v>
      </c>
      <c r="D36" s="10"/>
      <c r="E36" s="10"/>
      <c r="F36" s="10"/>
      <c r="G36" s="16">
        <v>3</v>
      </c>
      <c r="H36" t="s" s="17">
        <v>1148</v>
      </c>
      <c r="I36" s="10"/>
      <c r="J36" s="10"/>
      <c r="K36" s="10"/>
      <c r="L36" s="10"/>
      <c r="M36" s="10"/>
      <c r="N36" s="10"/>
      <c r="O36" s="10"/>
      <c r="P36" s="10"/>
    </row>
    <row r="37" ht="8.35" customHeight="1" hidden="1">
      <c r="A37" t="s" s="8">
        <v>1149</v>
      </c>
      <c r="B37" t="s" s="9">
        <v>1081</v>
      </c>
      <c r="C37" s="16">
        <v>300</v>
      </c>
      <c r="D37" s="10"/>
      <c r="E37" s="10"/>
      <c r="F37" s="10"/>
      <c r="G37" s="16">
        <v>2</v>
      </c>
      <c r="H37" t="s" s="17">
        <v>1150</v>
      </c>
      <c r="I37" s="10"/>
      <c r="J37" s="10"/>
      <c r="K37" s="10"/>
      <c r="L37" s="10"/>
      <c r="M37" s="10"/>
      <c r="N37" s="10"/>
      <c r="O37" s="10"/>
      <c r="P37" s="10"/>
    </row>
    <row r="38" ht="8.35" customHeight="1" hidden="1">
      <c r="A38" t="s" s="8">
        <v>1151</v>
      </c>
      <c r="B38" t="s" s="9">
        <v>1081</v>
      </c>
      <c r="C38" s="16">
        <v>1000</v>
      </c>
      <c r="D38" s="10"/>
      <c r="E38" s="10"/>
      <c r="F38" s="10"/>
      <c r="G38" s="16">
        <v>3</v>
      </c>
      <c r="H38" t="s" s="17">
        <v>1152</v>
      </c>
      <c r="I38" s="10"/>
      <c r="J38" s="10"/>
      <c r="K38" s="10"/>
      <c r="L38" s="10"/>
      <c r="M38" s="10"/>
      <c r="N38" s="10"/>
      <c r="O38" s="10"/>
      <c r="P38" s="10"/>
    </row>
    <row r="39" ht="8.35" customHeight="1" hidden="1">
      <c r="A39" t="s" s="8">
        <v>1153</v>
      </c>
      <c r="B39" t="s" s="9">
        <v>1081</v>
      </c>
      <c r="C39" s="16">
        <v>1200</v>
      </c>
      <c r="D39" s="10"/>
      <c r="E39" s="10"/>
      <c r="F39" s="10"/>
      <c r="G39" s="16">
        <v>4</v>
      </c>
      <c r="H39" t="s" s="17">
        <v>1154</v>
      </c>
      <c r="I39" s="10"/>
      <c r="J39" s="10"/>
      <c r="K39" s="10"/>
      <c r="L39" s="10"/>
      <c r="M39" s="10"/>
      <c r="N39" s="10"/>
      <c r="O39" s="10"/>
      <c r="P39" s="10"/>
    </row>
    <row r="40" ht="8.35" customHeight="1" hidden="1">
      <c r="A40" t="s" s="8">
        <v>1155</v>
      </c>
      <c r="B40" t="s" s="9">
        <v>1081</v>
      </c>
      <c r="C40" s="16">
        <v>0</v>
      </c>
      <c r="D40" s="10"/>
      <c r="E40" s="10"/>
      <c r="F40" s="10"/>
      <c r="G40" s="16">
        <v>1</v>
      </c>
      <c r="H40" t="s" s="17">
        <v>1156</v>
      </c>
      <c r="I40" s="10"/>
      <c r="J40" s="10"/>
      <c r="K40" s="10"/>
      <c r="L40" s="10"/>
      <c r="M40" s="10"/>
      <c r="N40" s="10"/>
      <c r="O40" s="10"/>
      <c r="P40" s="10"/>
    </row>
    <row r="41" ht="8.35" customHeight="1" hidden="1">
      <c r="A41" t="s" s="8">
        <v>1157</v>
      </c>
      <c r="B41" t="s" s="9">
        <v>1081</v>
      </c>
      <c r="C41" s="16">
        <v>0</v>
      </c>
      <c r="D41" s="10"/>
      <c r="E41" s="10"/>
      <c r="F41" s="10"/>
      <c r="G41" s="16">
        <v>2</v>
      </c>
      <c r="H41" t="s" s="17">
        <v>1158</v>
      </c>
      <c r="I41" s="10"/>
      <c r="J41" s="10"/>
      <c r="K41" s="10"/>
      <c r="L41" s="10"/>
      <c r="M41" s="10"/>
      <c r="N41" s="10"/>
      <c r="O41" s="10"/>
      <c r="P41" s="10"/>
    </row>
    <row r="42" ht="8.35" customHeight="1" hidden="1">
      <c r="A42" t="s" s="8">
        <v>1159</v>
      </c>
      <c r="B42" t="s" s="9">
        <v>1081</v>
      </c>
      <c r="C42" s="16">
        <v>0</v>
      </c>
      <c r="D42" s="10"/>
      <c r="E42" s="10"/>
      <c r="F42" s="10"/>
      <c r="G42" s="16">
        <v>1</v>
      </c>
      <c r="H42" t="s" s="17">
        <v>1160</v>
      </c>
      <c r="I42" s="10"/>
      <c r="J42" s="10"/>
      <c r="K42" s="10"/>
      <c r="L42" s="10"/>
      <c r="M42" s="10"/>
      <c r="N42" s="10"/>
      <c r="O42" s="10"/>
      <c r="P42" s="10"/>
    </row>
    <row r="43" ht="8.35" customHeight="1" hidden="1">
      <c r="A43" t="s" s="8">
        <v>1161</v>
      </c>
      <c r="B43" t="s" s="9">
        <v>1081</v>
      </c>
      <c r="C43" s="16">
        <v>0</v>
      </c>
      <c r="D43" s="10"/>
      <c r="E43" s="10"/>
      <c r="F43" s="10"/>
      <c r="G43" s="16">
        <v>2</v>
      </c>
      <c r="H43" t="s" s="17">
        <v>1162</v>
      </c>
      <c r="I43" s="10"/>
      <c r="J43" s="10"/>
      <c r="K43" s="10"/>
      <c r="L43" s="10"/>
      <c r="M43" s="10"/>
      <c r="N43" s="10"/>
      <c r="O43" s="10"/>
      <c r="P43" s="10"/>
    </row>
    <row r="44" ht="8.35" customHeight="1" hidden="1">
      <c r="A44" t="s" s="8">
        <v>1163</v>
      </c>
      <c r="B44" t="s" s="9">
        <v>1081</v>
      </c>
      <c r="C44" s="16">
        <v>0</v>
      </c>
      <c r="D44" s="10"/>
      <c r="E44" s="10"/>
      <c r="F44" s="10"/>
      <c r="G44" s="16">
        <v>1</v>
      </c>
      <c r="H44" t="s" s="17">
        <v>1164</v>
      </c>
      <c r="I44" s="10"/>
      <c r="J44" s="10"/>
      <c r="K44" s="10"/>
      <c r="L44" s="10"/>
      <c r="M44" s="10"/>
      <c r="N44" s="10"/>
      <c r="O44" s="10"/>
      <c r="P44" s="10"/>
    </row>
    <row r="45" ht="8.35" customHeight="1" hidden="1">
      <c r="A45" t="s" s="8">
        <v>1165</v>
      </c>
      <c r="B45" t="s" s="9">
        <v>1081</v>
      </c>
      <c r="C45" s="16">
        <v>0</v>
      </c>
      <c r="D45" s="10"/>
      <c r="E45" s="10"/>
      <c r="F45" s="10"/>
      <c r="G45" s="16">
        <v>2</v>
      </c>
      <c r="H45" t="s" s="17">
        <v>1166</v>
      </c>
      <c r="I45" s="10"/>
      <c r="J45" s="10"/>
      <c r="K45" s="10"/>
      <c r="L45" s="10"/>
      <c r="M45" s="10"/>
      <c r="N45" s="10"/>
      <c r="O45" s="10"/>
      <c r="P45" s="10"/>
    </row>
    <row r="46" ht="8.35" customHeight="1" hidden="1">
      <c r="A46" t="s" s="8">
        <v>1167</v>
      </c>
      <c r="B46" t="s" s="9">
        <v>1081</v>
      </c>
      <c r="C46" s="16">
        <v>0</v>
      </c>
      <c r="D46" s="10"/>
      <c r="E46" s="10"/>
      <c r="F46" s="10"/>
      <c r="G46" s="16">
        <v>1</v>
      </c>
      <c r="H46" t="s" s="17">
        <v>1168</v>
      </c>
      <c r="I46" s="10"/>
      <c r="J46" s="10"/>
      <c r="K46" s="10"/>
      <c r="L46" s="10"/>
      <c r="M46" s="10"/>
      <c r="N46" s="10"/>
      <c r="O46" s="10"/>
      <c r="P46" s="10"/>
    </row>
    <row r="47" ht="8.35" customHeight="1" hidden="1">
      <c r="A47" t="s" s="8">
        <v>1169</v>
      </c>
      <c r="B47" t="s" s="9">
        <v>1081</v>
      </c>
      <c r="C47" s="16">
        <v>0</v>
      </c>
      <c r="D47" s="10"/>
      <c r="E47" s="10"/>
      <c r="F47" s="10"/>
      <c r="G47" s="16">
        <v>1</v>
      </c>
      <c r="H47" t="s" s="17">
        <v>1170</v>
      </c>
      <c r="I47" s="10"/>
      <c r="J47" s="10"/>
      <c r="K47" s="10"/>
      <c r="L47" s="10"/>
      <c r="M47" s="10"/>
      <c r="N47" s="10"/>
      <c r="O47" s="10"/>
      <c r="P47" s="10"/>
    </row>
    <row r="48" ht="8.35" customHeight="1" hidden="1">
      <c r="A48" t="s" s="8">
        <v>1171</v>
      </c>
      <c r="B48" t="s" s="9">
        <v>1081</v>
      </c>
      <c r="C48" s="16">
        <v>500</v>
      </c>
      <c r="D48" s="10"/>
      <c r="E48" s="10"/>
      <c r="F48" s="10"/>
      <c r="G48" s="16">
        <v>1</v>
      </c>
      <c r="H48" t="s" s="17">
        <v>1172</v>
      </c>
      <c r="I48" s="10"/>
      <c r="J48" s="10"/>
      <c r="K48" s="10"/>
      <c r="L48" s="10"/>
      <c r="M48" s="10"/>
      <c r="N48" s="10"/>
      <c r="O48" s="10"/>
      <c r="P48" s="10"/>
    </row>
    <row r="49" ht="8.35" customHeight="1" hidden="1">
      <c r="A49" t="s" s="8">
        <v>1173</v>
      </c>
      <c r="B49" t="s" s="9">
        <v>1081</v>
      </c>
      <c r="C49" s="16">
        <v>0</v>
      </c>
      <c r="D49" s="10"/>
      <c r="E49" s="10"/>
      <c r="F49" s="10"/>
      <c r="G49" s="16">
        <v>1</v>
      </c>
      <c r="H49" t="s" s="17">
        <v>1174</v>
      </c>
      <c r="I49" s="10"/>
      <c r="J49" s="10"/>
      <c r="K49" s="10"/>
      <c r="L49" s="10"/>
      <c r="M49" s="10"/>
      <c r="N49" s="10"/>
      <c r="O49" s="10"/>
      <c r="P49" s="10"/>
    </row>
    <row r="50" ht="8.35" customHeight="1" hidden="1">
      <c r="A50" t="s" s="8">
        <v>1175</v>
      </c>
      <c r="B50" t="s" s="9">
        <v>1081</v>
      </c>
      <c r="C50" s="16">
        <v>600</v>
      </c>
      <c r="D50" s="10"/>
      <c r="E50" s="10"/>
      <c r="F50" s="10"/>
      <c r="G50" s="16">
        <v>1</v>
      </c>
      <c r="H50" t="s" s="17">
        <v>1176</v>
      </c>
      <c r="I50" s="10"/>
      <c r="J50" s="10"/>
      <c r="K50" s="10"/>
      <c r="L50" s="10"/>
      <c r="M50" s="10"/>
      <c r="N50" s="10"/>
      <c r="O50" s="10"/>
      <c r="P50" s="10"/>
    </row>
    <row r="51" ht="8.35" customHeight="1" hidden="1">
      <c r="A51" t="s" s="8">
        <v>1177</v>
      </c>
      <c r="B51" t="s" s="9">
        <v>1081</v>
      </c>
      <c r="C51" s="16">
        <v>0</v>
      </c>
      <c r="D51" s="10"/>
      <c r="E51" s="10"/>
      <c r="F51" s="10"/>
      <c r="G51" s="16">
        <v>1</v>
      </c>
      <c r="H51" t="s" s="17">
        <v>1178</v>
      </c>
      <c r="I51" s="10"/>
      <c r="J51" s="10"/>
      <c r="K51" s="10"/>
      <c r="L51" s="10"/>
      <c r="M51" s="10"/>
      <c r="N51" s="10"/>
      <c r="O51" s="10"/>
      <c r="P51" s="10"/>
    </row>
    <row r="52" ht="8.35" customHeight="1" hidden="1">
      <c r="A52" t="s" s="8">
        <v>1179</v>
      </c>
      <c r="B52" t="s" s="9">
        <v>1081</v>
      </c>
      <c r="C52" s="16">
        <v>200</v>
      </c>
      <c r="D52" s="10"/>
      <c r="E52" s="10"/>
      <c r="F52" s="10"/>
      <c r="G52" s="16">
        <v>1</v>
      </c>
      <c r="H52" t="s" s="17">
        <v>1180</v>
      </c>
      <c r="I52" s="10"/>
      <c r="J52" s="10"/>
      <c r="K52" s="10"/>
      <c r="L52" s="10"/>
      <c r="M52" s="10"/>
      <c r="N52" s="10"/>
      <c r="O52" s="10"/>
      <c r="P52" s="10"/>
    </row>
    <row r="53" ht="8.35" customHeight="1" hidden="1">
      <c r="A53" t="s" s="8">
        <v>1181</v>
      </c>
      <c r="B53" t="s" s="9">
        <v>1081</v>
      </c>
      <c r="C53" s="16">
        <v>200</v>
      </c>
      <c r="D53" s="10"/>
      <c r="E53" s="10"/>
      <c r="F53" s="10"/>
      <c r="G53" s="16">
        <v>1</v>
      </c>
      <c r="H53" t="s" s="17">
        <v>1182</v>
      </c>
      <c r="I53" s="10"/>
      <c r="J53" s="10"/>
      <c r="K53" s="10"/>
      <c r="L53" s="10"/>
      <c r="M53" s="10"/>
      <c r="N53" s="10"/>
      <c r="O53" s="10"/>
      <c r="P53" s="10"/>
    </row>
    <row r="54" ht="8.35" customHeight="1" hidden="1">
      <c r="A54" t="s" s="8">
        <v>1183</v>
      </c>
      <c r="B54" t="s" s="9">
        <v>1081</v>
      </c>
      <c r="C54" s="16">
        <v>600</v>
      </c>
      <c r="D54" s="10"/>
      <c r="E54" s="10"/>
      <c r="F54" s="10"/>
      <c r="G54" s="16">
        <v>1</v>
      </c>
      <c r="H54" t="s" s="17">
        <v>1184</v>
      </c>
      <c r="I54" s="10"/>
      <c r="J54" s="10"/>
      <c r="K54" s="10"/>
      <c r="L54" s="10"/>
      <c r="M54" s="10"/>
      <c r="N54" s="10"/>
      <c r="O54" s="10"/>
      <c r="P54" s="10"/>
    </row>
    <row r="55" ht="8.35" customHeight="1" hidden="1">
      <c r="A55" t="s" s="8">
        <v>1185</v>
      </c>
      <c r="B55" t="s" s="9">
        <v>1081</v>
      </c>
      <c r="C55" s="16">
        <v>500</v>
      </c>
      <c r="D55" s="10"/>
      <c r="E55" s="10"/>
      <c r="F55" s="10"/>
      <c r="G55" s="16">
        <v>2</v>
      </c>
      <c r="H55" t="s" s="17">
        <v>1186</v>
      </c>
      <c r="I55" s="10"/>
      <c r="J55" s="10"/>
      <c r="K55" s="10"/>
      <c r="L55" s="10"/>
      <c r="M55" s="10"/>
      <c r="N55" s="10"/>
      <c r="O55" s="10"/>
      <c r="P55" s="10"/>
    </row>
    <row r="56" ht="8.35" customHeight="1" hidden="1">
      <c r="A56" t="s" s="8">
        <v>1187</v>
      </c>
      <c r="B56" t="s" s="9">
        <v>1081</v>
      </c>
      <c r="C56" s="16">
        <v>900</v>
      </c>
      <c r="D56" s="10"/>
      <c r="E56" s="10"/>
      <c r="F56" s="10"/>
      <c r="G56" s="16">
        <v>2</v>
      </c>
      <c r="H56" t="s" s="17">
        <v>1188</v>
      </c>
      <c r="I56" s="10"/>
      <c r="J56" s="10"/>
      <c r="K56" s="10"/>
      <c r="L56" s="10"/>
      <c r="M56" s="10"/>
      <c r="N56" s="10"/>
      <c r="O56" s="10"/>
      <c r="P56" s="10"/>
    </row>
    <row r="57" ht="8.35" customHeight="1" hidden="1">
      <c r="A57" t="s" s="8">
        <v>1189</v>
      </c>
      <c r="B57" t="s" s="9">
        <v>1081</v>
      </c>
      <c r="C57" s="16">
        <v>0</v>
      </c>
      <c r="D57" s="10"/>
      <c r="E57" s="10"/>
      <c r="F57" s="10"/>
      <c r="G57" s="16">
        <v>2</v>
      </c>
      <c r="H57" t="s" s="17">
        <v>1190</v>
      </c>
      <c r="I57" s="10"/>
      <c r="J57" s="10"/>
      <c r="K57" s="10"/>
      <c r="L57" s="10"/>
      <c r="M57" s="10"/>
      <c r="N57" s="10"/>
      <c r="O57" s="10"/>
      <c r="P57" s="10"/>
    </row>
    <row r="58" ht="8.35" customHeight="1" hidden="1">
      <c r="A58" t="s" s="8">
        <v>1191</v>
      </c>
      <c r="B58" t="s" s="9">
        <v>1081</v>
      </c>
      <c r="C58" s="16">
        <v>450</v>
      </c>
      <c r="D58" s="10"/>
      <c r="E58" s="10"/>
      <c r="F58" s="10"/>
      <c r="G58" s="16">
        <v>2</v>
      </c>
      <c r="H58" t="s" s="17">
        <v>1192</v>
      </c>
      <c r="I58" s="10"/>
      <c r="J58" s="10"/>
      <c r="K58" s="10"/>
      <c r="L58" s="10"/>
      <c r="M58" s="10"/>
      <c r="N58" s="10"/>
      <c r="O58" s="10"/>
      <c r="P58" s="10"/>
    </row>
    <row r="59" ht="8.35" customHeight="1" hidden="1">
      <c r="A59" t="s" s="8">
        <v>1193</v>
      </c>
      <c r="B59" t="s" s="9">
        <v>1081</v>
      </c>
      <c r="C59" s="16">
        <v>450</v>
      </c>
      <c r="D59" s="10"/>
      <c r="E59" s="10"/>
      <c r="F59" s="10"/>
      <c r="G59" s="16">
        <v>2</v>
      </c>
      <c r="H59" t="s" s="17">
        <v>1194</v>
      </c>
      <c r="I59" s="10"/>
      <c r="J59" s="10"/>
      <c r="K59" s="10"/>
      <c r="L59" s="10"/>
      <c r="M59" s="10"/>
      <c r="N59" s="10"/>
      <c r="O59" s="10"/>
      <c r="P59" s="10"/>
    </row>
    <row r="60" ht="8.35" customHeight="1" hidden="1">
      <c r="A60" t="s" s="8">
        <v>1195</v>
      </c>
      <c r="B60" t="s" s="9">
        <v>1081</v>
      </c>
      <c r="C60" s="16">
        <v>200</v>
      </c>
      <c r="D60" s="10"/>
      <c r="E60" s="10"/>
      <c r="F60" s="10"/>
      <c r="G60" s="16">
        <v>4</v>
      </c>
      <c r="H60" t="s" s="17">
        <v>1196</v>
      </c>
      <c r="I60" s="10"/>
      <c r="J60" s="10"/>
      <c r="K60" s="10"/>
      <c r="L60" s="10"/>
      <c r="M60" s="10"/>
      <c r="N60" s="10"/>
      <c r="O60" s="10"/>
      <c r="P60" s="10"/>
    </row>
    <row r="61" ht="8.35" customHeight="1" hidden="1">
      <c r="A61" t="s" s="8">
        <v>1197</v>
      </c>
      <c r="B61" t="s" s="9">
        <v>1081</v>
      </c>
      <c r="C61" s="16">
        <v>1200</v>
      </c>
      <c r="D61" s="10"/>
      <c r="E61" s="10"/>
      <c r="F61" s="10"/>
      <c r="G61" s="16">
        <v>5</v>
      </c>
      <c r="H61" t="s" s="17">
        <v>1198</v>
      </c>
      <c r="I61" s="10"/>
      <c r="J61" s="10"/>
      <c r="K61" s="10"/>
      <c r="L61" s="10"/>
      <c r="M61" s="10"/>
      <c r="N61" s="10"/>
      <c r="O61" s="10"/>
      <c r="P61" s="10"/>
    </row>
    <row r="62" ht="8.35" customHeight="1" hidden="1">
      <c r="A62" t="s" s="8">
        <v>1199</v>
      </c>
      <c r="B62" t="s" s="9">
        <v>1081</v>
      </c>
      <c r="C62" s="16">
        <v>0</v>
      </c>
      <c r="D62" s="10"/>
      <c r="E62" s="10"/>
      <c r="F62" s="10"/>
      <c r="G62" s="16">
        <v>2</v>
      </c>
      <c r="H62" t="s" s="17">
        <v>1200</v>
      </c>
      <c r="I62" s="10"/>
      <c r="J62" s="10"/>
      <c r="K62" s="10"/>
      <c r="L62" s="10"/>
      <c r="M62" s="10"/>
      <c r="N62" s="10"/>
      <c r="O62" s="10"/>
      <c r="P62" s="10"/>
    </row>
    <row r="63" ht="8.35" customHeight="1" hidden="1">
      <c r="A63" t="s" s="8">
        <v>1201</v>
      </c>
      <c r="B63" t="s" s="9">
        <v>1081</v>
      </c>
      <c r="C63" s="16">
        <v>0</v>
      </c>
      <c r="D63" s="10"/>
      <c r="E63" s="10"/>
      <c r="F63" s="10"/>
      <c r="G63" s="16">
        <v>4</v>
      </c>
      <c r="H63" t="s" s="17">
        <v>1202</v>
      </c>
      <c r="I63" s="10"/>
      <c r="J63" s="10"/>
      <c r="K63" s="10"/>
      <c r="L63" s="10"/>
      <c r="M63" s="10"/>
      <c r="N63" s="10"/>
      <c r="O63" s="10"/>
      <c r="P63" s="10"/>
    </row>
    <row r="64" ht="8.35" customHeight="1" hidden="1">
      <c r="A64" t="s" s="8">
        <v>1203</v>
      </c>
      <c r="B64" t="s" s="9">
        <v>1081</v>
      </c>
      <c r="C64" s="16">
        <v>0</v>
      </c>
      <c r="D64" s="10"/>
      <c r="E64" s="10"/>
      <c r="F64" s="10"/>
      <c r="G64" s="16">
        <v>4</v>
      </c>
      <c r="H64" t="s" s="17">
        <v>1204</v>
      </c>
      <c r="I64" s="10"/>
      <c r="J64" s="10"/>
      <c r="K64" s="10"/>
      <c r="L64" s="10"/>
      <c r="M64" s="10"/>
      <c r="N64" s="10"/>
      <c r="O64" s="10"/>
      <c r="P64" s="10"/>
    </row>
    <row r="65" ht="8.35" customHeight="1" hidden="1">
      <c r="A65" t="s" s="8">
        <v>1205</v>
      </c>
      <c r="B65" t="s" s="9">
        <v>1081</v>
      </c>
      <c r="C65" s="16">
        <v>800</v>
      </c>
      <c r="D65" s="10"/>
      <c r="E65" s="10"/>
      <c r="F65" s="10"/>
      <c r="G65" s="16">
        <v>3</v>
      </c>
      <c r="H65" t="s" s="17">
        <v>1206</v>
      </c>
      <c r="I65" s="10"/>
      <c r="J65" s="10"/>
      <c r="K65" s="10"/>
      <c r="L65" s="10"/>
      <c r="M65" s="10"/>
      <c r="N65" s="10"/>
      <c r="O65" s="10"/>
      <c r="P65" s="10"/>
    </row>
    <row r="66" ht="8.35" customHeight="1" hidden="1">
      <c r="A66" t="s" s="8">
        <v>1207</v>
      </c>
      <c r="B66" t="s" s="9">
        <v>1081</v>
      </c>
      <c r="C66" s="16">
        <v>800</v>
      </c>
      <c r="D66" s="10"/>
      <c r="E66" s="10"/>
      <c r="F66" s="10"/>
      <c r="G66" s="16">
        <v>2</v>
      </c>
      <c r="H66" t="s" s="17">
        <v>1208</v>
      </c>
      <c r="I66" s="10"/>
      <c r="J66" s="10"/>
      <c r="K66" s="10"/>
      <c r="L66" s="10"/>
      <c r="M66" s="10"/>
      <c r="N66" s="10"/>
      <c r="O66" s="10"/>
      <c r="P66" s="10"/>
    </row>
    <row r="67" ht="8.35" customHeight="1" hidden="1">
      <c r="A67" t="s" s="8">
        <v>1209</v>
      </c>
      <c r="B67" t="s" s="9">
        <v>1081</v>
      </c>
      <c r="C67" s="16">
        <v>1000</v>
      </c>
      <c r="D67" s="10"/>
      <c r="E67" s="10"/>
      <c r="F67" s="10"/>
      <c r="G67" s="16">
        <v>5</v>
      </c>
      <c r="H67" t="s" s="17">
        <v>1210</v>
      </c>
      <c r="I67" s="10"/>
      <c r="J67" s="10"/>
      <c r="K67" s="10"/>
      <c r="L67" s="10"/>
      <c r="M67" s="10"/>
      <c r="N67" s="10"/>
      <c r="O67" s="10"/>
      <c r="P67" s="10"/>
    </row>
    <row r="68" ht="8.35" customHeight="1" hidden="1">
      <c r="A68" t="s" s="8">
        <v>1211</v>
      </c>
      <c r="B68" t="s" s="9">
        <v>1081</v>
      </c>
      <c r="C68" s="16">
        <v>1500</v>
      </c>
      <c r="D68" s="10"/>
      <c r="E68" s="10"/>
      <c r="F68" s="10"/>
      <c r="G68" s="16">
        <v>3</v>
      </c>
      <c r="H68" t="s" s="17">
        <v>1212</v>
      </c>
      <c r="I68" s="10"/>
      <c r="J68" s="10"/>
      <c r="K68" s="10"/>
      <c r="L68" s="10"/>
      <c r="M68" s="10"/>
      <c r="N68" s="10"/>
      <c r="O68" s="10"/>
      <c r="P68" s="10"/>
    </row>
    <row r="69" ht="8.35" customHeight="1" hidden="1">
      <c r="A69" t="s" s="8">
        <v>1213</v>
      </c>
      <c r="B69" t="s" s="9">
        <v>1081</v>
      </c>
      <c r="C69" s="16">
        <v>1200</v>
      </c>
      <c r="D69" s="10"/>
      <c r="E69" s="10"/>
      <c r="F69" s="10"/>
      <c r="G69" s="16">
        <v>2</v>
      </c>
      <c r="H69" t="s" s="17">
        <v>1214</v>
      </c>
      <c r="I69" s="10"/>
      <c r="J69" s="10"/>
      <c r="K69" s="10"/>
      <c r="L69" s="10"/>
      <c r="M69" s="10"/>
      <c r="N69" s="10"/>
      <c r="O69" s="10"/>
      <c r="P69" s="10"/>
    </row>
    <row r="70" ht="8.35" customHeight="1" hidden="1">
      <c r="A70" t="s" s="8">
        <v>1215</v>
      </c>
      <c r="B70" t="s" s="9">
        <v>1081</v>
      </c>
      <c r="C70" s="16">
        <v>300</v>
      </c>
      <c r="D70" s="10"/>
      <c r="E70" s="10"/>
      <c r="F70" s="10"/>
      <c r="G70" s="16">
        <v>1</v>
      </c>
      <c r="H70" t="s" s="17">
        <v>1216</v>
      </c>
      <c r="I70" s="10"/>
      <c r="J70" s="10"/>
      <c r="K70" s="10"/>
      <c r="L70" s="10"/>
      <c r="M70" s="10"/>
      <c r="N70" s="10"/>
      <c r="O70" s="10"/>
      <c r="P70" s="10"/>
    </row>
    <row r="71" ht="8.35" customHeight="1" hidden="1">
      <c r="A71" t="s" s="8">
        <v>1217</v>
      </c>
      <c r="B71" t="s" s="9">
        <v>1081</v>
      </c>
      <c r="C71" s="16">
        <v>300</v>
      </c>
      <c r="D71" s="10"/>
      <c r="E71" s="10"/>
      <c r="F71" s="10"/>
      <c r="G71" s="16">
        <v>1</v>
      </c>
      <c r="H71" t="s" s="17">
        <v>1218</v>
      </c>
      <c r="I71" s="10"/>
      <c r="J71" s="10"/>
      <c r="K71" s="10"/>
      <c r="L71" s="10"/>
      <c r="M71" s="10"/>
      <c r="N71" s="10"/>
      <c r="O71" s="10"/>
      <c r="P71" s="10"/>
    </row>
    <row r="72" ht="8.35" customHeight="1" hidden="1">
      <c r="A72" t="s" s="8">
        <v>1219</v>
      </c>
      <c r="B72" t="s" s="9">
        <v>1081</v>
      </c>
      <c r="C72" s="16">
        <v>500</v>
      </c>
      <c r="D72" s="10"/>
      <c r="E72" s="10"/>
      <c r="F72" s="10"/>
      <c r="G72" s="16">
        <v>2</v>
      </c>
      <c r="H72" t="s" s="17">
        <v>1220</v>
      </c>
      <c r="I72" s="10"/>
      <c r="J72" s="10"/>
      <c r="K72" s="10"/>
      <c r="L72" s="10"/>
      <c r="M72" s="10"/>
      <c r="N72" s="10"/>
      <c r="O72" s="10"/>
      <c r="P72" s="10"/>
    </row>
    <row r="73" ht="8.35" customHeight="1" hidden="1">
      <c r="A73" t="s" s="8">
        <v>1221</v>
      </c>
      <c r="B73" t="s" s="9">
        <v>1081</v>
      </c>
      <c r="C73" s="16">
        <v>2000</v>
      </c>
      <c r="D73" s="10"/>
      <c r="E73" s="10"/>
      <c r="F73" s="10"/>
      <c r="G73" s="16">
        <v>4</v>
      </c>
      <c r="H73" t="s" s="17">
        <v>1222</v>
      </c>
      <c r="I73" s="10"/>
      <c r="J73" s="10"/>
      <c r="K73" s="10"/>
      <c r="L73" s="10"/>
      <c r="M73" s="10"/>
      <c r="N73" s="10"/>
      <c r="O73" s="10"/>
      <c r="P73" s="10"/>
    </row>
    <row r="74" ht="8.35" customHeight="1" hidden="1">
      <c r="A74" t="s" s="8">
        <v>1223</v>
      </c>
      <c r="B74" t="s" s="9">
        <v>1081</v>
      </c>
      <c r="C74" s="16">
        <v>2000</v>
      </c>
      <c r="D74" s="10"/>
      <c r="E74" s="10"/>
      <c r="F74" s="10"/>
      <c r="G74" s="16">
        <v>5</v>
      </c>
      <c r="H74" t="s" s="17">
        <v>1224</v>
      </c>
      <c r="I74" s="10"/>
      <c r="J74" s="10"/>
      <c r="K74" s="10"/>
      <c r="L74" s="10"/>
      <c r="M74" s="10"/>
      <c r="N74" s="10"/>
      <c r="O74" s="10"/>
      <c r="P74" s="10"/>
    </row>
    <row r="75" ht="8.35" customHeight="1" hidden="1">
      <c r="A75" t="s" s="8">
        <v>1225</v>
      </c>
      <c r="B75" t="s" s="9">
        <v>1081</v>
      </c>
      <c r="C75" s="16">
        <v>2000</v>
      </c>
      <c r="D75" s="10"/>
      <c r="E75" s="10"/>
      <c r="F75" s="10"/>
      <c r="G75" s="16">
        <v>5</v>
      </c>
      <c r="H75" t="s" s="17">
        <v>1226</v>
      </c>
      <c r="I75" s="10"/>
      <c r="J75" s="10"/>
      <c r="K75" s="10"/>
      <c r="L75" s="10"/>
      <c r="M75" s="10"/>
      <c r="N75" s="10"/>
      <c r="O75" s="10"/>
      <c r="P75" s="10"/>
    </row>
    <row r="76" ht="8.35" customHeight="1" hidden="1">
      <c r="A76" t="s" s="8">
        <v>1227</v>
      </c>
      <c r="B76" t="s" s="9">
        <v>1081</v>
      </c>
      <c r="C76" s="16">
        <v>2000</v>
      </c>
      <c r="D76" s="10"/>
      <c r="E76" s="10"/>
      <c r="F76" s="10"/>
      <c r="G76" s="16">
        <v>5</v>
      </c>
      <c r="H76" t="s" s="17">
        <v>1228</v>
      </c>
      <c r="I76" s="10"/>
      <c r="J76" s="10"/>
      <c r="K76" s="10"/>
      <c r="L76" s="10"/>
      <c r="M76" s="10"/>
      <c r="N76" s="10"/>
      <c r="O76" s="10"/>
      <c r="P76" s="10"/>
    </row>
    <row r="77" ht="8.35" customHeight="1" hidden="1">
      <c r="A77" t="s" s="8">
        <v>1229</v>
      </c>
      <c r="B77" t="s" s="9">
        <v>1081</v>
      </c>
      <c r="C77" s="16">
        <v>2000</v>
      </c>
      <c r="D77" s="10"/>
      <c r="E77" s="10"/>
      <c r="F77" s="10"/>
      <c r="G77" s="16">
        <v>5</v>
      </c>
      <c r="H77" t="s" s="17">
        <v>1230</v>
      </c>
      <c r="I77" s="10"/>
      <c r="J77" s="10"/>
      <c r="K77" s="10"/>
      <c r="L77" s="10"/>
      <c r="M77" s="10"/>
      <c r="N77" s="10"/>
      <c r="O77" s="10"/>
      <c r="P77" s="10"/>
    </row>
    <row r="78" ht="8.35" customHeight="1" hidden="1">
      <c r="A78" t="s" s="8">
        <v>1231</v>
      </c>
      <c r="B78" t="s" s="9">
        <v>1081</v>
      </c>
      <c r="C78" s="16">
        <v>2000</v>
      </c>
      <c r="D78" s="10"/>
      <c r="E78" s="10"/>
      <c r="F78" s="10"/>
      <c r="G78" s="16">
        <v>5</v>
      </c>
      <c r="H78" t="s" s="17">
        <v>1232</v>
      </c>
      <c r="I78" s="10"/>
      <c r="J78" s="10"/>
      <c r="K78" s="10"/>
      <c r="L78" s="10"/>
      <c r="M78" s="10"/>
      <c r="N78" s="10"/>
      <c r="O78" s="10"/>
      <c r="P78" s="10"/>
    </row>
    <row r="79" ht="8.35" customHeight="1" hidden="1">
      <c r="A79" t="s" s="8">
        <v>1233</v>
      </c>
      <c r="B79" t="s" s="9">
        <v>1081</v>
      </c>
      <c r="C79" s="16">
        <v>2000</v>
      </c>
      <c r="D79" s="10"/>
      <c r="E79" s="10"/>
      <c r="F79" s="10"/>
      <c r="G79" s="16">
        <v>5</v>
      </c>
      <c r="H79" t="s" s="17">
        <v>1234</v>
      </c>
      <c r="I79" s="10"/>
      <c r="J79" s="10"/>
      <c r="K79" s="10"/>
      <c r="L79" s="10"/>
      <c r="M79" s="10"/>
      <c r="N79" s="10"/>
      <c r="O79" s="10"/>
      <c r="P79" s="10"/>
    </row>
    <row r="80" ht="8.35" customHeight="1" hidden="1">
      <c r="A80" t="s" s="8">
        <v>1235</v>
      </c>
      <c r="B80" t="s" s="9">
        <v>1081</v>
      </c>
      <c r="C80" s="16">
        <v>1200</v>
      </c>
      <c r="D80" s="10"/>
      <c r="E80" s="10"/>
      <c r="F80" s="10"/>
      <c r="G80" s="16">
        <v>4</v>
      </c>
      <c r="H80" t="s" s="17">
        <v>1236</v>
      </c>
      <c r="I80" s="10"/>
      <c r="J80" s="10"/>
      <c r="K80" s="10"/>
      <c r="L80" s="10"/>
      <c r="M80" s="10"/>
      <c r="N80" s="10"/>
      <c r="O80" s="10"/>
      <c r="P80" s="10"/>
    </row>
    <row r="81" ht="8.35" customHeight="1" hidden="1">
      <c r="A81" t="s" s="8">
        <v>1237</v>
      </c>
      <c r="B81" t="s" s="9">
        <v>1081</v>
      </c>
      <c r="C81" s="16">
        <v>2000</v>
      </c>
      <c r="D81" s="10"/>
      <c r="E81" s="10"/>
      <c r="F81" s="10"/>
      <c r="G81" s="16">
        <v>3</v>
      </c>
      <c r="H81" t="s" s="17">
        <v>1238</v>
      </c>
      <c r="I81" s="10"/>
      <c r="J81" s="10"/>
      <c r="K81" s="10"/>
      <c r="L81" s="10"/>
      <c r="M81" s="10"/>
      <c r="N81" s="10"/>
      <c r="O81" s="10"/>
      <c r="P81" s="10"/>
    </row>
    <row r="82" ht="8.35" customHeight="1" hidden="1">
      <c r="A82" t="s" s="8">
        <v>1239</v>
      </c>
      <c r="B82" t="s" s="9">
        <v>1081</v>
      </c>
      <c r="C82" s="16">
        <v>1000</v>
      </c>
      <c r="D82" s="10"/>
      <c r="E82" s="10"/>
      <c r="F82" s="10"/>
      <c r="G82" s="16">
        <v>3</v>
      </c>
      <c r="H82" t="s" s="17">
        <v>1240</v>
      </c>
      <c r="I82" s="10"/>
      <c r="J82" s="10"/>
      <c r="K82" s="10"/>
      <c r="L82" s="10"/>
      <c r="M82" s="10"/>
      <c r="N82" s="10"/>
      <c r="O82" s="10"/>
      <c r="P82" s="10"/>
    </row>
    <row r="83" ht="8.35" customHeight="1" hidden="1">
      <c r="A83" t="s" s="8">
        <v>1241</v>
      </c>
      <c r="B83" t="s" s="9">
        <v>1081</v>
      </c>
      <c r="C83" s="16">
        <v>500</v>
      </c>
      <c r="D83" s="10"/>
      <c r="E83" s="10"/>
      <c r="F83" s="10"/>
      <c r="G83" s="16">
        <v>2</v>
      </c>
      <c r="H83" t="s" s="17">
        <v>1242</v>
      </c>
      <c r="I83" s="10"/>
      <c r="J83" s="10"/>
      <c r="K83" s="10"/>
      <c r="L83" s="10"/>
      <c r="M83" s="10"/>
      <c r="N83" s="10"/>
      <c r="O83" s="10"/>
      <c r="P83" s="10"/>
    </row>
    <row r="84" ht="8.35" customHeight="1" hidden="1">
      <c r="A84" t="s" s="8">
        <v>1243</v>
      </c>
      <c r="B84" t="s" s="9">
        <v>1081</v>
      </c>
      <c r="C84" s="16">
        <v>250</v>
      </c>
      <c r="D84" s="10"/>
      <c r="E84" s="10"/>
      <c r="F84" s="10"/>
      <c r="G84" s="16">
        <v>1</v>
      </c>
      <c r="H84" t="s" s="17">
        <v>1244</v>
      </c>
      <c r="I84" s="10"/>
      <c r="J84" s="10"/>
      <c r="K84" s="10"/>
      <c r="L84" s="10"/>
      <c r="M84" s="10"/>
      <c r="N84" s="10"/>
      <c r="O84" s="10"/>
      <c r="P84" s="10"/>
    </row>
    <row r="85" ht="8.35" customHeight="1" hidden="1">
      <c r="A85" t="s" s="8">
        <v>1245</v>
      </c>
      <c r="B85" t="s" s="9">
        <v>1081</v>
      </c>
      <c r="C85" s="16">
        <v>1500</v>
      </c>
      <c r="D85" s="10"/>
      <c r="E85" s="10"/>
      <c r="F85" s="10"/>
      <c r="G85" s="16">
        <v>4</v>
      </c>
      <c r="H85" t="s" s="17">
        <v>1246</v>
      </c>
      <c r="I85" s="10"/>
      <c r="J85" s="10"/>
      <c r="K85" s="10"/>
      <c r="L85" s="10"/>
      <c r="M85" s="10"/>
      <c r="N85" s="10"/>
      <c r="O85" s="10"/>
      <c r="P85" s="10"/>
    </row>
    <row r="86" ht="8.35" customHeight="1" hidden="1">
      <c r="A86" t="s" s="8">
        <v>1247</v>
      </c>
      <c r="B86" t="s" s="9">
        <v>1081</v>
      </c>
      <c r="C86" s="16">
        <v>1000</v>
      </c>
      <c r="D86" s="10"/>
      <c r="E86" s="10"/>
      <c r="F86" s="10"/>
      <c r="G86" s="16">
        <v>3</v>
      </c>
      <c r="H86" t="s" s="17">
        <v>1248</v>
      </c>
      <c r="I86" s="10"/>
      <c r="J86" s="10"/>
      <c r="K86" s="10"/>
      <c r="L86" s="10"/>
      <c r="M86" s="10"/>
      <c r="N86" s="10"/>
      <c r="O86" s="10"/>
      <c r="P86" s="10"/>
    </row>
    <row r="87" ht="8.35" customHeight="1" hidden="1">
      <c r="A87" t="s" s="8">
        <v>1249</v>
      </c>
      <c r="B87" t="s" s="9">
        <v>1081</v>
      </c>
      <c r="C87" s="16">
        <v>800</v>
      </c>
      <c r="D87" s="10"/>
      <c r="E87" s="10"/>
      <c r="F87" s="10"/>
      <c r="G87" s="16">
        <v>2</v>
      </c>
      <c r="H87" t="s" s="17">
        <v>1250</v>
      </c>
      <c r="I87" s="10"/>
      <c r="J87" s="10"/>
      <c r="K87" s="10"/>
      <c r="L87" s="10"/>
      <c r="M87" s="10"/>
      <c r="N87" s="10"/>
      <c r="O87" s="10"/>
      <c r="P87" s="10"/>
    </row>
    <row r="88" ht="8.35" customHeight="1" hidden="1">
      <c r="A88" t="s" s="8">
        <v>1251</v>
      </c>
      <c r="B88" t="s" s="9">
        <v>1081</v>
      </c>
      <c r="C88" s="16">
        <v>200</v>
      </c>
      <c r="D88" s="10"/>
      <c r="E88" s="10"/>
      <c r="F88" s="10"/>
      <c r="G88" s="16">
        <v>2</v>
      </c>
      <c r="H88" t="s" s="17">
        <v>1252</v>
      </c>
      <c r="I88" s="10"/>
      <c r="J88" s="10"/>
      <c r="K88" s="10"/>
      <c r="L88" s="10"/>
      <c r="M88" s="10"/>
      <c r="N88" s="10"/>
      <c r="O88" s="10"/>
      <c r="P88" s="10"/>
    </row>
    <row r="89" ht="8.35" customHeight="1" hidden="1">
      <c r="A89" t="s" s="8">
        <v>1253</v>
      </c>
      <c r="B89" t="s" s="9">
        <v>1081</v>
      </c>
      <c r="C89" s="16">
        <v>1500</v>
      </c>
      <c r="D89" s="10"/>
      <c r="E89" s="10"/>
      <c r="F89" s="10"/>
      <c r="G89" s="16">
        <v>3</v>
      </c>
      <c r="H89" t="s" s="17">
        <v>1254</v>
      </c>
      <c r="I89" s="10"/>
      <c r="J89" s="10"/>
      <c r="K89" s="10"/>
      <c r="L89" s="10"/>
      <c r="M89" s="10"/>
      <c r="N89" s="10"/>
      <c r="O89" s="10"/>
      <c r="P89" s="10"/>
    </row>
    <row r="90" ht="8.35" customHeight="1" hidden="1">
      <c r="A90" t="s" s="8">
        <v>1255</v>
      </c>
      <c r="B90" t="s" s="9">
        <v>1081</v>
      </c>
      <c r="C90" s="16">
        <v>500</v>
      </c>
      <c r="D90" s="10"/>
      <c r="E90" s="10"/>
      <c r="F90" s="10"/>
      <c r="G90" s="16">
        <v>5</v>
      </c>
      <c r="H90" t="s" s="17">
        <v>1256</v>
      </c>
      <c r="I90" s="10"/>
      <c r="J90" s="10"/>
      <c r="K90" s="10"/>
      <c r="L90" s="10"/>
      <c r="M90" s="10"/>
      <c r="N90" s="10"/>
      <c r="O90" s="10"/>
      <c r="P90" s="10"/>
    </row>
    <row r="91" ht="8.35" customHeight="1" hidden="1">
      <c r="A91" t="s" s="8">
        <v>1257</v>
      </c>
      <c r="B91" t="s" s="9">
        <v>1081</v>
      </c>
      <c r="C91" s="16">
        <v>1000</v>
      </c>
      <c r="D91" s="10"/>
      <c r="E91" s="10"/>
      <c r="F91" s="10"/>
      <c r="G91" s="16">
        <v>2</v>
      </c>
      <c r="H91" t="s" s="17">
        <v>1258</v>
      </c>
      <c r="I91" s="10"/>
      <c r="J91" t="s" s="17">
        <v>35</v>
      </c>
      <c r="K91" s="10"/>
      <c r="L91" s="10"/>
      <c r="M91" s="10"/>
      <c r="N91" s="10"/>
      <c r="O91" s="10"/>
      <c r="P91" s="10"/>
    </row>
    <row r="92" ht="8.35" customHeight="1" hidden="1">
      <c r="A92" t="s" s="8">
        <v>1259</v>
      </c>
      <c r="B92" t="s" s="9">
        <v>1081</v>
      </c>
      <c r="C92" s="16">
        <v>1500</v>
      </c>
      <c r="D92" s="10"/>
      <c r="E92" s="10"/>
      <c r="F92" s="10"/>
      <c r="G92" s="16">
        <v>4</v>
      </c>
      <c r="H92" t="s" s="17">
        <v>1260</v>
      </c>
      <c r="I92" s="10"/>
      <c r="J92" s="10"/>
      <c r="K92" s="10"/>
      <c r="L92" s="10"/>
      <c r="M92" s="10"/>
      <c r="N92" s="10"/>
      <c r="O92" s="10"/>
      <c r="P92" s="10"/>
    </row>
    <row r="93" ht="8.35" customHeight="1" hidden="1">
      <c r="A93" t="s" s="8">
        <v>1261</v>
      </c>
      <c r="B93" t="s" s="9">
        <v>1081</v>
      </c>
      <c r="C93" s="16">
        <v>300</v>
      </c>
      <c r="D93" s="10"/>
      <c r="E93" s="10"/>
      <c r="F93" s="10"/>
      <c r="G93" s="16">
        <v>1</v>
      </c>
      <c r="H93" t="s" s="17">
        <v>1262</v>
      </c>
      <c r="I93" s="10"/>
      <c r="J93" s="10"/>
      <c r="K93" s="10"/>
      <c r="L93" s="10"/>
      <c r="M93" s="10"/>
      <c r="N93" s="10"/>
      <c r="O93" s="10"/>
      <c r="P93" s="10"/>
    </row>
    <row r="94" ht="8.35" customHeight="1" hidden="1">
      <c r="A94" t="s" s="8">
        <v>1263</v>
      </c>
      <c r="B94" t="s" s="9">
        <v>1081</v>
      </c>
      <c r="C94" s="16">
        <v>200</v>
      </c>
      <c r="D94" s="10"/>
      <c r="E94" s="10"/>
      <c r="F94" s="10"/>
      <c r="G94" s="16">
        <v>1</v>
      </c>
      <c r="H94" t="s" s="17">
        <v>1264</v>
      </c>
      <c r="I94" s="10"/>
      <c r="J94" s="10"/>
      <c r="K94" s="10"/>
      <c r="L94" s="10"/>
      <c r="M94" s="10"/>
      <c r="N94" s="10"/>
      <c r="O94" s="10"/>
      <c r="P94" s="10"/>
    </row>
    <row r="95" ht="8.35" customHeight="1" hidden="1">
      <c r="A95" t="s" s="8">
        <v>1265</v>
      </c>
      <c r="B95" t="s" s="9">
        <v>1081</v>
      </c>
      <c r="C95" s="16">
        <v>0</v>
      </c>
      <c r="D95" s="10"/>
      <c r="E95" s="10"/>
      <c r="F95" s="10"/>
      <c r="G95" s="16">
        <v>1</v>
      </c>
      <c r="H95" t="s" s="17">
        <v>1266</v>
      </c>
      <c r="I95" s="10"/>
      <c r="J95" s="10"/>
      <c r="K95" s="10"/>
      <c r="L95" s="10"/>
      <c r="M95" s="10"/>
      <c r="N95" s="10"/>
      <c r="O95" s="10"/>
      <c r="P95" s="10"/>
    </row>
    <row r="96" ht="8.35" customHeight="1" hidden="1">
      <c r="A96" t="s" s="8">
        <v>1267</v>
      </c>
      <c r="B96" t="s" s="9">
        <v>1081</v>
      </c>
      <c r="C96" s="16">
        <v>0</v>
      </c>
      <c r="D96" s="10"/>
      <c r="E96" s="10"/>
      <c r="F96" s="10"/>
      <c r="G96" s="16">
        <v>1</v>
      </c>
      <c r="H96" t="s" s="17">
        <v>1268</v>
      </c>
      <c r="I96" s="10"/>
      <c r="J96" s="10"/>
      <c r="K96" s="10"/>
      <c r="L96" s="10"/>
      <c r="M96" s="10"/>
      <c r="N96" s="10"/>
      <c r="O96" s="10"/>
      <c r="P96" s="10"/>
    </row>
    <row r="97" ht="8.35" customHeight="1" hidden="1">
      <c r="A97" t="s" s="8">
        <v>1269</v>
      </c>
      <c r="B97" t="s" s="9">
        <v>1081</v>
      </c>
      <c r="C97" s="16">
        <v>1000</v>
      </c>
      <c r="D97" s="10"/>
      <c r="E97" s="10"/>
      <c r="F97" s="10"/>
      <c r="G97" s="16">
        <v>1</v>
      </c>
      <c r="H97" t="s" s="17">
        <v>1270</v>
      </c>
      <c r="I97" s="10"/>
      <c r="J97" s="10"/>
      <c r="K97" s="10"/>
      <c r="L97" s="10"/>
      <c r="M97" s="10"/>
      <c r="N97" s="10"/>
      <c r="O97" s="10"/>
      <c r="P97" s="10"/>
    </row>
    <row r="98" ht="8.35" customHeight="1" hidden="1">
      <c r="A98" t="s" s="8">
        <v>1271</v>
      </c>
      <c r="B98" t="s" s="9">
        <v>1081</v>
      </c>
      <c r="C98" s="16">
        <v>0</v>
      </c>
      <c r="D98" s="10"/>
      <c r="E98" s="10"/>
      <c r="F98" s="10"/>
      <c r="G98" s="16">
        <v>1</v>
      </c>
      <c r="H98" t="s" s="17">
        <v>1272</v>
      </c>
      <c r="I98" s="10"/>
      <c r="J98" s="10"/>
      <c r="K98" s="10"/>
      <c r="L98" s="10"/>
      <c r="M98" s="10"/>
      <c r="N98" s="10"/>
      <c r="O98" s="10"/>
      <c r="P98" s="10"/>
    </row>
    <row r="99" ht="8.35" customHeight="1" hidden="1">
      <c r="A99" t="s" s="8">
        <v>1273</v>
      </c>
      <c r="B99" t="s" s="9">
        <v>1081</v>
      </c>
      <c r="C99" s="16">
        <v>0</v>
      </c>
      <c r="D99" s="10"/>
      <c r="E99" s="10"/>
      <c r="F99" s="10"/>
      <c r="G99" s="16">
        <v>1</v>
      </c>
      <c r="H99" t="s" s="17">
        <v>1274</v>
      </c>
      <c r="I99" s="10"/>
      <c r="J99" s="10"/>
      <c r="K99" s="10"/>
      <c r="L99" s="10"/>
      <c r="M99" s="10"/>
      <c r="N99" s="10"/>
      <c r="O99" s="10"/>
      <c r="P99" s="10"/>
    </row>
    <row r="100" ht="8.35" customHeight="1" hidden="1">
      <c r="A100" t="s" s="8">
        <v>1275</v>
      </c>
      <c r="B100" t="s" s="9">
        <v>1081</v>
      </c>
      <c r="C100" s="16">
        <v>500</v>
      </c>
      <c r="D100" s="10"/>
      <c r="E100" s="10"/>
      <c r="F100" s="10"/>
      <c r="G100" s="16">
        <v>2</v>
      </c>
      <c r="H100" t="s" s="17">
        <v>1276</v>
      </c>
      <c r="I100" s="10"/>
      <c r="J100" s="10"/>
      <c r="K100" s="10"/>
      <c r="L100" s="10"/>
      <c r="M100" s="10"/>
      <c r="N100" s="10"/>
      <c r="O100" s="10"/>
      <c r="P100" s="10"/>
    </row>
    <row r="101" ht="8.35" customHeight="1" hidden="1">
      <c r="A101" t="s" s="8">
        <v>1277</v>
      </c>
      <c r="B101" t="s" s="9">
        <v>1081</v>
      </c>
      <c r="C101" s="16">
        <v>0</v>
      </c>
      <c r="D101" s="10"/>
      <c r="E101" s="10"/>
      <c r="F101" s="10"/>
      <c r="G101" s="16">
        <v>2</v>
      </c>
      <c r="H101" t="s" s="17">
        <v>1278</v>
      </c>
      <c r="I101" s="10"/>
      <c r="J101" s="10"/>
      <c r="K101" s="10"/>
      <c r="L101" s="10"/>
      <c r="M101" s="10"/>
      <c r="N101" s="10"/>
      <c r="O101" s="10"/>
      <c r="P101" s="10"/>
    </row>
    <row r="102" ht="8.35" customHeight="1" hidden="1">
      <c r="A102" t="s" s="8">
        <v>1279</v>
      </c>
      <c r="B102" t="s" s="9">
        <v>1081</v>
      </c>
      <c r="C102" s="16">
        <v>600</v>
      </c>
      <c r="D102" s="10"/>
      <c r="E102" s="10"/>
      <c r="F102" s="10"/>
      <c r="G102" s="16">
        <v>2</v>
      </c>
      <c r="H102" t="s" s="17">
        <v>1280</v>
      </c>
      <c r="I102" s="10"/>
      <c r="J102" s="10"/>
      <c r="K102" s="10"/>
      <c r="L102" s="10"/>
      <c r="M102" s="10"/>
      <c r="N102" s="10"/>
      <c r="O102" s="10"/>
      <c r="P102" s="10"/>
    </row>
    <row r="103" ht="8.35" customHeight="1" hidden="1">
      <c r="A103" t="s" s="8">
        <v>1281</v>
      </c>
      <c r="B103" t="s" s="9">
        <v>1081</v>
      </c>
      <c r="C103" s="16">
        <v>500</v>
      </c>
      <c r="D103" s="10"/>
      <c r="E103" s="10"/>
      <c r="F103" s="10"/>
      <c r="G103" s="16">
        <v>2</v>
      </c>
      <c r="H103" t="s" s="17">
        <v>1282</v>
      </c>
      <c r="I103" s="10"/>
      <c r="J103" s="10"/>
      <c r="K103" s="10"/>
      <c r="L103" s="10"/>
      <c r="M103" s="10"/>
      <c r="N103" s="10"/>
      <c r="O103" s="10"/>
      <c r="P103" s="10"/>
    </row>
    <row r="104" ht="8.35" customHeight="1" hidden="1">
      <c r="A104" t="s" s="8">
        <v>1283</v>
      </c>
      <c r="B104" t="s" s="9">
        <v>1081</v>
      </c>
      <c r="C104" s="16">
        <v>2000</v>
      </c>
      <c r="D104" s="10"/>
      <c r="E104" s="10"/>
      <c r="F104" s="10"/>
      <c r="G104" s="16">
        <v>4</v>
      </c>
      <c r="H104" t="s" s="17">
        <v>1284</v>
      </c>
      <c r="I104" s="10"/>
      <c r="J104" t="s" s="17">
        <v>35</v>
      </c>
      <c r="K104" s="10"/>
      <c r="L104" s="10"/>
      <c r="M104" s="10"/>
      <c r="N104" s="10"/>
      <c r="O104" s="10"/>
      <c r="P104" s="10"/>
    </row>
    <row r="105" ht="8.35" customHeight="1" hidden="1">
      <c r="A105" t="s" s="8">
        <v>1285</v>
      </c>
      <c r="B105" t="s" s="9">
        <v>1081</v>
      </c>
      <c r="C105" s="16">
        <v>1500</v>
      </c>
      <c r="D105" s="10"/>
      <c r="E105" s="10"/>
      <c r="F105" s="10"/>
      <c r="G105" s="16">
        <v>4</v>
      </c>
      <c r="H105" t="s" s="17">
        <v>1286</v>
      </c>
      <c r="I105" s="10"/>
      <c r="J105" s="10"/>
      <c r="K105" s="10"/>
      <c r="L105" s="10"/>
      <c r="M105" s="10"/>
      <c r="N105" s="10"/>
      <c r="O105" s="10"/>
      <c r="P105" s="10"/>
    </row>
    <row r="106" ht="8.35" customHeight="1" hidden="1">
      <c r="A106" t="s" s="8">
        <v>1287</v>
      </c>
      <c r="B106" t="s" s="9">
        <v>1081</v>
      </c>
      <c r="C106" s="16">
        <v>0</v>
      </c>
      <c r="D106" s="10"/>
      <c r="E106" s="10"/>
      <c r="F106" s="10"/>
      <c r="G106" s="16">
        <v>1</v>
      </c>
      <c r="H106" t="s" s="17">
        <v>1288</v>
      </c>
      <c r="I106" s="10"/>
      <c r="J106" s="10"/>
      <c r="K106" s="10"/>
      <c r="L106" s="10"/>
      <c r="M106" s="10"/>
      <c r="N106" s="10"/>
      <c r="O106" s="10"/>
      <c r="P106" s="10"/>
    </row>
    <row r="107" ht="8.35" customHeight="1" hidden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8.35" customHeight="1" hidden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8.35" customHeight="1" hidden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8.35" customHeight="1" hidden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8.35" customHeight="1" hidden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8.35" customHeight="1" hidden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8.35" customHeight="1" hidden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8.35" customHeight="1" hidden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8.35" customHeight="1" hidden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8.35" customHeight="1" hidden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8.35" customHeight="1" hidden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8.35" customHeight="1" hidden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8.35" customHeight="1" hidden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8.35" customHeight="1" hidden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8.35" customHeight="1" hidden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8.35" customHeight="1" hidden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8.35" customHeight="1" hidden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8.35" customHeight="1" hidden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8.35" customHeight="1" hidden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8.35" customHeight="1" hidden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8.35" customHeight="1" hidden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8.35" customHeight="1" hidden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8.35" customHeight="1" hidden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8.35" customHeight="1" hidden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8.35" customHeight="1" hidden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8.35" customHeight="1" hidden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8.35" customHeight="1" hidden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8.35" customHeight="1" hidden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8.35" customHeight="1" hidden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8.35" customHeight="1" hidden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8.35" customHeight="1" hidden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8.35" customHeight="1" hidden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8.35" customHeight="1" hidden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8.35" customHeight="1" hidden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8.35" customHeight="1" hidden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8.35" customHeight="1" hidden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8.35" customHeight="1" hidden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8.35" customHeight="1" hidden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8.35" customHeight="1" hidden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8.35" customHeight="1" hidden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8.35" customHeight="1" hidden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8.35" customHeight="1" hidden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8.35" customHeight="1" hidden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8.35" customHeight="1" hidden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8.35" customHeight="1" hidden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8.35" customHeight="1" hidden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8.35" customHeight="1" hidden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8.35" customHeight="1" hidden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8.35" customHeight="1" hidden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8.35" customHeight="1" hidden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8.35" customHeight="1" hidden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8.35" customHeight="1" hidden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8.35" customHeight="1" hidden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8.35" customHeight="1" hidden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8.35" customHeight="1" hidden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8.35" customHeight="1" hidden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8.35" customHeight="1" hidden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8.35" customHeight="1" hidden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8.35" customHeight="1" hidden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8.35" customHeight="1" hidden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8.35" customHeight="1" hidden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8.35" customHeight="1" hidden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8.35" customHeight="1" hidden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8.35" customHeight="1" hidden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8.35" customHeight="1" hidden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8.35" customHeight="1" hidden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8.35" customHeight="1" hidden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8.35" customHeight="1" hidden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8.35" customHeight="1" hidden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8.35" customHeight="1" hidden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8.35" customHeight="1" hidden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8.35" customHeight="1" hidden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8.35" customHeight="1" hidden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8.35" customHeight="1" hidden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8.35" customHeight="1" hidden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8.35" customHeight="1" hidden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8.35" customHeight="1" hidden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8.35" customHeight="1" hidden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8.35" customHeight="1" hidden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8.35" customHeight="1" hidden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8.35" customHeight="1" hidden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8.35" customHeight="1" hidden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8.35" customHeight="1" hidden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8.35" customHeight="1" hidden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8.35" customHeight="1" hidden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8.35" customHeight="1" hidden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8.35" customHeight="1" hidden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8.35" customHeight="1" hidden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8.35" customHeight="1" hidden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8.35" customHeight="1" hidden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8.35" customHeight="1" hidden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8.35" customHeight="1" hidden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8.35" customHeight="1" hidden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8.35" customHeight="1" hidden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8.35" customHeight="1" hidden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8.35" customHeight="1" hidden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8.35" customHeight="1" hidden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8.35" customHeight="1" hidden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8.35" customHeight="1" hidden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8.35" customHeight="1" hidden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8.35" customHeight="1" hidden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8.35" customHeight="1" hidden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8.35" customHeight="1" hidden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8.35" customHeight="1" hidden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8.35" customHeight="1" hidden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8.35" customHeight="1" hidden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8.35" customHeight="1" hidden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8.35" customHeight="1" hidden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8.35" customHeight="1" hidden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8.35" customHeight="1" hidden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8.35" customHeight="1" hidden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8.35" customHeight="1" hidden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8.35" customHeight="1" hidden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8.35" customHeight="1" hidden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8.35" customHeight="1" hidden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8.35" customHeight="1" hidden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8.35" customHeight="1" hidden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8.35" customHeight="1" hidden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8.35" customHeight="1" hidden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8.35" customHeight="1" hidden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8.35" customHeight="1" hidden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8.35" customHeight="1" hidden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8.35" customHeight="1" hidden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8.35" customHeight="1" hidden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8.35" customHeight="1" hidden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8.35" customHeight="1" hidden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8.35" customHeight="1" hidden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8.35" customHeight="1" hidden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8.35" customHeight="1" hidden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8.35" customHeight="1" hidden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8.35" customHeight="1" hidden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8.35" customHeight="1" hidden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8.35" customHeight="1" hidden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8.35" customHeight="1" hidden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8.35" customHeight="1" hidden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8.35" customHeight="1" hidden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8.35" customHeight="1" hidden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8.35" customHeight="1" hidden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8.35" customHeight="1" hidden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8.35" customHeight="1" hidden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8.35" customHeight="1" hidden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8.35" customHeight="1" hidden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8.35" customHeight="1" hidden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8.35" customHeight="1" hidden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8.35" customHeight="1" hidden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8.35" customHeight="1" hidden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8.35" customHeight="1" hidden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8.35" customHeight="1" hidden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8.35" customHeight="1" hidden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8.35" customHeight="1" hidden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8.35" customHeight="1" hidden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8.35" customHeight="1" hidden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8.35" customHeight="1" hidden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8.35" customHeight="1" hidden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8.35" customHeight="1" hidden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8.35" customHeight="1" hidden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8.35" customHeight="1" hidden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8.35" customHeight="1" hidden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8.35" customHeight="1" hidden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8.35" customHeight="1" hidden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8.35" customHeight="1" hidden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8.35" customHeight="1" hidden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8.35" customHeight="1" hidden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8.35" customHeight="1" hidden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8.35" customHeight="1" hidden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8.35" customHeight="1" hidden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8.35" customHeight="1" hidden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8.35" customHeight="1" hidden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8.35" customHeight="1" hidden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8.35" customHeight="1" hidden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8.35" customHeight="1" hidden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8.35" customHeight="1" hidden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8.35" customHeight="1" hidden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8.35" customHeight="1" hidden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8.35" customHeight="1" hidden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8.35" customHeight="1" hidden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8.35" customHeight="1" hidden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8.35" customHeight="1" hidden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8.35" customHeight="1" hidden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8.35" customHeight="1" hidden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8.35" customHeight="1" hidden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8.35" customHeight="1" hidden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8.35" customHeight="1" hidden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8.35" customHeight="1" hidden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8.35" customHeight="1" hidden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8.35" customHeight="1" hidden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8.35" customHeight="1" hidden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8.35" customHeight="1" hidden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8.35" customHeight="1" hidden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8.35" customHeight="1" hidden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8.35" customHeight="1" hidden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8.35" customHeight="1" hidden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8.35" customHeight="1" hidden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8.35" customHeight="1" hidden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8.35" customHeight="1" hidden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8.35" customHeight="1" hidden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8.35" customHeight="1" hidden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8.35" customHeight="1" hidden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8.35" customHeight="1" hidden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8.35" customHeight="1" hidden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8.35" customHeight="1" hidden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8.35" customHeight="1" hidden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8.35" customHeight="1" hidden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8.35" customHeight="1" hidden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8.35" customHeight="1" hidden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8.35" customHeight="1" hidden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8.35" customHeight="1" hidden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8.35" customHeight="1" hidden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8.35" customHeight="1" hidden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8.35" customHeight="1" hidden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8.35" customHeight="1" hidden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8.35" customHeight="1" hidden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8.35" customHeight="1" hidden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8.35" customHeight="1" hidden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8.35" customHeight="1" hidden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8.35" customHeight="1" hidden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8.35" customHeight="1" hidden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8.35" customHeight="1" hidden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8.35" customHeight="1" hidden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8.35" customHeight="1" hidden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8.35" customHeight="1" hidden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8.35" customHeight="1" hidden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8.35" customHeight="1" hidden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8.35" customHeight="1" hidden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8.35" customHeight="1" hidden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8.35" customHeight="1" hidden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8.35" customHeight="1" hidden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8.35" customHeight="1" hidden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8.35" customHeight="1" hidden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8.35" customHeight="1" hidden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8.35" customHeight="1" hidden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8.35" customHeight="1" hidden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8.35" customHeight="1" hidden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8.35" customHeight="1" hidden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8.35" customHeight="1" hidden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8.35" customHeight="1" hidden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8.35" customHeight="1" hidden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8.35" customHeight="1" hidden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8.35" customHeight="1" hidden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8.35" customHeight="1" hidden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8.35" customHeight="1" hidden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8.35" customHeight="1" hidden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8.35" customHeight="1" hidden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8.35" customHeight="1" hidden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8.35" customHeight="1" hidden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8.35" customHeight="1" hidden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8.35" customHeight="1" hidden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8.35" customHeight="1" hidden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8.35" customHeight="1" hidden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8.35" customHeight="1" hidden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8.35" customHeight="1" hidden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8.35" customHeight="1" hidden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8.35" customHeight="1" hidden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8.35" customHeight="1" hidden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8.35" customHeight="1" hidden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8.35" customHeight="1" hidden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8.35" customHeight="1" hidden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8.35" customHeight="1" hidden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8.35" customHeight="1" hidden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8.35" customHeight="1" hidden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8.35" customHeight="1" hidden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8.35" customHeight="1" hidden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8.35" customHeight="1" hidden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8.35" customHeight="1" hidden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8.35" customHeight="1" hidden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8.35" customHeight="1" hidden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8.35" customHeight="1" hidden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8.35" customHeight="1" hidden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8.35" customHeight="1" hidden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8.35" customHeight="1" hidden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8.35" customHeight="1" hidden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8.35" customHeight="1" hidden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8.35" customHeight="1" hidden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8.35" customHeight="1" hidden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8.35" customHeight="1" hidden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8.35" customHeight="1" hidden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8.35" customHeight="1" hidden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8.35" customHeight="1" hidden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8.35" customHeight="1" hidden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8.35" customHeight="1" hidden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8.35" customHeight="1" hidden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8.35" customHeight="1" hidden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8.35" customHeight="1" hidden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8.35" customHeight="1" hidden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8.35" customHeight="1" hidden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8.35" customHeight="1" hidden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8.35" customHeight="1" hidden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8.35" customHeight="1" hidden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8.35" customHeight="1" hidden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8.35" customHeight="1" hidden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8.35" customHeight="1" hidden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8.35" customHeight="1" hidden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8.35" customHeight="1" hidden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8.35" customHeight="1" hidden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8.35" customHeight="1" hidden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8.35" customHeight="1" hidden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8.35" customHeight="1" hidden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8.35" customHeight="1" hidden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8.35" customHeight="1" hidden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8.35" customHeight="1" hidden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8.35" customHeight="1" hidden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8.35" customHeight="1" hidden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8.35" customHeight="1" hidden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8.35" customHeight="1" hidden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8.35" customHeight="1" hidden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8.35" customHeight="1" hidden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8.35" customHeight="1" hidden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8.35" customHeight="1" hidden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8.35" customHeight="1" hidden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8.35" customHeight="1" hidden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8.35" customHeight="1" hidden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8.35" customHeight="1" hidden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8.35" customHeight="1" hidden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8.35" customHeight="1" hidden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8.35" customHeight="1" hidden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8.35" customHeight="1" hidden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8.35" customHeight="1" hidden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8.35" customHeight="1" hidden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8.35" customHeight="1" hidden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8.35" customHeight="1" hidden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8.35" customHeight="1" hidden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8.35" customHeight="1" hidden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8.35" customHeight="1" hidden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8.35" customHeight="1" hidden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8.35" customHeight="1" hidden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8.35" customHeight="1" hidden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8.35" customHeight="1" hidden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8.35" customHeight="1" hidden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8.35" customHeight="1" hidden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8.35" customHeight="1" hidden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8.35" customHeight="1" hidden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8.35" customHeight="1" hidden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8.35" customHeight="1" hidden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8.35" customHeight="1" hidden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8.35" customHeight="1" hidden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8.35" customHeight="1" hidden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8.35" customHeight="1" hidden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8.35" customHeight="1" hidden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8.35" customHeight="1" hidden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8.35" customHeight="1" hidden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8.35" customHeight="1" hidden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8.35" customHeight="1" hidden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8.35" customHeight="1" hidden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8.35" customHeight="1" hidden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8.35" customHeight="1" hidden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8.35" customHeight="1" hidden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8.35" customHeight="1" hidden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8.35" customHeight="1" hidden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8.35" customHeight="1" hidden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8.35" customHeight="1" hidden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8.35" customHeight="1" hidden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8.35" customHeight="1" hidden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8.35" customHeight="1" hidden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8.35" customHeight="1" hidden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8.35" customHeight="1" hidden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8.35" customHeight="1" hidden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8.35" customHeight="1" hidden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8.35" customHeight="1" hidden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8.35" customHeight="1" hidden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8.35" customHeight="1" hidden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8.35" customHeight="1" hidden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8.35" customHeight="1" hidden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8.35" customHeight="1" hidden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8.35" customHeight="1" hidden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8.35" customHeight="1" hidden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8.35" customHeight="1" hidden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8.35" customHeight="1" hidden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8.35" customHeight="1" hidden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8.35" customHeight="1" hidden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8.35" customHeight="1" hidden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8.35" customHeight="1" hidden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8.35" customHeight="1" hidden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8.35" customHeight="1" hidden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8.35" customHeight="1" hidden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8.35" customHeight="1" hidden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8.35" customHeight="1" hidden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8.35" customHeight="1" hidden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8.35" customHeight="1" hidden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8.35" customHeight="1" hidden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8.35" customHeight="1" hidden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8.35" customHeight="1" hidden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8.35" customHeight="1" hidden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8.35" customHeight="1" hidden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8.35" customHeight="1" hidden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8.35" customHeight="1" hidden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8.35" customHeight="1" hidden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8.35" customHeight="1" hidden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8.35" customHeight="1" hidden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8.35" customHeight="1" hidden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8.35" customHeight="1" hidden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8.35" customHeight="1" hidden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8.35" customHeight="1" hidden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8.35" customHeight="1" hidden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8.35" customHeight="1" hidden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8.35" customHeight="1" hidden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8.35" customHeight="1" hidden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8.35" customHeight="1" hidden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8.35" customHeight="1" hidden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8.35" customHeight="1" hidden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8.35" customHeight="1" hidden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8.35" customHeight="1" hidden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8.35" customHeight="1" hidden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8.35" customHeight="1" hidden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8.35" customHeight="1" hidden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8.35" customHeight="1" hidden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8.35" customHeight="1" hidden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8.35" customHeight="1" hidden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8.35" customHeight="1" hidden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8.35" customHeight="1" hidden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8.35" customHeight="1" hidden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8.35" customHeight="1" hidden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8.35" customHeight="1" hidden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8.35" customHeight="1" hidden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8.35" customHeight="1" hidden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8.35" customHeight="1" hidden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8.35" customHeight="1" hidden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8.35" customHeight="1" hidden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8.35" customHeight="1" hidden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8.35" customHeight="1" hidden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8.35" customHeight="1" hidden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8.35" customHeight="1" hidden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8.35" customHeight="1" hidden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8.35" customHeight="1" hidden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8.35" customHeight="1" hidden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8.35" customHeight="1" hidden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8.35" customHeight="1" hidden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8.35" customHeight="1" hidden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8.35" customHeight="1" hidden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8.35" customHeight="1" hidden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8.35" customHeight="1" hidden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8.35" customHeight="1" hidden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8.35" customHeight="1" hidden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8.35" customHeight="1" hidden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8.35" customHeight="1" hidden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8.35" customHeight="1" hidden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8.35" customHeight="1" hidden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8.35" customHeight="1" hidden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8.35" customHeight="1" hidden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8.35" customHeight="1" hidden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8.35" customHeight="1" hidden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8.35" customHeight="1" hidden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8.35" customHeight="1" hidden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8.35" customHeight="1" hidden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8.35" customHeight="1" hidden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8.35" customHeight="1" hidden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8.35" customHeight="1" hidden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8.35" customHeight="1" hidden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8.35" customHeight="1" hidden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8.35" customHeight="1" hidden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8.35" customHeight="1" hidden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1.3281" style="26" customWidth="1"/>
    <col min="2" max="5" width="16.3516" style="26" customWidth="1"/>
    <col min="6" max="16384" width="16.3516" style="26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7">
        <v>22</v>
      </c>
      <c r="B2" t="s" s="27">
        <v>1289</v>
      </c>
      <c r="C2" t="s" s="27">
        <v>1290</v>
      </c>
      <c r="D2" t="s" s="27">
        <v>1291</v>
      </c>
      <c r="E2" t="s" s="27">
        <v>1292</v>
      </c>
    </row>
    <row r="3" ht="16.55" customHeight="1">
      <c r="A3" t="s" s="28">
        <v>1293</v>
      </c>
      <c r="B3" s="29">
        <v>52</v>
      </c>
      <c r="C3" s="30">
        <v>0.347</v>
      </c>
      <c r="D3" t="s" s="31">
        <v>1294</v>
      </c>
      <c r="E3" s="32">
        <f>_xlfn.COUNTIFS('Character'!$L$3:$L$568,"Yes",'Character'!$G$3:$G$568,1)+_xlfn.COUNTIFS('Trap'!$L$3:$L$545,"Yes",'Trap'!$G$3:$G$545,1)+_xlfn.COUNTIFS('Tech'!$L$3:$L$556,"Yes",'Tech'!$G$3:$G$556,1)</f>
        <v>54</v>
      </c>
    </row>
    <row r="4" ht="16.35" customHeight="1">
      <c r="A4" t="s" s="33">
        <v>1295</v>
      </c>
      <c r="B4" s="34">
        <v>48</v>
      </c>
      <c r="C4" s="35">
        <v>0.337</v>
      </c>
      <c r="D4" t="s" s="36">
        <v>1296</v>
      </c>
      <c r="E4" s="37">
        <f>_xlfn.COUNTIFS('Character'!$L$3:$L$568,"Yes",'Character'!$G$3:$G$568,2)+_xlfn.COUNTIFS('Trap'!$L$3:$L$545,"Yes",'Trap'!$G$3:$G$545,2)+_xlfn.COUNTIFS('Tech'!$L$3:$L$556,"Yes",'Tech'!$G$3:$G$556,2)</f>
        <v>52</v>
      </c>
    </row>
    <row r="5" ht="16.35" customHeight="1">
      <c r="A5" t="s" s="33">
        <v>1297</v>
      </c>
      <c r="B5" s="34">
        <v>27</v>
      </c>
      <c r="C5" s="35">
        <v>0.167</v>
      </c>
      <c r="D5" t="s" s="36">
        <v>1296</v>
      </c>
      <c r="E5" s="37">
        <f>_xlfn.COUNTIFS('Character'!$L$3:$L$568,"Yes",'Character'!$G$3:$G$568,3)+_xlfn.COUNTIFS('Trap'!$L$3:$L$545,"Yes",'Trap'!$G$3:$G$545,3)+_xlfn.COUNTIFS('Tech'!$L$3:$L$556,"Yes",'Tech'!$G$3:$G$556,3)</f>
        <v>31</v>
      </c>
    </row>
    <row r="6" ht="30.35" customHeight="1">
      <c r="A6" t="s" s="33">
        <v>1298</v>
      </c>
      <c r="B6" s="34">
        <v>16</v>
      </c>
      <c r="C6" s="35">
        <v>0.1</v>
      </c>
      <c r="D6" t="s" s="36">
        <v>1299</v>
      </c>
      <c r="E6" s="37">
        <f>_xlfn.COUNTIFS('Character'!$L$3:$L$568,"Yes",'Character'!$G$3:$G$568,4)+_xlfn.COUNTIFS('Trap'!$L$3:$L$545,"Yes",'Trap'!$G$3:$G$545,4)+_xlfn.COUNTIFS('Tech'!$L$3:$L$556,"Yes",'Tech'!$G$3:$G$556,4)</f>
        <v>19</v>
      </c>
    </row>
    <row r="7" ht="16.35" customHeight="1">
      <c r="A7" t="s" s="38">
        <v>1300</v>
      </c>
      <c r="B7" s="39">
        <v>9</v>
      </c>
      <c r="C7" s="40">
        <v>0.053</v>
      </c>
      <c r="D7" t="s" s="36">
        <v>1301</v>
      </c>
      <c r="E7" s="37">
        <f>_xlfn.COUNTIFS('Character'!$L$3:$L$568,"Yes",'Character'!$G$3:$G$568,5)+_xlfn.COUNTIFS('Trap'!$L$3:$L$545,"Yes",'Trap'!$G$3:$G$545,5)+_xlfn.COUNTIFS('Tech'!$L$3:$L$556,"Yes",'Tech'!$G$3:$G$556,5)</f>
        <v>12</v>
      </c>
    </row>
    <row r="8" ht="16.35" customHeight="1">
      <c r="A8" s="41"/>
      <c r="B8" s="42"/>
      <c r="C8" s="43"/>
      <c r="D8" s="44"/>
      <c r="E8" s="44"/>
    </row>
    <row r="9" ht="16.35" customHeight="1">
      <c r="A9" s="41"/>
      <c r="B9" s="42"/>
      <c r="C9" s="43"/>
      <c r="D9" s="44"/>
      <c r="E9" s="44"/>
    </row>
    <row r="10" ht="16.35" customHeight="1">
      <c r="A10" s="41"/>
      <c r="B10" s="42"/>
      <c r="C10" s="43"/>
      <c r="D10" s="44"/>
      <c r="E10" s="44"/>
    </row>
    <row r="11" ht="16.35" customHeight="1">
      <c r="A11" t="s" s="45">
        <v>22</v>
      </c>
      <c r="B11" t="s" s="46">
        <v>1289</v>
      </c>
      <c r="C11" s="47"/>
      <c r="D11" s="47"/>
      <c r="E11" t="s" s="48">
        <v>1292</v>
      </c>
    </row>
    <row r="12" ht="16.35" customHeight="1">
      <c r="A12" t="s" s="33">
        <v>1302</v>
      </c>
      <c r="B12" s="34">
        <v>60</v>
      </c>
      <c r="C12" s="44"/>
      <c r="D12" s="44"/>
      <c r="E12" s="37">
        <f>_xlfn.COUNTIFS('Character'!$N$3:$N$568,"Yes")+_xlfn.COUNTIFS('Trap'!$N$3:$N$545,"Yes")+_xlfn.COUNTIFS('Tech'!$N$3:$N$556,"Yes")</f>
        <v>60</v>
      </c>
    </row>
    <row r="13" ht="16.35" customHeight="1">
      <c r="A13" t="s" s="33">
        <v>1303</v>
      </c>
      <c r="B13" s="34">
        <v>60</v>
      </c>
      <c r="C13" s="44"/>
      <c r="D13" s="44"/>
      <c r="E13" s="37">
        <f>_xlfn.COUNTIFS('Character'!$O$3:$O$568,"Yes")+_xlfn.COUNTIFS('Trap'!$O$3:$O$545,"Yes")+_xlfn.COUNTIFS('Tech'!$O$3:$O$556,"Yes")</f>
        <v>60</v>
      </c>
    </row>
    <row r="14" ht="16.35" customHeight="1">
      <c r="A14" t="s" s="33">
        <v>1304</v>
      </c>
      <c r="B14" s="34">
        <v>60</v>
      </c>
      <c r="C14" s="44"/>
      <c r="D14" s="44"/>
      <c r="E14" s="37">
        <f>_xlfn.COUNTIFS('Character'!$P$3:$P$568,"Yes")+_xlfn.COUNTIFS('Trap'!$P$3:$P$545,"Yes")+_xlfn.COUNTIFS('Tech'!$P$3:$P$556,"Yes")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