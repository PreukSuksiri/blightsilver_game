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Unit" sheetId="2" r:id="rId5"/>
    <sheet name="Union" sheetId="3" r:id="rId6"/>
    <sheet name="Trap" sheetId="4" r:id="rId7"/>
    <sheet name="Tech" sheetId="5" r:id="rId8"/>
    <sheet name="Count" sheetId="6" r:id="rId9"/>
    <sheet name="Rule" sheetId="7" r:id="rId10"/>
  </sheets>
</workbook>
</file>

<file path=xl/sharedStrings.xml><?xml version="1.0" encoding="utf-8"?>
<sst xmlns="http://schemas.openxmlformats.org/spreadsheetml/2006/main" uniqueCount="2102">
  <si>
    <t>Table 1</t>
  </si>
  <si>
    <t>Affinity</t>
  </si>
  <si>
    <t>Key strength</t>
  </si>
  <si>
    <t>Divine</t>
  </si>
  <si>
    <t>High defense, Anti-Chaos bonus</t>
  </si>
  <si>
    <t>Chaos</t>
  </si>
  <si>
    <t>High cost, powerful units, Especially weak to Divine</t>
  </si>
  <si>
    <t>Arcane</t>
  </si>
  <si>
    <t>Spending a lot of Crystal to maximize power in short time. A glass cannon.</t>
  </si>
  <si>
    <t>Nature</t>
  </si>
  <si>
    <t>Balanced</t>
  </si>
  <si>
    <t>Bio</t>
  </si>
  <si>
    <t>Few unit,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</si>
  <si>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</si>
  <si>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</si>
  <si>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</si>
  <si>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</si>
  <si>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</si>
  <si>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</si>
  <si>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</si>
  <si>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</si>
  <si>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</si>
  <si>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</si>
  <si>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</si>
  <si>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</si>
  <si>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</si>
  <si>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</si>
  <si>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</si>
  <si>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</si>
  <si>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49</t>
  </si>
  <si>
    <t>Booster Pack - Unseen Presence / 50</t>
  </si>
  <si>
    <t>Booster Pack - Wind of Dominance / 50</t>
  </si>
  <si>
    <t>Pyromancer</t>
  </si>
  <si>
    <t>Unit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</si>
  <si>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</si>
  <si>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</si>
  <si>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</si>
  <si>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</si>
  <si>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</si>
  <si>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</si>
  <si>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</si>
  <si>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</si>
  <si>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</si>
  <si>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+200 Crystal if successfully defended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</si>
  <si>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</si>
  <si>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</si>
  <si>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</si>
  <si>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</si>
  <si>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</si>
  <si>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</si>
  <si>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</si>
  <si>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</si>
  <si>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</si>
  <si>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Whisperer</t>
  </si>
  <si>
    <t>+30 ATK&amp;DEF for each exposed ‘wisp’ card on your side</t>
  </si>
  <si>
    <t>Leorudus the Warlord</t>
  </si>
  <si>
    <t xml:space="preserve">+20 ATK&amp;DEF for each other exposed Anima card on your side </t>
  </si>
  <si>
    <t>Aether Warden</t>
  </si>
  <si>
    <t>In Reckoning if it defends, attacker loses 300 Crystals</t>
  </si>
  <si>
    <t>Void Stalker</t>
  </si>
  <si>
    <t>+20 ATK if it attacks an exposed card.</t>
  </si>
  <si>
    <t>Swarmcaller</t>
  </si>
  <si>
    <t>+15 ATK&amp;DEF for each other exposed Nature card on your side</t>
  </si>
  <si>
    <t>Ironclad Sentinel</t>
  </si>
  <si>
    <t>Immune to 0-cost Traps. This Unit cannot be destroyed by Tech Cards.</t>
  </si>
  <si>
    <t>Tomb Bandit</t>
  </si>
  <si>
    <t>This Unit cannot be destroyed by Traps. It gets -20 DEF permanently if it attacked a trap card.</t>
  </si>
  <si>
    <t>Scout Probe</t>
  </si>
  <si>
    <t>After this card attacks, choose and reveal 1 adjacent cell.</t>
  </si>
  <si>
    <t>Lab Zombie</t>
  </si>
  <si>
    <t>With Mutagen Flag: +45 ATK vs Nature or Anima.</t>
  </si>
  <si>
    <t>Lab Bloater</t>
  </si>
  <si>
    <t>With Mutagen Flag: Destroy both units in Reckoning. Both players pay no cost.</t>
  </si>
  <si>
    <t>Lab Crawler</t>
  </si>
  <si>
    <t>With Mutagen Flag: this card can target 3 cards</t>
  </si>
  <si>
    <t>Pit Lord</t>
  </si>
  <si>
    <t>Destroy this card after Reckoning with Divine Unit. After this card attacked, halve its ATK&amp;DEF permanently</t>
  </si>
  <si>
    <t>Ancient Lich</t>
  </si>
  <si>
    <t>This card is unaffected by Tech cards.</t>
  </si>
  <si>
    <t>Hyperspeed Saucer</t>
  </si>
  <si>
    <t>Permanently increase this card's ATK&amp;DEF by 10 at the end of each of your turn</t>
  </si>
  <si>
    <t>Mountain Sage</t>
  </si>
  <si>
    <t>Double effect of Tech card applied to this unit</t>
  </si>
  <si>
    <t xml:space="preserve">War Genie </t>
  </si>
  <si>
    <t>-10 ATK permanently after it attacked</t>
  </si>
  <si>
    <t>Grand Wizard</t>
  </si>
  <si>
    <t>In Reckoning, flip a coin. Head: +30 ATK&amp;DEF until this turn’s end</t>
  </si>
  <si>
    <t>Archbishop</t>
  </si>
  <si>
    <t>If this card would be destroyed, you can destroy 1 other Divine card on your side instead</t>
  </si>
  <si>
    <t>Space Boy</t>
  </si>
  <si>
    <t xml:space="preserve">Slim Gray Trooper </t>
  </si>
  <si>
    <t>+65 ATK&amp;DEF if 10 or more cells on your side are revealed</t>
  </si>
  <si>
    <t>Horn Face</t>
  </si>
  <si>
    <t>After a successful attack, flip 2 coins. It can attack again equal to number of head.</t>
  </si>
  <si>
    <t>Railgun Tank</t>
  </si>
  <si>
    <t>After a successful attack, this card cannot attack on the next of your turn.</t>
  </si>
  <si>
    <t>Lazy Troll</t>
  </si>
  <si>
    <t>If this card performs an attack, flip a coin. Tail: it stops attacking.</t>
  </si>
  <si>
    <t>Leech Man</t>
  </si>
  <si>
    <t>+10 DEF permanently after it performed attack on unit. Also +10 ATK with mutagen flag</t>
  </si>
  <si>
    <t>Immortal Vampire</t>
  </si>
  <si>
    <t>+30 ATK for each other exposed Chaos card on your side. In Reckoning with Divine, destroy this card.</t>
  </si>
  <si>
    <t>Vampire Servant</t>
  </si>
  <si>
    <t>If a 'Vampire' card will be destroyed, destroy this card instead. Usable face-down.</t>
  </si>
  <si>
    <t>Bat Swarm</t>
  </si>
  <si>
    <t>If a Chaos card on your side is being attacked, you may swap this card's position with that card. Usable face-down.</t>
  </si>
  <si>
    <t>Poltergeist</t>
  </si>
  <si>
    <t>If this card performs an attack, switch this card’s ATK&amp;DEF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</si>
  <si>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</si>
  <si>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</si>
  <si>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</si>
  <si>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</si>
  <si>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</si>
  <si>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</si>
  <si>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</si>
  <si>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After this card is destroyed in Reckoning, revive 1 unit you own with no ability. Repeat the Reckoning.</t>
  </si>
  <si>
    <t>Death Stag</t>
  </si>
  <si>
    <t>Champion of the Valley</t>
  </si>
  <si>
    <t>+10 ATK permanently if it destroyed a unit. This bonus does not exceed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</si>
  <si>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</si>
  <si>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</si>
  <si>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</si>
  <si>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</si>
  <si>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</si>
  <si>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Star Hunter</t>
  </si>
  <si>
    <t>Slim Gray Tank</t>
  </si>
  <si>
    <t>+10 ATK/DEF per revealed cell on your side</t>
  </si>
  <si>
    <t>Mafia Associates</t>
  </si>
  <si>
    <t>At the end of the turn that it’s been exposed, its defense becomes 0</t>
  </si>
  <si>
    <t>Silver Dragon</t>
  </si>
  <si>
    <t>Pay 1000 Crystal tax to command this card for attack</t>
  </si>
  <si>
    <t>Energy Wisp</t>
  </si>
  <si>
    <t>Wood Wisp</t>
  </si>
  <si>
    <t>Messenger of Fate</t>
  </si>
  <si>
    <t>In Reckoning, flip a coin. Head: +20 ATK&amp;DEF. Tail -20 ATK&amp;DEF</t>
  </si>
  <si>
    <t>Armored Wolf</t>
  </si>
  <si>
    <t>Once in Reckoning, you can choose to grant +50 ATK and -50 DEF to it permanently</t>
  </si>
  <si>
    <t>Berserker of Ice Sea</t>
  </si>
  <si>
    <t>Once, at your turn end, -35 ATK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</si>
  <si>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</si>
  <si>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</si>
  <si>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</si>
  <si>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</si>
  <si>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</si>
  <si>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</si>
  <si>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</si>
  <si>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</si>
  <si>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</si>
  <si>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survived Reckoning: +ATK&amp;DEF equal to half of that foe’s card</t>
  </si>
  <si>
    <t>Wide Smile Lady</t>
  </si>
  <si>
    <t>Nuki the Tanuki</t>
  </si>
  <si>
    <t>Before Reckoning, flip a coin. If head, swap position with any of own unit. Repeat Reckoning.</t>
  </si>
  <si>
    <t>Tiny Pixie</t>
  </si>
  <si>
    <t>Once, this card is not destroyed</t>
  </si>
  <si>
    <t>Melissa the Healer</t>
  </si>
  <si>
    <t>If you lose 500 or more Crystals, you recover 300 Crystals.</t>
  </si>
  <si>
    <t>Heavy Tome Preacher</t>
  </si>
  <si>
    <t>Holy Wisp</t>
  </si>
  <si>
    <t>+10 ATK vs Chaos</t>
  </si>
  <si>
    <t>Cloud Soldier</t>
  </si>
  <si>
    <t>Sleeping Kirin</t>
  </si>
  <si>
    <t>+25 ATK permanently</t>
  </si>
  <si>
    <t>Ponycorn</t>
  </si>
  <si>
    <t>Nunchuck Nun</t>
  </si>
  <si>
    <t>+ 5 ATK&amp;DEF vs Chaos card</t>
  </si>
  <si>
    <t>Joan the Faithful Warrior</t>
  </si>
  <si>
    <t>If at least 1 exposed Divine unit is on the field, this card gains 35 DEF</t>
  </si>
  <si>
    <t>Choir Lady Alice</t>
  </si>
  <si>
    <t>Choir Lady Anna</t>
  </si>
  <si>
    <t>Choir Lady Abigail</t>
  </si>
  <si>
    <t>Church Guard</t>
  </si>
  <si>
    <t>Sniping Fairy</t>
  </si>
  <si>
    <t>After it becomes exposed, -20 ATK at that turn’s end.</t>
  </si>
  <si>
    <t>Bomber Fairy</t>
  </si>
  <si>
    <t>Once, after destroyed a unit, this card can attack 1 more time.</t>
  </si>
  <si>
    <t>Totem Granpa</t>
  </si>
  <si>
    <t>+30 DEF vs Nature</t>
  </si>
  <si>
    <t>Golden Senju</t>
  </si>
  <si>
    <t>After attacked a non-unit cell, this card can attack 1 more time.</t>
  </si>
  <si>
    <t>Mean Angel</t>
  </si>
  <si>
    <t>Once, destroy Anima card in Reckoning</t>
  </si>
  <si>
    <t>Sandy Sphinx</t>
  </si>
  <si>
    <t>In Reckoning if it defends, flip a coin. Head: the attack does nothing.</t>
  </si>
  <si>
    <t>Gemmed Sphinx</t>
  </si>
  <si>
    <t>Black Anubis</t>
  </si>
  <si>
    <t>+5 ATK at your turn end. This bonus does not exceed 25</t>
  </si>
  <si>
    <t>Sunrise Lady</t>
  </si>
  <si>
    <t>If it attacks: +10 ATK,-10 DEF permanently (if possible)</t>
  </si>
  <si>
    <t>Lucky Statue</t>
  </si>
  <si>
    <t>+20 DEF vs Chaos</t>
  </si>
  <si>
    <t>Flame Seraph</t>
  </si>
  <si>
    <t>Halo Guardian</t>
  </si>
  <si>
    <t>+5 ATK&amp;DEF for each exposed Chaos unit on foe’s side</t>
  </si>
  <si>
    <t>Benjamin the Holy Craftsman</t>
  </si>
  <si>
    <t>+10 ATK&amp;DEF to other Divine card on your side</t>
  </si>
  <si>
    <t>Raijin</t>
  </si>
  <si>
    <t>Moonrise Gentleman</t>
  </si>
  <si>
    <t>If it defends: +10 DEF,-10 ATK permanently (if possible)</t>
  </si>
  <si>
    <t>Fujin</t>
  </si>
  <si>
    <t>Jiro the Battlemaster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</si>
  <si>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</si>
  <si>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</si>
  <si>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</si>
  <si>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</si>
  <si>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</si>
  <si>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</si>
  <si>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</si>
  <si>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</si>
  <si>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ATK&amp;DEF if performs attack on Chaos</t>
  </si>
  <si>
    <t>Lady of the Sacred Pond</t>
  </si>
  <si>
    <t>Once exposed, choose either : +20 ATK&amp;DEF vs Anima, or +20 ATK&amp;DEF vs Chaos</t>
  </si>
  <si>
    <t>Unwavering Cleric</t>
  </si>
  <si>
    <t>Jill the Merciful Priestess</t>
  </si>
  <si>
    <t>+20 ATK&amp;DEF for each exposed Divine cards on your side</t>
  </si>
  <si>
    <t>Mephisto the Fallen</t>
  </si>
  <si>
    <t>After this card attacked unit successfully, its ATK becomes 0 permanently</t>
  </si>
  <si>
    <t>Joseph the Battle Priest</t>
  </si>
  <si>
    <t>In Reckoning, flip a coin. If head, +10 ATK</t>
  </si>
  <si>
    <t>Sonic Seraph</t>
  </si>
  <si>
    <t>Once per turn, if it attacked Dead End, it can attack again</t>
  </si>
  <si>
    <t>Nova Angel</t>
  </si>
  <si>
    <t>+25 ATK&amp;DEF vs Arcane and Cosmic</t>
  </si>
  <si>
    <t>Gerald of the Heavenly Light</t>
  </si>
  <si>
    <t>Mad Exorcist</t>
  </si>
  <si>
    <t>Destroy Chaos card after Reckoning</t>
  </si>
  <si>
    <t>Oak Guardian</t>
  </si>
  <si>
    <t>Once, if an exposed Nature card will be destroyed, it cannot be destroyed. Usable face-down.</t>
  </si>
  <si>
    <t>Samurai Angel</t>
  </si>
  <si>
    <t>Cloud Beast</t>
  </si>
  <si>
    <t>This card is not destroyed by Anima card</t>
  </si>
  <si>
    <t>Da Loong</t>
  </si>
  <si>
    <t>+60 ATK&amp;DEF if exposed</t>
  </si>
  <si>
    <t>Rama the Justice Arrow</t>
  </si>
  <si>
    <t>At Reckoning, -20 DEF to the defender</t>
  </si>
  <si>
    <t>Hanuman the Second Wind</t>
  </si>
  <si>
    <t>Once, at the start of your turn, if there is Divine unit on your side, revive itself</t>
  </si>
  <si>
    <t>Aurumancer</t>
  </si>
  <si>
    <t>After this card successfully defended, its cost becomes 1500</t>
  </si>
  <si>
    <t>Full-armored Seraphim</t>
  </si>
  <si>
    <t>This card cannot attack face-down cards. After this card performed attack, it cannot attack on your next turn.</t>
  </si>
  <si>
    <t>Goddess of Virtue</t>
  </si>
  <si>
    <t>In Reckoning, destroy Chaos before any calculation</t>
  </si>
  <si>
    <t>Angel Harper</t>
  </si>
  <si>
    <t>The First Angel</t>
  </si>
  <si>
    <t>Start of your turn: while in void, revive with halved ATK&amp;DEF</t>
  </si>
  <si>
    <t>Cursed Well</t>
  </si>
  <si>
    <t>At the end of the turn that it’s been exposed, +15 ATK permanently</t>
  </si>
  <si>
    <t>Shredder Doll</t>
  </si>
  <si>
    <t>Lich Servant</t>
  </si>
  <si>
    <t xml:space="preserve">Destroy this card in Reckoning with Divine units. </t>
  </si>
  <si>
    <t>Hands in the Attic</t>
  </si>
  <si>
    <t>Once, +10 ATK when attack</t>
  </si>
  <si>
    <t>Miner Probe</t>
  </si>
  <si>
    <t>Gain 200 Crystals upon hitting Dead End</t>
  </si>
  <si>
    <t>Mine Guard</t>
  </si>
  <si>
    <t>Prevent ‘Miner’ or ‘Mining’ card from being destroyed, but destroy this card instead. Usable face-down</t>
  </si>
  <si>
    <t>Gravedigger</t>
  </si>
  <si>
    <t>-20 DEF to Chaos defender</t>
  </si>
  <si>
    <t>Night Dweller</t>
  </si>
  <si>
    <t>+10 ATK&amp;DEF if there is 3 or more units in your void.</t>
  </si>
  <si>
    <t>Jacob the Ski Mask</t>
  </si>
  <si>
    <t>+5 ATK vs Anima</t>
  </si>
  <si>
    <t>Karakasa</t>
  </si>
  <si>
    <t>Anatomy Doll</t>
  </si>
  <si>
    <t>After Reckoning with Anima unit, +300 Crystals.</t>
  </si>
  <si>
    <t>Franky the Steel Claw</t>
  </si>
  <si>
    <t>+5 ATK to ally, until the end of this turn</t>
  </si>
  <si>
    <t>Headless Axeman</t>
  </si>
  <si>
    <t>Toyol</t>
  </si>
  <si>
    <t>Once, if its being targeted for attack, swap this card’s position with another ally, then repeat Reckoning. Usable face-down.</t>
  </si>
  <si>
    <t>Krahang</t>
  </si>
  <si>
    <t>Once, this card is unaffected by trap</t>
  </si>
  <si>
    <t>Dark Tengu</t>
  </si>
  <si>
    <t>-10 ATK once it successfully attacked. -10 DEF once it successfully defended.</t>
  </si>
  <si>
    <t>Cursed Suitcase</t>
  </si>
  <si>
    <t>Goat Head</t>
  </si>
  <si>
    <t>This card is unaffected by Trap cards</t>
  </si>
  <si>
    <t>Drifting Head</t>
  </si>
  <si>
    <t>+5 ATK for each Chaos ally. This bonus does not exceed 20</t>
  </si>
  <si>
    <t>Araya the Eerie Dancer</t>
  </si>
  <si>
    <t>This card is unaffected by Tech cards</t>
  </si>
  <si>
    <t>Skeleton Grappler</t>
  </si>
  <si>
    <t>After Reckoning: that foe’s unit cannot attack until foe’s turn ends</t>
  </si>
  <si>
    <t>Skeleton Scout</t>
  </si>
  <si>
    <t>Once, if hitting Dead End: attack again</t>
  </si>
  <si>
    <t>Skeleton Sickleman</t>
  </si>
  <si>
    <t>Kappa</t>
  </si>
  <si>
    <t>+10 ATK if there is Anima or Nature card on your side</t>
  </si>
  <si>
    <t>Wicked Nurse</t>
  </si>
  <si>
    <t>+20 Crystal when it successfully defended</t>
  </si>
  <si>
    <t>Evil Chef</t>
  </si>
  <si>
    <t>+5 ATK&amp;DEF for each exposed Anima or Nature cards on foe’s side</t>
  </si>
  <si>
    <t>Dark Monk</t>
  </si>
  <si>
    <t>Yaksa</t>
  </si>
  <si>
    <t>Demon Spawn</t>
  </si>
  <si>
    <t>Skeleton Archer</t>
  </si>
  <si>
    <t>+5 ATK vs face-down Defender</t>
  </si>
  <si>
    <t>Skeleton Lancer</t>
  </si>
  <si>
    <t>Spider Lady</t>
  </si>
  <si>
    <t>Once, unit in Reckoning with this card cannot attack until foe’s next turn end.</t>
  </si>
  <si>
    <t>Dark Blob</t>
  </si>
  <si>
    <t>After Reckoning: +5 ATK at the end of foe’s turn</t>
  </si>
  <si>
    <t>Skeleton Dog</t>
  </si>
  <si>
    <t>Grave Worm</t>
  </si>
  <si>
    <t>Each time foe loses Crystal: foe loses 200 more Crystals</t>
  </si>
  <si>
    <t>Coffin Spider</t>
  </si>
  <si>
    <t>At the start of your turn, you can pay 500 crystals allow this card to attack twice.</t>
  </si>
  <si>
    <t>Headless Rider</t>
  </si>
  <si>
    <t>Once, this card can consume 2 attack count and attack twice</t>
  </si>
  <si>
    <t>Mysterious Miner</t>
  </si>
  <si>
    <t>After attacked: reveal 1 foe’s cell</t>
  </si>
  <si>
    <t>Staircase Lady</t>
  </si>
  <si>
    <t>Orang Minyak</t>
  </si>
  <si>
    <t>Once, it is not destroyed, but its DEF becomes 0.</t>
  </si>
  <si>
    <t>Feral Vampire</t>
  </si>
  <si>
    <t>In Reckoning with Divine, destroy this card</t>
  </si>
  <si>
    <t>Laughing Granny</t>
  </si>
  <si>
    <t>Once when defending, +10 DEF until end of turn. Once when attacking, +10 ATK until end of turn</t>
  </si>
  <si>
    <t>Restless Soldier</t>
  </si>
  <si>
    <t>-5 ATK&amp;DEF to foe’s unit in Reckoning per units in your void</t>
  </si>
  <si>
    <t>Loyal Tomb Guard</t>
  </si>
  <si>
    <t>Once, at the end of your turn. If you have 1200 or less Crystals, you can revive this card.</t>
  </si>
  <si>
    <t>Silent Stabber</t>
  </si>
  <si>
    <t>Once, at the end of exposed turn, halve its ATK.</t>
  </si>
  <si>
    <t>Klabautermann</t>
  </si>
  <si>
    <t>Before Reckoning of any ally, you can destroy this card to make that card gain +5 ATK&amp;DEF. Usable face-down</t>
  </si>
  <si>
    <t>Mad Familiar</t>
  </si>
  <si>
    <t>This card is unaffected by traps if there is 5 or more units in your void.</t>
  </si>
  <si>
    <t>Unearthed Warrior</t>
  </si>
  <si>
    <t xml:space="preserve">+20 ATK if there is 5 or more units in your void. Destroy this card in Reckoning with Divine units. </t>
  </si>
  <si>
    <t>Gorewood the Hooded Killer</t>
  </si>
  <si>
    <t>Once, at the end of exposed turn, if you have less than 8 units in your void, halve its attack.</t>
  </si>
  <si>
    <t>Tall Black Coat</t>
  </si>
  <si>
    <t>Mirror Lady</t>
  </si>
  <si>
    <t>In Reckoning, you pay 300 crystals to swap foe’s ATK and DEF</t>
  </si>
  <si>
    <t>Vampire Duchess</t>
  </si>
  <si>
    <t>In Reckoning with Divine, destroy this card. In Reckoning with non-Divine, Drain 5 ATK&amp;DEF permanently</t>
  </si>
  <si>
    <t>Tiyanak</t>
  </si>
  <si>
    <t>At the start of your turn, you can pay 200 crystals to increase this card’s ATK by 20</t>
  </si>
  <si>
    <t>Tall Shadow</t>
  </si>
  <si>
    <t>Red Closet</t>
  </si>
  <si>
    <t>If you has 1000 or less Crystals, this card can attack thrice</t>
  </si>
  <si>
    <t>Mad Doctor</t>
  </si>
  <si>
    <t>+150 Crystal whenever any player use Tech card</t>
  </si>
  <si>
    <t>Shadow Beast</t>
  </si>
  <si>
    <t xml:space="preserve">-40 DEF to the defending foe until the end of foe’s turn. Destroy this card in Reckoning with Divine units. </t>
  </si>
  <si>
    <t>Black Devil</t>
  </si>
  <si>
    <t xml:space="preserve">This card is not affected by traps. Destroy this card in Reckoning with Divine units. </t>
  </si>
  <si>
    <t>Death Knight</t>
  </si>
  <si>
    <t>+5 ATK per Chaos unit on your side. +5 DEF per Chaos unit in your void.</t>
  </si>
  <si>
    <t>Dark Mistress</t>
  </si>
  <si>
    <t>+50 ATK if there is 8 or more unit in your void.</t>
  </si>
  <si>
    <t>The White Lady</t>
  </si>
  <si>
    <t>At the start of your turn, you can pay 500 crystal to increase this card’s ATK by 40</t>
  </si>
  <si>
    <t>Sinister Cultist</t>
  </si>
  <si>
    <t>Whenever foe loses Crystal, they lose 100 more Crystals</t>
  </si>
  <si>
    <t>Nanami the Long Neck</t>
  </si>
  <si>
    <t>Once exposed, foe choose and reveal 2 or their cells</t>
  </si>
  <si>
    <t>Flying Dutchman</t>
  </si>
  <si>
    <t>This card is not affected by tech. Once, this card is not affected by trap.</t>
  </si>
  <si>
    <t>Feuermann</t>
  </si>
  <si>
    <t>Ice Lich</t>
  </si>
  <si>
    <t>+15 ATK&amp;DEF for each Arcane card on your side.</t>
  </si>
  <si>
    <t>Dark Cavalier</t>
  </si>
  <si>
    <t>If this card has not performed attack, -20 ATK permanently at the end of your turn</t>
  </si>
  <si>
    <t>Blood Mage</t>
  </si>
  <si>
    <t>In Reckoning, you can pay 1000 Crystals to destroy foe unit.</t>
  </si>
  <si>
    <t>Oni</t>
  </si>
  <si>
    <t>Nachzehrer</t>
  </si>
  <si>
    <t xml:space="preserve">+15 ATK for each Vampire card the field. Can attack twice if there is Anima card on the field. </t>
  </si>
  <si>
    <t>Manananggal</t>
  </si>
  <si>
    <t>Once vs Non-Divine, this card is not destroyed</t>
  </si>
  <si>
    <t>Pochong</t>
  </si>
  <si>
    <t>When this card is destroyed, you can choose to avoid paying cost and grant 500 crystals to foe instead.</t>
  </si>
  <si>
    <t>Nostra the Necromancer</t>
  </si>
  <si>
    <t>Once, whenever an ally unit with 600 or less cost is destroyed, revive that unit. Usable face-down</t>
  </si>
  <si>
    <t>Bone Dragon</t>
  </si>
  <si>
    <t>When it’s destroyed, at the end of foe’s turn, flip a coin. If head, revive it.</t>
  </si>
  <si>
    <t>Soul Overlord</t>
  </si>
  <si>
    <t>+15 ATK for each card in both player’s void</t>
  </si>
  <si>
    <t>Azaxuna the Fallen</t>
  </si>
  <si>
    <t>+20 ATK&amp;DEF for each Chaos card on your side.</t>
  </si>
  <si>
    <t>Elegant Butterfly</t>
  </si>
  <si>
    <t>Venom Toad</t>
  </si>
  <si>
    <t>After Reckoning, add venom flag to the foe’s unit. In Reckoning, destroy foe’s unit with venom flag</t>
  </si>
  <si>
    <t>Drill Woodpecker</t>
  </si>
  <si>
    <t>Hare Soldier</t>
  </si>
  <si>
    <t>In Reckoning, flip 2 coins. +5 ATK for each heads. +5 DEF for each tails</t>
  </si>
  <si>
    <t>Sapphire Beetle</t>
  </si>
  <si>
    <t>Mole Scout</t>
  </si>
  <si>
    <t>If this card was commanded to attack while being face-down, it gains 15 ATK until the end of this turn.</t>
  </si>
  <si>
    <t>Zomborg</t>
  </si>
  <si>
    <t>Once, when this card ATK and/or DEF will be decreased, gain ATK and/or DEF by that amount instead.</t>
  </si>
  <si>
    <t>Stinky Insect</t>
  </si>
  <si>
    <t>If this card defends, the attacking unit cannot attack until foe’s next turn ends</t>
  </si>
  <si>
    <t>Mad Raccoon</t>
  </si>
  <si>
    <t>Armored Cat</t>
  </si>
  <si>
    <t>+10 ATK if there is another exposed Nature card</t>
  </si>
  <si>
    <t>Magical Butterfly</t>
  </si>
  <si>
    <t>Whenever foe’s tech card is activated, +10 ATK&amp;DEF permanently. Usable face-down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</si>
  <si>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</si>
  <si>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</si>
  <si>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</si>
  <si>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</si>
  <si>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</si>
  <si>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destroyed, revived that destroyed card at this turn’s end. Usable face-down.</t>
  </si>
  <si>
    <t>Saw Shark</t>
  </si>
  <si>
    <t>Kiyoko the Death Whisper</t>
  </si>
  <si>
    <t>This card gains +50 ATK when attacking Union card</t>
  </si>
  <si>
    <t>Fox Mage</t>
  </si>
  <si>
    <t xml:space="preserve">Once upon revealed +20 ATK&amp;DEF to Arcane card.  </t>
  </si>
  <si>
    <t>Spear Shark</t>
  </si>
  <si>
    <t>Giant Centipede</t>
  </si>
  <si>
    <t>+100 ATK vs cards with venom flag</t>
  </si>
  <si>
    <t>Scythe Shark</t>
  </si>
  <si>
    <t>Doctopus</t>
  </si>
  <si>
    <t>Once, whenever ally Nature card is destroyed, you can make this card’s ATK becomes 0, revive the destroyed unit at this turn’s end. Usable face-down.</t>
  </si>
  <si>
    <t>White Tiger</t>
  </si>
  <si>
    <t>In Reckoning, -15 ATK to the attacker</t>
  </si>
  <si>
    <t>Sickle Mantis</t>
  </si>
  <si>
    <t>At Reckoning, -10 DEF to the defender</t>
  </si>
  <si>
    <t>Flame Lizard</t>
  </si>
  <si>
    <t>+20 ATK&amp;DEF vs Nature</t>
  </si>
  <si>
    <t>Ostrich Cannon</t>
  </si>
  <si>
    <t>After performing an attack, this card cannot attack during your next turn.</t>
  </si>
  <si>
    <t>Shotgun Shark</t>
  </si>
  <si>
    <t>Deep Tribe Axeman</t>
  </si>
  <si>
    <t>Once per turn, attack again if destroyed Non-Nature unit.</t>
  </si>
  <si>
    <t>Steel Eagle</t>
  </si>
  <si>
    <t>After this card attacked (survived or not), reveal 1 of foe’s face-down cell</t>
  </si>
  <si>
    <t>Warfare Bear</t>
  </si>
  <si>
    <t>+50 ATK vs Anima</t>
  </si>
  <si>
    <t>Dew the Frog Knight</t>
  </si>
  <si>
    <t>Shock Jellyfish</t>
  </si>
  <si>
    <t>If this card defended, foe’s turn ends immediately</t>
  </si>
  <si>
    <t>Deep Tribe Warrior</t>
  </si>
  <si>
    <t>Once, +50 ATK&amp;DEF in Reckoning vs Non-Nature until the end of this turn.</t>
  </si>
  <si>
    <t>Kulu the Alpha Leader</t>
  </si>
  <si>
    <t>+10 ATK for each Nature card on your side.</t>
  </si>
  <si>
    <t>Moon Owl</t>
  </si>
  <si>
    <t>Foe cannot select face-down card as an attack target</t>
  </si>
  <si>
    <t>Deep Tribe Healer</t>
  </si>
  <si>
    <t>Cost for Tribe units are halved. Once, if Tribe units get Reckoning, heal 300 crystals. Usable face-down.</t>
  </si>
  <si>
    <t>Death Cobra</t>
  </si>
  <si>
    <t>Your turn end: select 1 exposed card on either’s side. Put 1 venom flag on it. In Reckoning, foe with Venom Flag get -50 DEF</t>
  </si>
  <si>
    <t>Blood Hound</t>
  </si>
  <si>
    <t>When foe attacks a Dead End, swap this card with it. Usable face-down.</t>
  </si>
  <si>
    <t>Crab Ronin</t>
  </si>
  <si>
    <t>At Reckoning, pay 1000 Crystals then +20 DEF permanently</t>
  </si>
  <si>
    <t>Dryad</t>
  </si>
  <si>
    <t>While exposed, whenever foe’s card is destroyed, gain 400 Crystals</t>
  </si>
  <si>
    <t>Wendella the Wise Princess</t>
  </si>
  <si>
    <t>Once exposed, choose either: reveal 1 foe’s cell or put 1 princes flag on ally unit.</t>
  </si>
  <si>
    <t>Fern the Mermaid Princess</t>
  </si>
  <si>
    <t>Nature units on your side gain +10 DEF. They also gain +5 DEF per princess flags on your side.</t>
  </si>
  <si>
    <t>Sharoniel the Dragon Princess</t>
  </si>
  <si>
    <t>Your unit with princess flag has +30 ATK. Dragon units with princess flag gain +30 more ATK.</t>
  </si>
  <si>
    <t>Nelfa the Windstorm Princess</t>
  </si>
  <si>
    <t>During Reckoning, destroy foe’s unit with 25 DEF or less. With princess flag : foe unit get -25 DEF</t>
  </si>
  <si>
    <t>Chihako the Brave Princess</t>
  </si>
  <si>
    <t>At the start of each turn, put 1 princess flag on ally unit</t>
  </si>
  <si>
    <t>Rena the Space Princess</t>
  </si>
  <si>
    <t>If this card would be destroyed, remove 1 princess flag from ally unit instead.</t>
  </si>
  <si>
    <t>Centaur</t>
  </si>
  <si>
    <t>Minotaur</t>
  </si>
  <si>
    <t>Pegasus</t>
  </si>
  <si>
    <t>Diamond Porcupine</t>
  </si>
  <si>
    <t>Once, in Reckoning, foe’s unit permanently loses 60 ATK.</t>
  </si>
  <si>
    <t>Ant Lion</t>
  </si>
  <si>
    <t>Moonstone Golem</t>
  </si>
  <si>
    <t>Volcanic Dragon</t>
  </si>
  <si>
    <t>Can only attack if this is the only exposed card on your side</t>
  </si>
  <si>
    <t>Deep Tribe Witchdoctor</t>
  </si>
  <si>
    <t>Once, destroy Non-Nature in Reckoning. When Tribe unit get Reckoning, you can switch position with this card. Usable face-down</t>
  </si>
  <si>
    <t>Ivy Golem</t>
  </si>
  <si>
    <t>Unit in Reckoning with this card have its cost doubles until the end of your next turn.</t>
  </si>
  <si>
    <t>Mystic Warrior</t>
  </si>
  <si>
    <t>Planewalker</t>
  </si>
  <si>
    <t>Once, if this card or Arcane ally is in Reckoning, you can relocate this card with any unit on your side. Usable face-down.</t>
  </si>
  <si>
    <t>Tower Guard</t>
  </si>
  <si>
    <t>Dwarven Explorer</t>
  </si>
  <si>
    <t>After Reckoning, reveal 1 adjacent cell.</t>
  </si>
  <si>
    <t>Hardworking Gremlin</t>
  </si>
  <si>
    <t>This card is unaffected by 0 cost traps</t>
  </si>
  <si>
    <t>Outpost Mage</t>
  </si>
  <si>
    <t>Once exposed, +15 ATK until the end of this turn.</t>
  </si>
  <si>
    <t>Lightning Hawk</t>
  </si>
  <si>
    <t>After it performed attack, flip 2 coins, Both are heads: this card can attack 1 more time.</t>
  </si>
  <si>
    <t>Red Mage</t>
  </si>
  <si>
    <t>+10 ATK vs Nature</t>
  </si>
  <si>
    <t>Cullan the Magic Swordsman</t>
  </si>
  <si>
    <t>Once exposed, flip a coin. Heads: +10 ATK&amp;DEF vs Non-Arcane</t>
  </si>
  <si>
    <t>Alluring Witch</t>
  </si>
  <si>
    <t>Once, at foe’s turn start, flip a coin. Head: foe can only attack once. Usable face-down.</t>
  </si>
  <si>
    <t>Mystic Dancer</t>
  </si>
  <si>
    <t>Greedy Gremlin</t>
  </si>
  <si>
    <t>Whenever you gains Crystals from any source, this card gains +10 ATK&amp;DEF permanently, once.</t>
  </si>
  <si>
    <t>Magical Craftsman</t>
  </si>
  <si>
    <t>At the end of foe’s turn, +10 ATK&amp;DEF permanently to 1 ally. Usable face-down.</t>
  </si>
  <si>
    <t>Library Critter</t>
  </si>
  <si>
    <t>+10 ATK vs. Arcane</t>
  </si>
  <si>
    <t>Gem Turtle</t>
  </si>
  <si>
    <t>Mighty Genie</t>
  </si>
  <si>
    <t>+5 ATK&amp;DEF is there is Arcane ally on its side</t>
  </si>
  <si>
    <t>Apprentice Mage</t>
  </si>
  <si>
    <t>+5 ATK&amp;DEF vs Non-Arcane</t>
  </si>
  <si>
    <t>Magic Headhunter</t>
  </si>
  <si>
    <t>+10 ATK vs Arcane</t>
  </si>
  <si>
    <t>Dwarven Miner</t>
  </si>
  <si>
    <t>After Reckoning, flip a coin. If head, reveal 2 adjacent cell, if tail, reveal 1 of adjacent cell</t>
  </si>
  <si>
    <t>Dwarven Bomber</t>
  </si>
  <si>
    <t>After this card battled, flip a coin. If 3 coin, reveal foe’s cell up to number of head. If got 3 tail, destroy this card</t>
  </si>
  <si>
    <t>Mad Spellcaster</t>
  </si>
  <si>
    <t>Ore Eater</t>
  </si>
  <si>
    <t>Whenever any player use tech, you receive 100 Crystals. Usable face-down.</t>
  </si>
  <si>
    <t>Green Mage</t>
  </si>
  <si>
    <t>When this card defends, the attacker permanently loses 10 ATK&amp;DEF.</t>
  </si>
  <si>
    <t>Uncanny Fortuneteller</t>
  </si>
  <si>
    <t>Your turn starts: flip a coin. Head: +5 ATK until your turn ends. Usable face-down.</t>
  </si>
  <si>
    <t>Spellcaster Exile</t>
  </si>
  <si>
    <t>Cloudbender</t>
  </si>
  <si>
    <t>+15 DEF vs Cosmic</t>
  </si>
  <si>
    <t>Freya the Rift Hunter</t>
  </si>
  <si>
    <t>In Reckoning, destroy foe’s revived unit or token copy.</t>
  </si>
  <si>
    <t>Fire Elemental</t>
  </si>
  <si>
    <t>Water Elemental</t>
  </si>
  <si>
    <t>Wind Elemental</t>
  </si>
  <si>
    <t>Earth Elemental</t>
  </si>
  <si>
    <t>Tornado Genie</t>
  </si>
  <si>
    <t>In Reckoning, flip 4 coins. +10 ATK for each heads. +10 DEF for each tails</t>
  </si>
  <si>
    <t>Dwarven Guard</t>
  </si>
  <si>
    <t>Once, if a dwarven card will be destroyed, it is not destroyed.</t>
  </si>
  <si>
    <t>Blue Mage</t>
  </si>
  <si>
    <t>If this card battles non-Arcane card, flip two coins. If both are head, destroy it.</t>
  </si>
  <si>
    <t>Spell Sniper</t>
  </si>
  <si>
    <t>+50 ATK vs face-down card</t>
  </si>
  <si>
    <t>Aerial the Battlemage</t>
  </si>
  <si>
    <t>+20 ATK&amp;DEF if there is Union card on your side</t>
  </si>
  <si>
    <t>Energy Elf</t>
  </si>
  <si>
    <t>Exposed : +100 crystals</t>
  </si>
  <si>
    <t>Bingo the Chrono Rabbit</t>
  </si>
  <si>
    <t>Once, revived itself after it is destroyed.</t>
  </si>
  <si>
    <t>Book with Fangs</t>
  </si>
  <si>
    <t>+30 ATK&amp;DEF vs Arcane</t>
  </si>
  <si>
    <t>Mad Wyvern</t>
  </si>
  <si>
    <t>Ethereal Enchanter</t>
  </si>
  <si>
    <t>If any player use tech, this card gains 50 ATK&amp;DEF until the end of that turn. Usable face-down.</t>
  </si>
  <si>
    <t>Mind Elemental</t>
  </si>
  <si>
    <t>Leviathan</t>
  </si>
  <si>
    <t>If ally Arcane card would be destroyed by Non-Arcane unit, pay 500 Crystals, it is not destroyed. Usable face-down.</t>
  </si>
  <si>
    <t>Corrupted Gremlin</t>
  </si>
  <si>
    <t>Whenever you gains Crystals from any source, this card gains +10 ATK permanently (max +50).</t>
  </si>
  <si>
    <t>Zetamas the Great Summoner</t>
  </si>
  <si>
    <t>When this card is exposed, you can choose to summon 1 Mad Wyvern token on any of your cell.</t>
  </si>
  <si>
    <t>Ethereal Soldiers</t>
  </si>
  <si>
    <t>Once per turn, this card cannot be destroyed vs Non-Arcane</t>
  </si>
  <si>
    <t>Moon Nobleman</t>
  </si>
  <si>
    <t>If this card battles and survived, pay 500 Crystal cost</t>
  </si>
  <si>
    <t>Arcane Enforcer</t>
  </si>
  <si>
    <t>This card can only attack Arcane card</t>
  </si>
  <si>
    <t>The Ancient One</t>
  </si>
  <si>
    <t>Foe cannot use Tech cards while this card is exposed. This card is unaffected by tech or traps.</t>
  </si>
  <si>
    <t>Thunder Daddy</t>
  </si>
  <si>
    <t>After exposed, you can only command this card (and not any card else) for an attack.</t>
  </si>
  <si>
    <t>Mind Flayer</t>
  </si>
  <si>
    <t>+50 ATK&amp;DEF against Anima</t>
  </si>
  <si>
    <t>Waste Slime</t>
  </si>
  <si>
    <t>Once, if it’s going to be destroyed by Anima or Bio card, it’s not destroyed.</t>
  </si>
  <si>
    <t>Spikelings</t>
  </si>
  <si>
    <t>Claw Mutant</t>
  </si>
  <si>
    <t>+10 ATK if it has mutagen flag</t>
  </si>
  <si>
    <t>Beast-447</t>
  </si>
  <si>
    <t>Vile Creeper</t>
  </si>
  <si>
    <t>While this card is exposed, at foe’s turn end, swap its ATK&amp;DEF</t>
  </si>
  <si>
    <t>Nanomites Worms</t>
  </si>
  <si>
    <t>+20 ATK vs Cosmic</t>
  </si>
  <si>
    <t>Bleacher Squad</t>
  </si>
  <si>
    <t>+20 ATK vs Bio</t>
  </si>
  <si>
    <t>Venospore Pod</t>
  </si>
  <si>
    <t>+20 ATK vs Nature.</t>
  </si>
  <si>
    <t>Sweet Lure Pod</t>
  </si>
  <si>
    <t>Foe can only target this exposed card for an attack.</t>
  </si>
  <si>
    <t>Radiaghoul</t>
  </si>
  <si>
    <t>Before Reckoning, -5 DEF permanently to Nature foe</t>
  </si>
  <si>
    <t>Gamma Emitter</t>
  </si>
  <si>
    <t>+10 ATK&amp;DEF vs Nature. With Mutagen Flag : +5 ATK</t>
  </si>
  <si>
    <t>WK-17 the Siren</t>
  </si>
  <si>
    <t>Before Reckoning, flip 2 coin. Both are Heads : foe choose their ally to fight in place of this card. Both are Tails : Destroy this card.</t>
  </si>
  <si>
    <t>Lessor Leech</t>
  </si>
  <si>
    <t>After Reckoning, foe loses 400 Crystals. You gains 400 Crystals. With Mutagen Flag : You gain 400 more.</t>
  </si>
  <si>
    <t>Nanomites Walker</t>
  </si>
  <si>
    <t>+5 ATK vs Cosmic</t>
  </si>
  <si>
    <t>Lurklings</t>
  </si>
  <si>
    <t>Gamma Amoeba</t>
  </si>
  <si>
    <t>In Reckoning, foe’s unit ability becomes None until the end of foe’s turn.</t>
  </si>
  <si>
    <t>Sticky Grappler</t>
  </si>
  <si>
    <t>If this card defended, flip a coin. If head, turn ends immediately</t>
  </si>
  <si>
    <t>Mutant Cowboy</t>
  </si>
  <si>
    <t>Scarlet Mutant</t>
  </si>
  <si>
    <t>Bladeshifter</t>
  </si>
  <si>
    <t>Once, after defended: -40 DEF,+40 ATK permanently.</t>
  </si>
  <si>
    <t>S-02 the Hatcher</t>
  </si>
  <si>
    <t>Once at foe’s turn end, create a token on an empty cell with 0 ATK&amp;DEF, no cost, and no ability</t>
  </si>
  <si>
    <t>Rotten Spider</t>
  </si>
  <si>
    <t>Without Mutagen Flag : -10 ATK permanently at the end of your turn.</t>
  </si>
  <si>
    <t>Toxin Eater</t>
  </si>
  <si>
    <t>While this card is exposed, foe that perform attack get -5 ATK until the end of foe’s turn.</t>
  </si>
  <si>
    <t>Cyborg dog</t>
  </si>
  <si>
    <t>Plant-29</t>
  </si>
  <si>
    <t>Start of your turn: Flip a coin. Head: put Venom Flag on 1 exposed ally or foe card. Tail: put Mutagen Flag on any of your unit.</t>
  </si>
  <si>
    <t>Nanomites Beast</t>
  </si>
  <si>
    <t>+50 ATK vs Cosmic</t>
  </si>
  <si>
    <t>Dystopian Cultist</t>
  </si>
  <si>
    <t>Mutant Prisoner</t>
  </si>
  <si>
    <t>With Mutagen Flag : Once, destroy foe’s unit in Reckoning</t>
  </si>
  <si>
    <t>Spine Creeper</t>
  </si>
  <si>
    <t>Once, this card can attack twice, but lose 30 ATK permanently at the end of turn.</t>
  </si>
  <si>
    <t>Ultralings</t>
  </si>
  <si>
    <t>Devoted Scientist</t>
  </si>
  <si>
    <t>Ally with Mutagen Flag gain +40ATK&amp;DEF</t>
  </si>
  <si>
    <t>Daddy Long Legs</t>
  </si>
  <si>
    <t>With Mutagen Flag : +20 ATK&amp;DEF</t>
  </si>
  <si>
    <t>Long Tongue</t>
  </si>
  <si>
    <t>After successfully attacking, flip a coin, if head, gain 50 Crystal</t>
  </si>
  <si>
    <t>Epsilon The Withered</t>
  </si>
  <si>
    <t>At Reckoning, +40 ATK&amp;DEF until this turn ends, but all ally units lose 40 ATK&amp;DEF until foe’s turn ends</t>
  </si>
  <si>
    <t>Plaguespreader</t>
  </si>
  <si>
    <t>With Mutagen Flag : At the end of your turn, put 1 Mutagen Flag on one of your exposed card.</t>
  </si>
  <si>
    <t>Slug-11</t>
  </si>
  <si>
    <t>At your turn’s end, foe loses 300 Crystals for each Mutagen flag on the field</t>
  </si>
  <si>
    <t>Elite Bleacher Unit</t>
  </si>
  <si>
    <t>In Reckoning, destroy Bio card.</t>
  </si>
  <si>
    <t>NG-01 the Forgotten Failure</t>
  </si>
  <si>
    <t>Whenever a card is destroyed while you have 1000 or less crystal, revive this card with +40 ATK&amp;DEF bonus</t>
  </si>
  <si>
    <t>Hydra</t>
  </si>
  <si>
    <t>Consumes 2 attack count. With Mutagen Flag : This card can attack 3 times</t>
  </si>
  <si>
    <t>Abominable Scientist</t>
  </si>
  <si>
    <t>Units with Mutagen Flag on your side gain +40ATK&amp;DEF</t>
  </si>
  <si>
    <t>Parasite Queen</t>
  </si>
  <si>
    <t>After this card defended successfully, the attacker is not destroyed but also cannot attack ever again.</t>
  </si>
  <si>
    <t>Blind Jaw</t>
  </si>
  <si>
    <t>This card can only attack exposed cards. Without Mutagen Flag : It can only attack once.</t>
  </si>
  <si>
    <t>Hive Overlord</t>
  </si>
  <si>
    <t>All ally Bio cards on your side gain +50 DEF. Double their cost.</t>
  </si>
  <si>
    <t>Z-99 the Perfect Organism</t>
  </si>
  <si>
    <t>Striker Comet</t>
  </si>
  <si>
    <t>Once exposed, destroy it and the end of this turn</t>
  </si>
  <si>
    <t>Laser Walker</t>
  </si>
  <si>
    <t>This card is not affected by 0 cost traps</t>
  </si>
  <si>
    <t>Neptune Diver</t>
  </si>
  <si>
    <t>After hitting a trap : reveal 1 foe’s cell</t>
  </si>
  <si>
    <t>Moon Rover</t>
  </si>
  <si>
    <t>After hitting a Dead End : reveal 1 foe’s cell</t>
  </si>
  <si>
    <t>Solarling</t>
  </si>
  <si>
    <t>After attacked: Reveal 1 of your own cells</t>
  </si>
  <si>
    <t>Mini Probe</t>
  </si>
  <si>
    <t>In Reckoning, flip a coin. Heads: +10 ATK&amp;DEF</t>
  </si>
  <si>
    <t>Astro-cargo Guard</t>
  </si>
  <si>
    <t>Kyber Trooper</t>
  </si>
  <si>
    <t>Europan Trooper</t>
  </si>
  <si>
    <t>After attacked, Put Europa flag on 1 of your unit.</t>
  </si>
  <si>
    <t>Irondust Ghoul</t>
  </si>
  <si>
    <t>Once, it is not destroyed while there is face-up Cosmic card on the field.</t>
  </si>
  <si>
    <t>Moon Rabbit</t>
  </si>
  <si>
    <t>Once after reckoning, reveal foe’s cell for each Moon card on the field</t>
  </si>
  <si>
    <t>Tholin Shark</t>
  </si>
  <si>
    <t>If attacked a trap, +10 ATK&amp;DEF until the end of your next turn.</t>
  </si>
  <si>
    <t>Nebulomancer</t>
  </si>
  <si>
    <t>Exposed: Reveal 1 of your own cells</t>
  </si>
  <si>
    <t>Aembar the Intel Broker</t>
  </si>
  <si>
    <t xml:space="preserve">Any player lose or pay crystals, they reveal 1 cell on their field. Usable face-down. </t>
  </si>
  <si>
    <t>Tholin Lobster</t>
  </si>
  <si>
    <t>Once per turn, If attacked a trap, all Tholin cards can attack again.</t>
  </si>
  <si>
    <t>Europan Architect</t>
  </si>
  <si>
    <t>Exposed : Put Europa flag on up to 2 of your units</t>
  </si>
  <si>
    <t>Parom the Smuggler</t>
  </si>
  <si>
    <t>Each time foe’s cell got revealed by a card’s ability: gain 40 Crystals.</t>
  </si>
  <si>
    <t>Moon Tribe Marksman</t>
  </si>
  <si>
    <t>If no other exposed ally Moon card, -10 ATK</t>
  </si>
  <si>
    <t>Moon Tribe Twin Blader</t>
  </si>
  <si>
    <t>If this card attacks, flip a coin. If head, this card can attack twice.</t>
  </si>
  <si>
    <t>Parasite Mimas</t>
  </si>
  <si>
    <t>With Mutagen Flag : Once, this card is not destroyed.</t>
  </si>
  <si>
    <t>Mastimus the Outlaw</t>
  </si>
  <si>
    <t>You pay only 200 cost if this card get destroyed</t>
  </si>
  <si>
    <t>Europan Tankmaster</t>
  </si>
  <si>
    <t>If this card is going to be destroy, you can remove 1 Europa flag from this card instead</t>
  </si>
  <si>
    <t>Stratomancer</t>
  </si>
  <si>
    <t>Exposed: Reveal 3 of your own cells</t>
  </si>
  <si>
    <t>Mars Drill</t>
  </si>
  <si>
    <t>Parasite Enceladus</t>
  </si>
  <si>
    <t>With Mutagen Flag : After Reckoning, reveal 2 cards on foe’s side.</t>
  </si>
  <si>
    <t>Lukkey the Jammer</t>
  </si>
  <si>
    <t>After attacked, select 1 face-up unit, that unit’s ability becomes None until the start of your turn.</t>
  </si>
  <si>
    <t>Echo Bringer</t>
  </si>
  <si>
    <t>When this card attacks a revealed card, it can attack a second time this turn (once per turn).</t>
  </si>
  <si>
    <t>Nimrod the Wonder Seeker</t>
  </si>
  <si>
    <t>Once, at this turn’s end, reveal 2 foe’s cell and 1 of your cell.</t>
  </si>
  <si>
    <t>Moon Tribe Demolisher</t>
  </si>
  <si>
    <t>Once, in Reckoning, destroy the defender. If no another ally Moon card, also destroy this card.</t>
  </si>
  <si>
    <t>Tholin Kraken</t>
  </si>
  <si>
    <t>If attacked a trap, you can swap position with 1 of your Tholin card, then restore your crystal by 200.</t>
  </si>
  <si>
    <t>Parasite Dione</t>
  </si>
  <si>
    <t>With Mutagen Flag : This card can attack twice</t>
  </si>
  <si>
    <t>Europan Engineer</t>
  </si>
  <si>
    <t>At the start of your turn, put Europa flag on any of your Cosmic card.</t>
  </si>
  <si>
    <t>Space Janitor</t>
  </si>
  <si>
    <t>Before Reckoning, you can choose to destroy 1 trap card on your side to gain +60 ATK&amp;DEF</t>
  </si>
  <si>
    <t>Quezil the Space Rescuer</t>
  </si>
  <si>
    <t>Exposed : +100 crystals per 1 Cosmic card in your void</t>
  </si>
  <si>
    <t>Methanomancer</t>
  </si>
  <si>
    <t>If its surrounding cell is targeted for attack, flip this card face-up and gain +30 ATK&amp;DEF.</t>
  </si>
  <si>
    <t>Lunar Wraith</t>
  </si>
  <si>
    <t xml:space="preserve">+15 ATK&amp;DEF to all exposed Moon card on your side. +30 ATK to itself if there is exposed Moon card on your side </t>
  </si>
  <si>
    <t>Pyrosilicate Drake</t>
  </si>
  <si>
    <t>Destroy this card after Reckoning with a unit. Whenever you use Tech card, revive this card.</t>
  </si>
  <si>
    <t>Alloy Comet</t>
  </si>
  <si>
    <t>Electrogazer</t>
  </si>
  <si>
    <t>Negate all zero cost trap on both players’s field</t>
  </si>
  <si>
    <t>Deozhor the Europan Warlord</t>
  </si>
  <si>
    <t>You can remove 1 Europa flag on your side to destroy 1 card on the field</t>
  </si>
  <si>
    <t>Parasite Titan</t>
  </si>
  <si>
    <t>With Mutagen Flag : This card gain 50 ATK&amp;DEF for each face-up Cosmic card on the field</t>
  </si>
  <si>
    <t>Moon Siren</t>
  </si>
  <si>
    <t>Once, in Reckoning, you can copy foe’s ATK and DEF until the end of this turn</t>
  </si>
  <si>
    <t>Satellite Cannon</t>
  </si>
  <si>
    <t>+20 ATK if attacking the 3x3 center zone. +40 more ATK if attacking the very center cell.</t>
  </si>
  <si>
    <t>Suigin</t>
  </si>
  <si>
    <t>Suijin</t>
  </si>
  <si>
    <t>Tholin Battleship</t>
  </si>
  <si>
    <t>+50 ATK&amp;DEF permanently if attack a trap.</t>
  </si>
  <si>
    <t>Superionic Leviathan</t>
  </si>
  <si>
    <t>At the end of each player’s turn, pay 1000 crystals or halve its ATK&amp;DEF</t>
  </si>
  <si>
    <t>Xenospawn</t>
  </si>
  <si>
    <t>This card is not affected by traps. This card get -15 ATK&amp;DEF each time it attacked a trap.</t>
  </si>
  <si>
    <t>Grand Fort Footsoldier</t>
  </si>
  <si>
    <t>Swords Dancer</t>
  </si>
  <si>
    <t>Mina the Chemist</t>
  </si>
  <si>
    <t>Exposed : +150 crystals</t>
  </si>
  <si>
    <t>Death Jester</t>
  </si>
  <si>
    <t>Exposed : Flip a coin. Heads: +10 ATK. Tails: +10 DEF</t>
  </si>
  <si>
    <t>Musketeer</t>
  </si>
  <si>
    <t>Crooktown Pirate</t>
  </si>
  <si>
    <t>Border Guard</t>
  </si>
  <si>
    <t>Diego the Thief</t>
  </si>
  <si>
    <t>Once, you can discard 1 Tech card, this card is not destroyed.</t>
  </si>
  <si>
    <t>Agent Matts</t>
  </si>
  <si>
    <t>Once, attack twice if there is face-up Agent card on your side</t>
  </si>
  <si>
    <t>Desert Rascal</t>
  </si>
  <si>
    <t>Brave Knight</t>
  </si>
  <si>
    <t>Once, after this card attacked, gain 1 attack count</t>
  </si>
  <si>
    <t>Rifleman</t>
  </si>
  <si>
    <t>+5 ATK if there is face-up Anima ally on your side</t>
  </si>
  <si>
    <t>Karate Master</t>
  </si>
  <si>
    <t>Exposed : Select 1 of your unit (face-up or face-down). It gain +15 ATK&amp;DEF</t>
  </si>
  <si>
    <t>Johnny the Most Wanted</t>
  </si>
  <si>
    <t>After it performed attack, flip a coin. Heads: +5 ATK permanently. This bonus does not exceed 10</t>
  </si>
  <si>
    <t>Scar Brawler</t>
  </si>
  <si>
    <t>Agent Penelope</t>
  </si>
  <si>
    <t>+25 ATK if there is face-up Agent card on your side</t>
  </si>
  <si>
    <t>Firework Mania</t>
  </si>
  <si>
    <t>Logan the Lumberjack</t>
  </si>
  <si>
    <t>Once, +50 ATK&amp;DEF vs Nature until the end of that turn.</t>
  </si>
  <si>
    <t>Mini Tank</t>
  </si>
  <si>
    <t>Once, this card is unaffected by 0-cost traps</t>
  </si>
  <si>
    <t>Infiltrator Squad</t>
  </si>
  <si>
    <t xml:space="preserve">Up to twice per turn, If this card attacks a dead end card, gain 1 attack count. </t>
  </si>
  <si>
    <t>Dragon Hunter Eugene</t>
  </si>
  <si>
    <t>This card is not destroyed by “Dragon” units. In Reckoning, Dragon foe get -50 DEF permanently.</t>
  </si>
  <si>
    <t>Hairpin Assassin</t>
  </si>
  <si>
    <t>In Reckoning, you can pay 800 Crystal for +10 ATK bonus</t>
  </si>
  <si>
    <t>Highrise Runner</t>
  </si>
  <si>
    <t>Battle Maid Naru</t>
  </si>
  <si>
    <t>All Anima ally units gain +5 ATK&amp;DEF. You can flip this card face-up if other Anima unit is targeted for attack.</t>
  </si>
  <si>
    <t>Grand Fort Archer</t>
  </si>
  <si>
    <t>Grand Fort Mauler</t>
  </si>
  <si>
    <t>Ox Patrol</t>
  </si>
  <si>
    <t>+10 ATK&amp;DEF vs Non-Anima</t>
  </si>
  <si>
    <t>Shepherd Detective</t>
  </si>
  <si>
    <t>After performed attack : reveal 1 foe’s cell</t>
  </si>
  <si>
    <t>Witchhunter</t>
  </si>
  <si>
    <t>+5 ATK&amp;DEF vs Arcane</t>
  </si>
  <si>
    <t>Silver Spearman</t>
  </si>
  <si>
    <t>+5 ATK vs Chaos</t>
  </si>
  <si>
    <t>Leopard Jailer</t>
  </si>
  <si>
    <t>If this card attacks a unit card, the target is unable to attack until the end of foe’s turn.</t>
  </si>
  <si>
    <t>Flak Tank</t>
  </si>
  <si>
    <t>Unaffected by 0-cost trap cards</t>
  </si>
  <si>
    <t>Arsonist</t>
  </si>
  <si>
    <t>Blade Singer</t>
  </si>
  <si>
    <t>Wild West Raccoon</t>
  </si>
  <si>
    <t>In Reckoning, flip 3 coins. +5 ATK for each heads. If 3 tails, -15ATK&amp;DEF</t>
  </si>
  <si>
    <t>Dragoon</t>
  </si>
  <si>
    <t>+40 ATK&amp;DEF if there is another “Dragon” card on your field</t>
  </si>
  <si>
    <t>Blade Biker</t>
  </si>
  <si>
    <t>Dragon Hunter Vanrose</t>
  </si>
  <si>
    <t>Once, +100 ATK vs “Dragon” unit</t>
  </si>
  <si>
    <t>Agent Rick</t>
  </si>
  <si>
    <t>This card is not destroyed while Agent card is face-up on your side</t>
  </si>
  <si>
    <t>Uproaring Warband</t>
  </si>
  <si>
    <t>+5 ATK&amp;DEF for each exposed ally Anima on your side</t>
  </si>
  <si>
    <t>Winter Tropper</t>
  </si>
  <si>
    <t>After a successful attack, gain 1 attack count</t>
  </si>
  <si>
    <t>Bomb Squad</t>
  </si>
  <si>
    <t>Once, after attacked, destroy 1 card on target’s adjacent cell.</t>
  </si>
  <si>
    <t>Stealth Archer</t>
  </si>
  <si>
    <t>Halve this card ATK&amp;DEF at the end of the exposed turn.</t>
  </si>
  <si>
    <t>White Knight</t>
  </si>
  <si>
    <t xml:space="preserve">While you have 0 attacks count, you can command this face-down card to attack. </t>
  </si>
  <si>
    <t>Lockpicker</t>
  </si>
  <si>
    <t>Once exposed, reveal 1 foe’s cell</t>
  </si>
  <si>
    <t>Spell Ninja</t>
  </si>
  <si>
    <t>In Reckoning, foe’s unit get -5 DEF permanently</t>
  </si>
  <si>
    <t>Moon Clown</t>
  </si>
  <si>
    <t>Agent Lucia</t>
  </si>
  <si>
    <t>Unit with 150 or less cost get destroyed in Reckoning with this card</t>
  </si>
  <si>
    <t>Battle Maid Kyoko</t>
  </si>
  <si>
    <t>Ability of foe’s unit in Reckoning with Anima card becomes None. You can flip this card face-up if other Anima unit is targeted for attack.</t>
  </si>
  <si>
    <t>Royal Guard</t>
  </si>
  <si>
    <t>If this card is going to be destroyed, until start of your next turn, you pay only halve of Anima unit’s cost</t>
  </si>
  <si>
    <t>Dragon Hunter Lumina</t>
  </si>
  <si>
    <t>All Anima ally units gain +40 ATK vs “Dragon” unit</t>
  </si>
  <si>
    <t>Phantom Assassain</t>
  </si>
  <si>
    <t>Once, pay 1000 card to choose either destroy unit in Reckoning with this card or gain 40 ATK permanently</t>
  </si>
  <si>
    <t>Jet Trooper</t>
  </si>
  <si>
    <t>Bison Tank</t>
  </si>
  <si>
    <t>Unaffected by 0-cost trap cards. In Reckoning with unit with 10 ATK or less, destroy that unit.</t>
  </si>
  <si>
    <t>Howard the Trigger Happy</t>
  </si>
  <si>
    <t>Once, this card can attack thrice, but double its cost.</t>
  </si>
  <si>
    <t>Eagle Bowman</t>
  </si>
  <si>
    <t>+30 ATK vs unit in foe’s border cells</t>
  </si>
  <si>
    <t>Fierce Cavalry</t>
  </si>
  <si>
    <t>Consumes 2 attack count. + 50 ATK vs face-down card</t>
  </si>
  <si>
    <t>Prowler Tank</t>
  </si>
  <si>
    <t>Unaffected by trap cards</t>
  </si>
  <si>
    <t>Atheist Rogue</t>
  </si>
  <si>
    <t>This card is not destroyed by Divine units</t>
  </si>
  <si>
    <t>Lina the Swordmistress</t>
  </si>
  <si>
    <t>Once per turn, after a successful attack, gain 1 attack count</t>
  </si>
  <si>
    <t>Scythe Warrior</t>
  </si>
  <si>
    <t>War Queen</t>
  </si>
  <si>
    <t>+50 DEF to ally “Knight” cards.</t>
  </si>
  <si>
    <t>Zealot</t>
  </si>
  <si>
    <t>If this card is used for Union summon, increase the Union card’s ATK&amp;DEF by 40</t>
  </si>
  <si>
    <t>Justin the Vampire Hunter</t>
  </si>
  <si>
    <t>Destroy Chaos card in Reckoning</t>
  </si>
  <si>
    <t>Atheist Outlaw</t>
  </si>
  <si>
    <t>In Reckoning with Divine unit, destroy foe’s unit</t>
  </si>
  <si>
    <t>Vicmark the Sky Overlord</t>
  </si>
  <si>
    <t>After foe have ever performed Union summon, this card gain +90 ATK&amp;DEF vs unit within foe’s Union Zone</t>
  </si>
  <si>
    <t>Golden Knight</t>
  </si>
  <si>
    <t>Consumes 2 attack count</t>
  </si>
  <si>
    <t>Battle Maid Midori</t>
  </si>
  <si>
    <t>Once per turn, Anima ally get +100 ATK in Reckoning. You can flip this card face-up if other Anima unit is targeted for attack.</t>
  </si>
  <si>
    <t>Thunderclap Tank</t>
  </si>
  <si>
    <t>Unaffected by trap cards. Once, this card is not destroyed.</t>
  </si>
  <si>
    <t>Sea Fortress</t>
  </si>
  <si>
    <t>In Reckoning, flip a coin. Heads: You can choose to swap its ATK&amp;DEF</t>
  </si>
  <si>
    <t>Alchemist</t>
  </si>
  <si>
    <t>After Reckoning, choose either gain 500 crystals or make foe lose 500 crystals</t>
  </si>
  <si>
    <t>Dragonfire Tank</t>
  </si>
  <si>
    <t>Unaffected by trap cards. In Reckoning with unit with 40 ATK or less, destroy that unit.</t>
  </si>
  <si>
    <t>Stealth Bomber</t>
  </si>
  <si>
    <t>Cannot be destroyed the turn it is exposed. Until foe’s turn end, your foe cannot target this exposed card.</t>
  </si>
  <si>
    <t>Randez the Rogue King</t>
  </si>
  <si>
    <t>+100 ATK&amp;DEF vs Union cards. -30 ATK&amp;DEF vs Anima cards.</t>
  </si>
  <si>
    <t>Havoc the Gatling General</t>
  </si>
  <si>
    <t>Once, at the start of your turn, gain 1 attack count.</t>
  </si>
  <si>
    <t>Paladin of Avalon</t>
  </si>
  <si>
    <t>Consumes 2 attack count. After performed attack, it cannot attack during your next turn.</t>
  </si>
  <si>
    <t>Venom Queen</t>
  </si>
  <si>
    <t>While this card remains exposed, -15 ATK&amp;DEF to all cards with Venom Flag</t>
  </si>
  <si>
    <t>Vicious Lizard</t>
  </si>
  <si>
    <t>+60 ATK&amp;DEF vs foe with Venom Flag. +40 ATK if itself has Venom Flag</t>
  </si>
  <si>
    <t>Evolving Cell</t>
  </si>
  <si>
    <t>Cannot select unit with 0 DEF as attack target. Once, if defended, drain 35 ATK&amp;DEF</t>
  </si>
  <si>
    <t>Vent Killer</t>
  </si>
  <si>
    <t>Armored Unicorn</t>
  </si>
  <si>
    <t>If this card survived Reckoning, +15 ATK&amp;DEF permanently</t>
  </si>
  <si>
    <t>Padmapani</t>
  </si>
  <si>
    <t>+75 ATK if there is Prayer card in your void.</t>
  </si>
  <si>
    <t>Elemental Master</t>
  </si>
  <si>
    <t>While exposed, +60 ATK to ally Elemental units</t>
  </si>
  <si>
    <t>Spell Tank</t>
  </si>
  <si>
    <t>After you use a Tech card, this card gain 40 ATK until the end of this turn.</t>
  </si>
  <si>
    <t>Urban Zombie</t>
  </si>
  <si>
    <t>With Mutagen Flag: +20 ATK&amp;DEF for each Zombie card on the field</t>
  </si>
  <si>
    <t>Necro Zombie</t>
  </si>
  <si>
    <t>If this card is going to be destroyed, you can destroy ally Zombie card instead.</t>
  </si>
  <si>
    <t>Zombie Dog</t>
  </si>
  <si>
    <t>With Mutagen Flag: After Reckoning, reveal 1 adjacent cell around foe’s unit.</t>
  </si>
  <si>
    <t>Zombie Knight</t>
  </si>
  <si>
    <t>Red Zombie</t>
  </si>
  <si>
    <t>With Mutagen Flag: If used as a Union material, revive it at the end of this turn.</t>
  </si>
  <si>
    <t>Zombie Hunter</t>
  </si>
  <si>
    <t>In Reckoning, destroy Zombie card</t>
  </si>
  <si>
    <t>Crystal Rabbit</t>
  </si>
  <si>
    <t>If this card is used for Union summon, get 500 crystals</t>
  </si>
  <si>
    <t>Elven Archer</t>
  </si>
  <si>
    <t>After performed attack : -30 DEF</t>
  </si>
  <si>
    <t>Elven Swordsman</t>
  </si>
  <si>
    <t>After successfully defended : -20 DEF</t>
  </si>
  <si>
    <t>Elven Blacksmith</t>
  </si>
  <si>
    <t>Once, if a Nature card in surrounding cell get exposed, that card get +5 ATK&amp;DEF. Usable facedown.</t>
  </si>
  <si>
    <t>Elven Huntsman</t>
  </si>
  <si>
    <t>Once, Nature card in surrounding cell can attack twice. Usable face-down</t>
  </si>
  <si>
    <t>Elven Merchant</t>
  </si>
  <si>
    <t>Nature card in surrounding cell cost are halved.</t>
  </si>
  <si>
    <t>Dragonling</t>
  </si>
  <si>
    <t>Without face-up Arcane card on your side, -40 DEF</t>
  </si>
  <si>
    <t>War Dragon</t>
  </si>
  <si>
    <t>+10 ATK&amp;DEF to ally Dragon units</t>
  </si>
  <si>
    <t>Lesser Dragon</t>
  </si>
  <si>
    <t>Snow Dragon</t>
  </si>
  <si>
    <t>Exposed : Select 1 of foe’s face-up unit, it cannot attack until the foe’s next turn end.</t>
  </si>
  <si>
    <t>Gold Dragon</t>
  </si>
  <si>
    <t>After a successful Reckoning with unit cost ≥ 800, your foe lose 500 crystals</t>
  </si>
  <si>
    <t>Orc Maceman</t>
  </si>
  <si>
    <t>Orc Berserker</t>
  </si>
  <si>
    <t>Once, this card can attack twice</t>
  </si>
  <si>
    <t>Orc Cannoneer</t>
  </si>
  <si>
    <t>Once, after performed attacked, destroy 1 card in adjacent cell</t>
  </si>
  <si>
    <t>Orc Bannerlord</t>
  </si>
  <si>
    <t>All ally Orc units on your side get +15ATK&amp;DEF</t>
  </si>
  <si>
    <t>Maria the Battle Priest</t>
  </si>
  <si>
    <t>Coin flip ability of units in surrounding cell will always lands on head. Usable face-down</t>
  </si>
  <si>
    <t>Travis the Battle Priest</t>
  </si>
  <si>
    <t>After Reckoning, flip a coin. Heads: Reveal one adjacent cell. Destroy it if it’s Chaos.</t>
  </si>
  <si>
    <t>Benedict the Battle Priest</t>
  </si>
  <si>
    <t>Once, if Battle Priest is going to be destroyed, flip a coin. Heads: It’s not destroyed.</t>
  </si>
  <si>
    <t>Ninjamaster Sasuya</t>
  </si>
  <si>
    <t>Ally Ninja units is not destroyed in Reckoning.</t>
  </si>
  <si>
    <t>Legendary Ninja</t>
  </si>
  <si>
    <t>Effect of Union card in Reckoning with this card becomes None until the end of your turn.</t>
  </si>
  <si>
    <t>Garuda</t>
  </si>
  <si>
    <t>Heartbreaker Cupid</t>
  </si>
  <si>
    <t>At the end of exposed turn, it get -120 ATK</t>
  </si>
  <si>
    <t>Gamma Slime</t>
  </si>
  <si>
    <t>In Reckoning, - 20 ATK&amp;DEF to Bio or Anima foe’s unit</t>
  </si>
  <si>
    <t>Black Slime</t>
  </si>
  <si>
    <t>Shining Nobleman</t>
  </si>
  <si>
    <t>In Reckoning, destroy Divine card and gain 300 crystals</t>
  </si>
  <si>
    <t>Unholy Nobleman</t>
  </si>
  <si>
    <t>Gain 300 crystal if destroyed a unit</t>
  </si>
  <si>
    <t>Nobleman Wizard</t>
  </si>
  <si>
    <t>All Arcane unit on your side gain +10 ATK&amp;DEF</t>
  </si>
  <si>
    <t>Union</t>
  </si>
  <si>
    <t>Partial Ability</t>
  </si>
  <si>
    <t>Full Ability</t>
  </si>
  <si>
    <t>Partial Formula</t>
  </si>
  <si>
    <t>Full Formula</t>
  </si>
  <si>
    <t>Union Zone</t>
  </si>
  <si>
    <t>Gryphon Rider</t>
  </si>
  <si>
    <t>1 ??? + 1 ??? + 1000 cost</t>
  </si>
  <si>
    <t>Gryphon + 1 Divine + 1000 cost</t>
  </si>
  <si>
    <t>10000
01000
00100
00010
00001</t>
  </si>
  <si>
    <t>Seraphim Fistmaster</t>
  </si>
  <si>
    <t>Double ATK&amp;DEF against ??? Affinity</t>
  </si>
  <si>
    <t>Double ATK&amp;DEF against Chaos</t>
  </si>
  <si>
    <t>1 ??? + 1 ??? + 1500 cost</t>
  </si>
  <si>
    <t>1 ‘Seraph’ unit + 1 Divine (≥ 800 cost) + 1500 cost</t>
  </si>
  <si>
    <t>11011
10001
00000
10001
11011</t>
  </si>
  <si>
    <t>Gaia Turtle</t>
  </si>
  <si>
    <t>2 ??? + 2000 cost</t>
  </si>
  <si>
    <t>2 any units (≥90 DEF) + 2000 cost</t>
  </si>
  <si>
    <t>00000
00000
01110
01110
00000</t>
  </si>
  <si>
    <t>Barros the Colossal</t>
  </si>
  <si>
    <t>2 ???+ 1500 cost</t>
  </si>
  <si>
    <t>2 Nature (≥ 800 cost) + 1500 cost</t>
  </si>
  <si>
    <t>00000
01010
00100
01010
00000</t>
  </si>
  <si>
    <t>X-Death Squad</t>
  </si>
  <si>
    <t>In Reckoning, pay ???, destroy foe’s unit. They pay ???.</t>
  </si>
  <si>
    <t>In Reckoning, pay 1000, destroy foe’s unit. They pay no cost.</t>
  </si>
  <si>
    <t>1 ??? + 2 ??? + 800 cost</t>
  </si>
  <si>
    <t>1 Anima (≥ 800 cost) + 2 Anima + 800 cost</t>
  </si>
  <si>
    <t>10101
00000
10101
00000
10101</t>
  </si>
  <si>
    <t>Rocket Marauder</t>
  </si>
  <si>
    <t>1 Bio (≥ 800 cost) + 1 Anima (≥ 800 cost) + 1000 cost</t>
  </si>
  <si>
    <t>00000
00000
00000
01010
10101</t>
  </si>
  <si>
    <t>Lord of Terror</t>
  </si>
  <si>
    <t>-50 ATK if ???</t>
  </si>
  <si>
    <t>-50 ATK if attacks Dead End</t>
  </si>
  <si>
    <t>2 ??? + 1500 cost</t>
  </si>
  <si>
    <t>2 Chaos (≥ 800 cost) + 1500 cost</t>
  </si>
  <si>
    <t>00000
00100
00100
01110
00100</t>
  </si>
  <si>
    <t>Armored Dino</t>
  </si>
  <si>
    <t>In Reckoning, pay ??? Crystal cost to +??DEF</t>
  </si>
  <si>
    <t>In Reckoning, pay 1000 Crystal cost to +60 DEF</t>
  </si>
  <si>
    <t>1 ??? + 1 ??? + 700 cost</t>
  </si>
  <si>
    <t>1 Armored Nature card + 1 Nature (≥ 700 cost) + 800 cost</t>
  </si>
  <si>
    <t>00000
01110
11111
00000
00000</t>
  </si>
  <si>
    <t>Greater Succubus</t>
  </si>
  <si>
    <t>Once, after Reckoning: +ATK&amp;DEF equal to ???</t>
  </si>
  <si>
    <t>Once, after Reckoning: +ATK&amp;DEF equal to half of that foe’s card</t>
  </si>
  <si>
    <t>1 ??? + 1 ??? + 800 cost</t>
  </si>
  <si>
    <t>1 Succubus + 1 Chaos + 800 cost</t>
  </si>
  <si>
    <t>00100
11111
10001
00000
00000</t>
  </si>
  <si>
    <t>Pixie Queen</t>
  </si>
  <si>
    <t>+5 ATK for each ????</t>
  </si>
  <si>
    <t>+5 ATK for each Divine cards on your side</t>
  </si>
  <si>
    <t>1 ??? + 1 ??? + 300 cost</t>
  </si>
  <si>
    <t>1 Tiny Pixie + 1 Divine+ 300 cost</t>
  </si>
  <si>
    <t>00100
00100
10001
10101
01010</t>
  </si>
  <si>
    <t>Diamond Unicorn</t>
  </si>
  <si>
    <t>Summoned: ??? until this turn’s end</t>
  </si>
  <si>
    <t>Summoned: +15 ATK until this turn’s end</t>
  </si>
  <si>
    <t>1 ??? + 1 ??? + 500 cost</t>
  </si>
  <si>
    <t>1 Ponycorn + 1 Divine card + 500 cost</t>
  </si>
  <si>
    <t>00100
01010
10001
01010
00100</t>
  </si>
  <si>
    <t>Choir Lead Amber</t>
  </si>
  <si>
    <t>+20 ATK to all ?????</t>
  </si>
  <si>
    <t>+20 ATK to all Divine units on your side</t>
  </si>
  <si>
    <t>3 ??? + 500 cost</t>
  </si>
  <si>
    <t>3 Choir Lady cards + 500 cost</t>
  </si>
  <si>
    <t>01100
01011
01001
11000
11000</t>
  </si>
  <si>
    <t>Raijin and Fujin</t>
  </si>
  <si>
    <t>Raijin + Fujin + 800 cost</t>
  </si>
  <si>
    <t>10001
10001
10001
10001
10001</t>
  </si>
  <si>
    <t>Sky Protector</t>
  </si>
  <si>
    <t>Summon: choose either permanently gain ??? or ???permanently</t>
  </si>
  <si>
    <t>Summon: choose either permanently gain +80 ATK or +80 DEF permanently</t>
  </si>
  <si>
    <t>Sunrise Lady + Moonrise Gentleman + 700 cost</t>
  </si>
  <si>
    <t>11111
00000
00000
00000
00000</t>
  </si>
  <si>
    <t>Giant Mining Pod</t>
  </si>
  <si>
    <t>If this card attacks a Dead End, receive ??? Crystals</t>
  </si>
  <si>
    <t>If this card attacks a Dead End, receive 900 Crystals</t>
  </si>
  <si>
    <t>1 Miner probe + 1 Cosmic + 500 cost</t>
  </si>
  <si>
    <t>11111
01110
01110
00100
00000</t>
  </si>
  <si>
    <t>Kitsune</t>
  </si>
  <si>
    <t>Dark Monk + 1 Chaos + 300 cost</t>
  </si>
  <si>
    <t>01100
00110
01100
00110
01100</t>
  </si>
  <si>
    <t>Ten Arms Yaksa</t>
  </si>
  <si>
    <t>This card can choose up to ???attack targets. -5 ATK after ???</t>
  </si>
  <si>
    <t>This card can choose up to 3 attack targets. -5 ATK after the third attack.</t>
  </si>
  <si>
    <t>1 ??? + 1 ??? + 600 cost</t>
  </si>
  <si>
    <t>Yaksa + 1 Chaos + 800 cost</t>
  </si>
  <si>
    <t>11011
00100
00100
01110
01010</t>
  </si>
  <si>
    <t>Skeleton Overlord</t>
  </si>
  <si>
    <t>3 ??? + 400 cost</t>
  </si>
  <si>
    <t>3 Skeleton cards + 400 cost</t>
  </si>
  <si>
    <t>01110
00000
11111
00000
01110</t>
  </si>
  <si>
    <t>Katana Shark</t>
  </si>
  <si>
    <t>3 ??? + 800 cost</t>
  </si>
  <si>
    <t>3 ‘Sharks’ name + 800 cost</t>
  </si>
  <si>
    <t>11000
00100
00010
00010
00001</t>
  </si>
  <si>
    <t>Rocket Peacock</t>
  </si>
  <si>
    <t>After this card battles, select 1 foe’s exposed card, flip a coin. Head: ???</t>
  </si>
  <si>
    <t>After this card battles, select 1 foe’s exposed card, flip a coin. Head: destroy that card</t>
  </si>
  <si>
    <t>Ostrich Cannon + 1 Nature (≥ 800 cost)  + 1500 cost</t>
  </si>
  <si>
    <t>10001
10001
10001
00000
00100</t>
  </si>
  <si>
    <t>Scarlet Shroom</t>
  </si>
  <si>
    <t xml:space="preserve">Summoned: put venom flag on all ???. </t>
  </si>
  <si>
    <t>Summoned: put venom flag on all foe’s exposed card</t>
  </si>
  <si>
    <t>2 ??? + 500 cost</t>
  </si>
  <si>
    <t>2 Nature cards + 500 cost</t>
  </si>
  <si>
    <t>11111
00100
00100
00100
00000</t>
  </si>
  <si>
    <t>Ancient Lizard</t>
  </si>
  <si>
    <t>1 ??? + 1 ???+ 800 cost</t>
  </si>
  <si>
    <t>1 Flame Lizard + 1 Nature + 800 cost</t>
  </si>
  <si>
    <t>00000
00100
01110
00100
00000</t>
  </si>
  <si>
    <t>Burning Phoenix</t>
  </si>
  <si>
    <t>Once, if ???, revive it at the start of your turn.</t>
  </si>
  <si>
    <t>Once, if destroyed by non-union cards, revive it at the start of your turn.</t>
  </si>
  <si>
    <t>1 ??? + 1 ??? + 1 ??? + 800 cost</t>
  </si>
  <si>
    <t>1 Arcane (≥ 500 cost) + 1 Nature (≥ 500 cost) + 1 Divine (≥ 500 cost) + 800 cost</t>
  </si>
  <si>
    <t>00100
01110
10101
00000
00000</t>
  </si>
  <si>
    <t>Berserk Hyena</t>
  </si>
  <si>
    <t>2 ???+ 500 cost</t>
  </si>
  <si>
    <t>2 Nature + 500 cost</t>
  </si>
  <si>
    <t>00000
11111
10101
10101
00000</t>
  </si>
  <si>
    <t>False Prophet</t>
  </si>
  <si>
    <t>End of your turn: Reveal ???.</t>
  </si>
  <si>
    <t>End of your turn: Reveal 1 foe’s cell. If it was a Dead End, destroy this card. Otherwise, gain 600 Crystals.</t>
  </si>
  <si>
    <t>2 ??? + 300 cost</t>
  </si>
  <si>
    <t>2 Divine cards + 300 cost</t>
  </si>
  <si>
    <t>00100
01010
00100
00000
00000</t>
  </si>
  <si>
    <t>Colorful Mage</t>
  </si>
  <si>
    <t>Foe’s non-Arcane get ??? in Reckoning with this card</t>
  </si>
  <si>
    <t>Foe’s non-Arcane get -10 ATK&amp;DEF permanently in Reckoning with this card</t>
  </si>
  <si>
    <t>??? + ???+ ??? + 500 cost</t>
  </si>
  <si>
    <t>Red Mage + Green Mage + Blue Mage + 500 cost</t>
  </si>
  <si>
    <t>00001
00010
01100
01100
10000</t>
  </si>
  <si>
    <t>Grand Fort Captain</t>
  </si>
  <si>
    <t>2 Grand Fort card + 500 cost</t>
  </si>
  <si>
    <t xml:space="preserve">00000
00100 
01110
00100
00000
</t>
  </si>
  <si>
    <t>Volatile Slasher</t>
  </si>
  <si>
    <t>Once, after Reckoning with non-Bio, it gains ???.</t>
  </si>
  <si>
    <t>Once, after Reckoning with non-Bio, it gains +50 ATK permanently.</t>
  </si>
  <si>
    <t>1 Bladeshifter + 1 Bio card + 1000 cost</t>
  </si>
  <si>
    <t xml:space="preserve">10000
01100 
01100
01100
10000
</t>
  </si>
  <si>
    <t>Moon Tribe Shaman</t>
  </si>
  <si>
    <t>Upon union, revive 1 ???. Double its cost.</t>
  </si>
  <si>
    <t>Upon union, revive 1 Moon non-Union card. Double its cost.</t>
  </si>
  <si>
    <t>1 Moon card+ 1 Cosmic card + 500 cost</t>
  </si>
  <si>
    <t xml:space="preserve">10001
01010 
00100
00100
00100
</t>
  </si>
  <si>
    <t>Rebel King</t>
  </si>
  <si>
    <t>At the end of foe’s turn: ??? and swap its ATK&amp;DEF</t>
  </si>
  <si>
    <t>At the end of foe’s turn: you select 1 exposed foe’s unit and swap its ATK&amp;DEF</t>
  </si>
  <si>
    <t>??? + ??? + 800 cost</t>
  </si>
  <si>
    <t>Jirayu the Rebellious Prince + 1 Anima card (≥ 500 cost) + 800 cost</t>
  </si>
  <si>
    <t xml:space="preserve">00100
00000 
10101
00100
00100
</t>
  </si>
  <si>
    <t>Kiba the Giant Slayer</t>
  </si>
  <si>
    <t>+??? vs Union</t>
  </si>
  <si>
    <t>+70 ATK vs Union</t>
  </si>
  <si>
    <t>??? + ??? + 1000 cost</t>
  </si>
  <si>
    <t>Kiyoko the Death Whisper + Silver Spearman + 1000 cost</t>
  </si>
  <si>
    <t xml:space="preserve">01010
01010 
01010
01010
01010
</t>
  </si>
  <si>
    <t>Moon Lady Ninja</t>
  </si>
  <si>
    <t>Once, this card is ???.</t>
  </si>
  <si>
    <t>Once, this card is not destroyed.</t>
  </si>
  <si>
    <t>Kiyoko the Death Whisper + 1 Anima card + 800 cost</t>
  </si>
  <si>
    <t xml:space="preserve">00100
00100 
01110
00100
00100
</t>
  </si>
  <si>
    <t>Imperial Frame</t>
  </si>
  <si>
    <t>??? + ??? + 500 cost</t>
  </si>
  <si>
    <t>Laser Walker + 1 Cosmic card + 500 cost</t>
  </si>
  <si>
    <t xml:space="preserve">00111
00001
10001
10000
11100
</t>
  </si>
  <si>
    <t>Giant Meteor Vergaia</t>
  </si>
  <si>
    <t>Destroy it at turn's end, then destroy all ???</t>
  </si>
  <si>
    <t>Destroy it at turn's end, then destroy all exposed foe’s units surrounding the card that this card attacked.</t>
  </si>
  <si>
    <t>Striker Comet + 2 Cosmic card + 1000 cost</t>
  </si>
  <si>
    <t xml:space="preserve">10000
01000 
00000
00111
00111
</t>
  </si>
  <si>
    <t>Blood-hungry Mutant</t>
  </si>
  <si>
    <t>After destroying foe’s card: ???</t>
  </si>
  <si>
    <t>After destroying foe’s card: +80 Crystals</t>
  </si>
  <si>
    <t>2 ??? + 600 cost</t>
  </si>
  <si>
    <t>2 Mutant cards + 600 cost</t>
  </si>
  <si>
    <t>00000
01010
10101
01010
00000</t>
  </si>
  <si>
    <t>Gamma Mermaid</t>
  </si>
  <si>
    <t>Non-Bio defender get ???. With Mutagen Flag: +20 ???</t>
  </si>
  <si>
    <t>Non-Bio defender get -20 DEF. With Mutagen Flag: +20 ATK&amp;DEF to all ally Bio units</t>
  </si>
  <si>
    <t>1 Gamma cards + 1 Bio card + 500 cost</t>
  </si>
  <si>
    <t xml:space="preserve">00000
01110 
01010
01110
00000
</t>
  </si>
  <si>
    <t>Tendrill Tyrant</t>
  </si>
  <si>
    <t>Can attack ? times per turn</t>
  </si>
  <si>
    <t>Can attack 3 times per turn</t>
  </si>
  <si>
    <t>1 ??? + 2 ??? + 1500 cost</t>
  </si>
  <si>
    <t>1 Bio with mutagen flag + 2 Bio (≥ 800 cost) + 1500 cost</t>
  </si>
  <si>
    <t>00100
00100
11111
00100
00100</t>
  </si>
  <si>
    <t>Helios the Prideful Fortress</t>
  </si>
  <si>
    <t>As long as there is exposed ???, this card cannot be ???. If targeted by tech, ???</t>
  </si>
  <si>
    <t>With another exposed Cosmic: this card cannot be destroyed. If targeted by tech, destroy this card.</t>
  </si>
  <si>
    <t>2 Cosmic (≥ 800 cost) + 1500 cost</t>
  </si>
  <si>
    <t>Slim Gray Plasma Bomber</t>
  </si>
  <si>
    <t>+?? ATK&amp;DEF if ?? or more of cells on your side are revealed</t>
  </si>
  <si>
    <t>+100 ATK&amp;DEF if 10 or more cells on your side are revealed</t>
  </si>
  <si>
    <t>1 Slim Gray + 1 Cosmic (≥ 800 cost) + 1000 cost</t>
  </si>
  <si>
    <t>00100
01110
01010
01110
00000</t>
  </si>
  <si>
    <t>Interplanetary Assassin</t>
  </si>
  <si>
    <t>+?? ATK vs Cosmic</t>
  </si>
  <si>
    <t>+100 ATK vs Cosmic</t>
  </si>
  <si>
    <t>1 Cosmic (≥ 500 cost) + 1 Cosmic + 1500 cost</t>
  </si>
  <si>
    <t>00100
11111
00000
11111
00100</t>
  </si>
  <si>
    <t>Bioterrorist</t>
  </si>
  <si>
    <t>Destroy this card after ???</t>
  </si>
  <si>
    <t>Destroy this card after Reckoning</t>
  </si>
  <si>
    <t>2 ??? + 1000 cost</t>
  </si>
  <si>
    <t>2 Bio cards (≥ 800 cost) + 1000 cost</t>
  </si>
  <si>
    <t>10001
01010
00000
01010
10001</t>
  </si>
  <si>
    <t>One Winged Angel</t>
  </si>
  <si>
    <t>+??? ATK permanently at ???</t>
  </si>
  <si>
    <t>+30 ATK permanently at the end of your turn (max 120)</t>
  </si>
  <si>
    <t>1 Cleaver Saint + 1 Divine card + 1500 cost</t>
  </si>
  <si>
    <t>00011
00011
00011
00011
00011</t>
  </si>
  <si>
    <t>Genesis Mech</t>
  </si>
  <si>
    <t>Once, destroy ???or ??? card</t>
  </si>
  <si>
    <t>Once, destroy Divine or Anima card</t>
  </si>
  <si>
    <t>1 Mean Angel + 1 Anima Card + 1000 cost</t>
  </si>
  <si>
    <t>11111
11111
00000
00000
00000</t>
  </si>
  <si>
    <t>Keeper of the Afterlife</t>
  </si>
  <si>
    <t>At Reckoning, flip a coin. If head, ????</t>
  </si>
  <si>
    <t>At Reckoning, flip a coin. If head, the attack does nothing</t>
  </si>
  <si>
    <t>1 ??? + 1 ???+ 1000 cost</t>
  </si>
  <si>
    <t>1 Sphinx unit + 1 Divine card + 1000 cost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</si>
  <si>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</si>
  <si>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</si>
  <si>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</si>
  <si>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your side</t>
  </si>
  <si>
    <t>1 ???+ ??? + 1000 cost</t>
  </si>
  <si>
    <t>1 Sphinx unit + 1 Anima + 1000 cost</t>
  </si>
  <si>
    <t>11111
01110
00100
00000
00000</t>
  </si>
  <si>
    <t>Keeper of Righteous</t>
  </si>
  <si>
    <t>+??? ATK vs ?? and ??</t>
  </si>
  <si>
    <t>+20 ATK vs Chaos and Arcane</t>
  </si>
  <si>
    <t>2 ???+ 1000 cost</t>
  </si>
  <si>
    <t>2 Sphinx units + 1000 cost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</si>
  <si>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</si>
  <si>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</si>
  <si>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</si>
  <si>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</si>
  <si>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cost</t>
  </si>
  <si>
    <t>00100
00100
00100
00100
00100</t>
  </si>
  <si>
    <t>Joyce the Rafflesia</t>
  </si>
  <si>
    <t>At the end of this turn, +??? ATK&amp;DEF ????</t>
  </si>
  <si>
    <t>At the end of this turn, +5 ATK&amp;DEF permanently.</t>
  </si>
  <si>
    <t>Bloom Fairy + 1 Nature card + 1000 cost</t>
  </si>
  <si>
    <t>11111
11011
00100
00100
00100</t>
  </si>
  <si>
    <t>Twin Axe Saintess</t>
  </si>
  <si>
    <t>This card can ??? per turn</t>
  </si>
  <si>
    <t>This card can attack twice per turn</t>
  </si>
  <si>
    <t>1??? + 1 ??? + 1000 cost</t>
  </si>
  <si>
    <t>Lady of the Sacred Pond + 1 Anima + 600 cost</t>
  </si>
  <si>
    <t>11011
01010
01010
01010
00000</t>
  </si>
  <si>
    <t>Blast Beam Seraph</t>
  </si>
  <si>
    <t>Gerald of the Heavenly Light + 1 Divine + 1000 cost</t>
  </si>
  <si>
    <t>11111
00100
11111
00100
00000</t>
  </si>
  <si>
    <t>Balthier the Supreme Holiness</t>
  </si>
  <si>
    <t>+??? ATK&amp;DEF for each ???cards on the field.</t>
  </si>
  <si>
    <t>+50 ATK&amp;DEF for each Divine cards on the field.</t>
  </si>
  <si>
    <t>3 Divine (≥800 cost) + 1500 cost</t>
  </si>
  <si>
    <t>00100
11111
00100
00100
00100</t>
  </si>
  <si>
    <t>Oblivion Dragon</t>
  </si>
  <si>
    <t>When this card defends, halve its ??? an???</t>
  </si>
  <si>
    <t>When this card defends, halve its attack and gain DEF by that amount permanently</t>
  </si>
  <si>
    <t>4 ??? + 2000 cost</t>
  </si>
  <si>
    <t>4 Chaos card (≥500 cost) + 2000 cost</t>
  </si>
  <si>
    <t>10001
00100
01010
00000
10001</t>
  </si>
  <si>
    <t>Big Bang Dragon</t>
  </si>
  <si>
    <t>Summoned: destroy all ???</t>
  </si>
  <si>
    <t>Summoned: destroy all other exposed ally units. No paid cost.</t>
  </si>
  <si>
    <t>5 ??? + 2500 cost</t>
  </si>
  <si>
    <t>5 Cosmic cards + 2500 cost</t>
  </si>
  <si>
    <t>00001
00010
00100
01000
10000</t>
  </si>
  <si>
    <t>Beowolf</t>
  </si>
  <si>
    <t>+?? ATK when this card can destroy ???</t>
  </si>
  <si>
    <t>+25 ATK when this card can destroy a unit card</t>
  </si>
  <si>
    <t>1 Kulu the Alpha Leader + 1 Anima + 1000 cost</t>
  </si>
  <si>
    <t>10101
00000
01010
00000
10101</t>
  </si>
  <si>
    <t>Dew the Heroic Prince</t>
  </si>
  <si>
    <t>At Reckoning, +?? ATK and +?? DEF vs ???</t>
  </si>
  <si>
    <t>At Reckoning, +40 ATK and +40 DEF vs Union cards</t>
  </si>
  <si>
    <t>1 Dew the Frog Knight + 1 card including ‘princess’ name or card with princess flag + 1000 cost</t>
  </si>
  <si>
    <t>11011
00000
00100
00100
11011</t>
  </si>
  <si>
    <t>Gemina the Supreme Queen</t>
  </si>
  <si>
    <t>Both sides cannot use ??? while this card is exposed. This card is unaffected by ???.</t>
  </si>
  <si>
    <t>Both sides cannot use tech while this card is exposed. This card is unaffected by traps.</t>
  </si>
  <si>
    <t>3 ??? + 1000 cost</t>
  </si>
  <si>
    <t>3 ‘Princess’ or card with princess flag + 1000 cost</t>
  </si>
  <si>
    <t>01110
10001
10001
10001
01110</t>
  </si>
  <si>
    <t>Manticore</t>
  </si>
  <si>
    <t>+?? ATK at the end of your turn. Whenever this card attacks, ??</t>
  </si>
  <si>
    <t>+50 ATK at the end of your turn. Reset this bonus after performed attack.</t>
  </si>
  <si>
    <t>1 ??? + 1 ??? + 1 ??? + 500 cost</t>
  </si>
  <si>
    <t>Centaur + Minotaur + Pegasus + 500 cost</t>
  </si>
  <si>
    <t>00000
01110
01010
01110
00000</t>
  </si>
  <si>
    <t>Wyriah the Roc</t>
  </si>
  <si>
    <t>This card is unaffected by ???</t>
  </si>
  <si>
    <t>This card is unaffected by trap effect</t>
  </si>
  <si>
    <t>1 Steel Eagle + 1 Nature (≥ 800 cost) + 1000 cost</t>
  </si>
  <si>
    <t>00000
01110
11111
00100
00100</t>
  </si>
  <si>
    <t>Mad Eye the Collector</t>
  </si>
  <si>
    <t>In Reckoning, you can choose to destroy ??? to +??? ATK&amp;DEF</t>
  </si>
  <si>
    <t>In Reckoning, you can choose to destroy 1 trap card on your side to +60 ATK&amp;DEF</t>
  </si>
  <si>
    <t>1 Space Janitor + 1 Cosmic + 1000 cost</t>
  </si>
  <si>
    <t>Ice Hawk</t>
  </si>
  <si>
    <t>Defender is ??? on next foe’s turn.</t>
  </si>
  <si>
    <t>Defender is unable to attack on next foe’s turn.</t>
  </si>
  <si>
    <t>Drill Woodpecker + 1 Nature + 1000 cost</t>
  </si>
  <si>
    <t>10100
01111
10100
00000
00000</t>
  </si>
  <si>
    <t>Dwarven Drill</t>
  </si>
  <si>
    <t>If this card have not attacked and this turn ends, reveal ???</t>
  </si>
  <si>
    <t>If this card have not attacked and this turn ends, reveal 2 card on foe’s side.</t>
  </si>
  <si>
    <t>2 ??? + 1000 Crystal.</t>
  </si>
  <si>
    <t>2 Dwarven cards + 1000 Crystal.</t>
  </si>
  <si>
    <t>00001
01111
11100
00000
00000</t>
  </si>
  <si>
    <t>Cullan the Flaming Blade</t>
  </si>
  <si>
    <t>+??? ATK&amp;DEF vs Nature</t>
  </si>
  <si>
    <t>+30 ATK&amp;DEF vs Nature</t>
  </si>
  <si>
    <t>Cullan the Magic Swordsman + Red Mage + 1000 cost</t>
  </si>
  <si>
    <t>00001
00010
01100
01110
10000</t>
  </si>
  <si>
    <t>The Undertaker</t>
  </si>
  <si>
    <t>If foe destroys a card on your side, gain ???</t>
  </si>
  <si>
    <t>If foe destroys a card on your side, gain +15 ATK  permanently (max 90).</t>
  </si>
  <si>
    <t>Sinister Cultist + 1 Chaos card + 1000 cost</t>
  </si>
  <si>
    <t xml:space="preserve">00000
00000 
01110
01110
01110
</t>
  </si>
  <si>
    <t>Ethereal Marquees</t>
  </si>
  <si>
    <t>-80 DEF if ???</t>
  </si>
  <si>
    <t>-80 DEF vs Arcane card. If this survived Reckoning, pay 500 cost</t>
  </si>
  <si>
    <t>Nobleman card + Ethereal card + 1500 cost</t>
  </si>
  <si>
    <t>00100
01010
10101
01010
10101</t>
  </si>
  <si>
    <t>Charm Mistress</t>
  </si>
  <si>
    <t>Foe’s turn start: flip a coin. Head, ???</t>
  </si>
  <si>
    <t>Foe’s turn start: flip a coin. Head, foe can only attack once.</t>
  </si>
  <si>
    <t>Alluring Spellcaster + 1 Arcane + 1000 cost</t>
  </si>
  <si>
    <t xml:space="preserve">00000
01010 
01110
00100
00000
</t>
  </si>
  <si>
    <t>Chronomancer</t>
  </si>
  <si>
    <t>For cannot revive or create token copy a unit. Once, after Arcane unit is destroyed, ???</t>
  </si>
  <si>
    <t>For cannot revive or create token copy a unit. Once, after Arcane unit is destroyed, revive it.</t>
  </si>
  <si>
    <t>Freya the Rift Walker + Bingo the Chrono Rabbit + 1000 cost.</t>
  </si>
  <si>
    <t xml:space="preserve">00010
01000 
00010
01000
00001
</t>
  </si>
  <si>
    <t>Death Colony</t>
  </si>
  <si>
    <t>This card can only choose attack target in the same pattern as ???</t>
  </si>
  <si>
    <t>This card can only choose attack target in the same pattern as its union zone</t>
  </si>
  <si>
    <t>Long Tongue + 1 Bio card + 1500 cost.</t>
  </si>
  <si>
    <t xml:space="preserve">10001
01010 
00100
01010
10001
</t>
  </si>
  <si>
    <t>Diamond Elemental</t>
  </si>
  <si>
    <t>Fire Elemental + Earth Elemental + 1000 cost</t>
  </si>
  <si>
    <t xml:space="preserve">01010
01110 
01110
00100
00000
</t>
  </si>
  <si>
    <t>Ice Elemental</t>
  </si>
  <si>
    <t>Card that battles this card cannot ??? until the end of their next turn.</t>
  </si>
  <si>
    <t>Card that battles this card cannot perform attack until the end of their next turn.</t>
  </si>
  <si>
    <t>Water Elemental + Wind Elemental + 1000 cost</t>
  </si>
  <si>
    <t xml:space="preserve">00000
01110 
00100
01110
00000
</t>
  </si>
  <si>
    <t>Cloud Elemental</t>
  </si>
  <si>
    <t>Once, this card is ???</t>
  </si>
  <si>
    <t>Fire Elemental + Water Elemental + 1000 cost</t>
  </si>
  <si>
    <t xml:space="preserve">00100
00100 
01110
01110
00000
</t>
  </si>
  <si>
    <t>Thunder Elemental</t>
  </si>
  <si>
    <t>After a successful attack, ???</t>
  </si>
  <si>
    <t>After a successful attack, reveal 1 foe’s card</t>
  </si>
  <si>
    <t>Fire Elemental + Wind Elemental + 1000 cost</t>
  </si>
  <si>
    <t xml:space="preserve">00010
00110 
00100
01100
01000
</t>
  </si>
  <si>
    <t>Wood Elemental</t>
  </si>
  <si>
    <t>At the end of each foe’s turn, ???</t>
  </si>
  <si>
    <t>At the end of each foe’s turn, +5 DEF permanently.</t>
  </si>
  <si>
    <t>Water Elemental + Earth Elemental + 1000 cost</t>
  </si>
  <si>
    <t>Sand Elemental</t>
  </si>
  <si>
    <t>+??? vs Non-Arcane cards</t>
  </si>
  <si>
    <t>+60 ATK&amp;DEF vs Non-Arcane cards</t>
  </si>
  <si>
    <t>Wind Elemental + Earth Elemental + 1000 cost</t>
  </si>
  <si>
    <t xml:space="preserve">00000
01110 
01110
01110
00000
</t>
  </si>
  <si>
    <t>Nuclear Elemental</t>
  </si>
  <si>
    <t>At the end of this turn, ??? permanently</t>
  </si>
  <si>
    <t>At the end of this turn, +10 ATK permanently</t>
  </si>
  <si>
    <t>Mind Elemental + Fire Elemental + 1500 cost</t>
  </si>
  <si>
    <t>Acid Elemental</t>
  </si>
  <si>
    <t>Summoned : put acid flag on ???. Card with acid flag get ???</t>
  </si>
  <si>
    <t>Summoned : put acid flag on all of foe’s exposed card. Card with acid flag get -10 DEF at the end of foe’s turn</t>
  </si>
  <si>
    <t>Mind Elemental + Water Elemental + 1500 cost</t>
  </si>
  <si>
    <t>Vacuum Elemental</t>
  </si>
  <si>
    <t>Mind Elemental + Wind Elemental + 1500 cost</t>
  </si>
  <si>
    <t>Magnet Elemental</t>
  </si>
  <si>
    <t>Foe’s non-Arcane cards cannot target exposed card other than this card.</t>
  </si>
  <si>
    <t>Mind Elemental + Earth Elemental + 1500 cost</t>
  </si>
  <si>
    <t>Dwarven Berserker</t>
  </si>
  <si>
    <t>This card can attack twice</t>
  </si>
  <si>
    <t>1 Dwarven card + 1 Arcane or Anima card + 1500 cost</t>
  </si>
  <si>
    <t xml:space="preserve">01110
10101 
00100
00100
00000
</t>
  </si>
  <si>
    <t>Tholin Whale</t>
  </si>
  <si>
    <t>If attacked a trap, +100 ATK permanently</t>
  </si>
  <si>
    <t>2 Tholin card + 1000 cost</t>
  </si>
  <si>
    <t xml:space="preserve">11000
10000 
01111
01111
00000
</t>
  </si>
  <si>
    <t>Dark Invader</t>
  </si>
  <si>
    <t>+5 ATK&amp;DEF per revealed cells on your side</t>
  </si>
  <si>
    <t>Lukkey the Jammer+ 1 Cosmic card + 1000 cost</t>
  </si>
  <si>
    <t xml:space="preserve">00000
01110 
01010
11111
00000
</t>
  </si>
  <si>
    <t>Europan Warcraft</t>
  </si>
  <si>
    <t>If this card is going to be destroy, you can remove 1 Europa flag from any card on your side.</t>
  </si>
  <si>
    <t>2 Europan cards + 1000 cost</t>
  </si>
  <si>
    <t xml:space="preserve">00000
10000 
10000
01111
01110
</t>
  </si>
  <si>
    <t>Nanomites Dragon</t>
  </si>
  <si>
    <t>Destroy Cosmic card in Reckoning</t>
  </si>
  <si>
    <t>1 Nanomites cards + 1 Bio card + 1000 cost</t>
  </si>
  <si>
    <t xml:space="preserve">10001
01010 
01010
00100
10001
</t>
  </si>
  <si>
    <t>Capnomancer</t>
  </si>
  <si>
    <t>Start of your turn: can choose to destroy this card to ???</t>
  </si>
  <si>
    <t>Start of your turn: can choose to destroy this card to revive Pyromancer</t>
  </si>
  <si>
    <t>1 ???</t>
  </si>
  <si>
    <t>1 Pyromancer + 1 Cosmic + 500 cost</t>
  </si>
  <si>
    <t>Immortal Siegfried</t>
  </si>
  <si>
    <t>If there is Anima on this card’s Union Zone, ???</t>
  </si>
  <si>
    <t>If there is Anima unit on this card’s Union Zone, this card is not destroyed</t>
  </si>
  <si>
    <t>2 Anima (DEF ≥ 100) + 1000 cost</t>
  </si>
  <si>
    <t>Dark Champion</t>
  </si>
  <si>
    <t>Cannot select unit with ??? target. Destroy ??? with 0 ATK unit</t>
  </si>
  <si>
    <t>Cannot select unit with 0 DEF as attack target. Destroy this card in Reckoning with 0 ATK unit</t>
  </si>
  <si>
    <t>1 Death Knight + 1 Chaos card + 1000 cost</t>
  </si>
  <si>
    <t xml:space="preserve">00001
00010 
10100
01000
10100
</t>
  </si>
  <si>
    <t>Legendary Locksmith</t>
  </si>
  <si>
    <t>Summoned: Reveal ??? cards on the field</t>
  </si>
  <si>
    <t>Summoned: Reveal 3 cards on the field</t>
  </si>
  <si>
    <t>1 Lockpicker + 1 Anima + 800 cost</t>
  </si>
  <si>
    <t xml:space="preserve">01100
00100 
01100
00100
00100
</t>
  </si>
  <si>
    <t>Perseus the Lightborn</t>
  </si>
  <si>
    <t>Summoned: Destroy ???</t>
  </si>
  <si>
    <t>Summoned: Destroy 1 card on the field</t>
  </si>
  <si>
    <t>1 Divine (≥ 800 cost) + 1 Anima (≥ 800 cost) + 800 cost</t>
  </si>
  <si>
    <t xml:space="preserve">00001
00010 
00010
00100
01000
</t>
  </si>
  <si>
    <t>Team Galaxos</t>
  </si>
  <si>
    <t>Summoned: Until the end of foe’s turn ??? are not destroyed</t>
  </si>
  <si>
    <t>Summoned: Until the end of foe’s turn, Cosmic and Anima units on your side are not destroyed</t>
  </si>
  <si>
    <t>1 Cosmic (≥ 800 cost) + 1 Anima (≥ 800 cost) + 800 cost</t>
  </si>
  <si>
    <t xml:space="preserve">01110
01000 
01011
01110
00000
</t>
  </si>
  <si>
    <t>Dimensional Virus</t>
  </si>
  <si>
    <t>Foe’s unit get ??? in Reckoning . With Mutagen Flag : ???</t>
  </si>
  <si>
    <t>Foe’s unit get -10 ATK&amp;DEF permanently in Reckoning . With Mutagen Flag : Cannot be destroyed by Non-Arcane.</t>
  </si>
  <si>
    <t>1 Bio (≥ 800 cost) + 1 Arcane (≥ 800 cost) + 800 cost</t>
  </si>
  <si>
    <t xml:space="preserve">10110
01001 
10010
01010
00101
</t>
  </si>
  <si>
    <t>Illuminatus</t>
  </si>
  <si>
    <t>Summoned: +??? until the end of foe’s turn</t>
  </si>
  <si>
    <t>Summoned: +35 ATK&amp;DEF until the end of foe’s turn</t>
  </si>
  <si>
    <t>1 Arcane (≥ 800 cost) + 1 Divine (≥ 800 cost) + 800 cost</t>
  </si>
  <si>
    <t xml:space="preserve">01111
00001 
11101
00100
00100
</t>
  </si>
  <si>
    <t>Eldritch Warlock</t>
  </si>
  <si>
    <t>In Reckoning, foe’s unit becomes None permanently</t>
  </si>
  <si>
    <t>1 Chaos (≥ 800 cost) + 1 Arcane (≥ 800 cost) + 800 cost</t>
  </si>
  <si>
    <t xml:space="preserve">00100
01010 
10100
10000
01110
</t>
  </si>
  <si>
    <t>Devilshifter</t>
  </si>
  <si>
    <t>Once, if this card is destroyed, ???. Affinity becomes ???</t>
  </si>
  <si>
    <t>Once, if this card is destroyed, revive it at the end of this turn. Affinity becomes Anima</t>
  </si>
  <si>
    <t>1 Chaos (≥ 800 cost) + 1 Anima (≥ 800 cost) + 1000 cost</t>
  </si>
  <si>
    <t xml:space="preserve">00011
10001 
10001
10001
11000
</t>
  </si>
  <si>
    <t>Embodiment of Destiny</t>
  </si>
  <si>
    <t>Gain ??? ATK when attacking target in ??? pattern ???</t>
  </si>
  <si>
    <t>Gain +60 ATK when attacking target in the same pattern as its union zone</t>
  </si>
  <si>
    <t>1 Chaos (≥ 800 cost) + 1 Divine (≥ 800 cost) + 1500 cost</t>
  </si>
  <si>
    <t xml:space="preserve">00100
00100 
11011
00100
00100
</t>
  </si>
  <si>
    <t>Meteorkin</t>
  </si>
  <si>
    <t>+??? ATK for each ??? in your void</t>
  </si>
  <si>
    <t>+10 ATK for each Cosmic unit in your void</t>
  </si>
  <si>
    <t>1 Nature (≥ 800 cost) + 1 Cosmo (≥ 800 cost) + 800 cost</t>
  </si>
  <si>
    <t xml:space="preserve">01110
01010 
10101
00100
00000
</t>
  </si>
  <si>
    <t>Chainsaw Tank</t>
  </si>
  <si>
    <t>+??? ATK vs Nature,Chaos</t>
  </si>
  <si>
    <t>+65 ATK vs Nature,Chaos</t>
  </si>
  <si>
    <t>1 Tank unit (≥ 500 cost) + 1 Anima + 500 cost</t>
  </si>
  <si>
    <t xml:space="preserve">0010
01110
00100
01110
00100
</t>
  </si>
  <si>
    <t>Titan Tank</t>
  </si>
  <si>
    <t>This card is unaffected by trap cards</t>
  </si>
  <si>
    <t>2 Tank unit + 500 cost</t>
  </si>
  <si>
    <t xml:space="preserve">00111
00100
11111
00000
00000
</t>
  </si>
  <si>
    <t>Atomic Tank</t>
  </si>
  <si>
    <t>Once after performed attack, ???</t>
  </si>
  <si>
    <t>Once after performed attack, destroy 1 card on the field.</t>
  </si>
  <si>
    <t>1 Tank unit (≥ 800 cost) +1 Tank unit (≥ 500 cost) + 1000 cost</t>
  </si>
  <si>
    <t xml:space="preserve">11111
01110 
00100
01110
00000
</t>
  </si>
  <si>
    <t>Mutant Queen</t>
  </si>
  <si>
    <t>Summoned: put Mutagen Flag on ???</t>
  </si>
  <si>
    <t>Summoned: put Mutagen Flag on up to 2 of your units</t>
  </si>
  <si>
    <t>1 Mutant + 1 Bio + 1500 cost</t>
  </si>
  <si>
    <t xml:space="preserve">10000
00001 
10000
00001
10000
</t>
  </si>
  <si>
    <t>Battle Maid Ayumi</t>
  </si>
  <si>
    <t xml:space="preserve">Ally units in this card’s union zone gain +50 DEF </t>
  </si>
  <si>
    <t>2 Battle Maid unit + 1500 cost</t>
  </si>
  <si>
    <t xml:space="preserve">10001
10001 
01110
01110
00000
</t>
  </si>
  <si>
    <t>Theo the Dragon Knight</t>
  </si>
  <si>
    <t>+20 DEF for each Dragon card on the field. +15 ATK for each Anima card on your side</t>
  </si>
  <si>
    <t>1 Dragon card + 1 Anima + 800 cost</t>
  </si>
  <si>
    <t xml:space="preserve">01000
01000 
00110
01000
11111
</t>
  </si>
  <si>
    <t>War Empress</t>
  </si>
  <si>
    <t>+50 DEF to ally “Knight” cards. This card is not destroyed while there is “Knight” card on your side</t>
  </si>
  <si>
    <t>War Queen + 1 Knight card + 1500 cost</t>
  </si>
  <si>
    <t xml:space="preserve">10101
01110 
00000
00000
00000
</t>
  </si>
  <si>
    <t>Blood Moon Mage</t>
  </si>
  <si>
    <t>Summoned : Average both player’s crystal</t>
  </si>
  <si>
    <t>1 Mage card + 1 Moon card + 500 cost</t>
  </si>
  <si>
    <t xml:space="preserve">00000
01110 
10001
10001
01110
</t>
  </si>
  <si>
    <t>Moon Knight</t>
  </si>
  <si>
    <t>1 Moon card + 1 Anima + 500 cost</t>
  </si>
  <si>
    <t xml:space="preserve">00000
01111
10100
10100
01111
</t>
  </si>
  <si>
    <t>Priestess of the Moon</t>
  </si>
  <si>
    <t>Summoned : +300 crystals per exposed divine unit in your field</t>
  </si>
  <si>
    <t>1 Moon card + 1 Divine + 500 cost</t>
  </si>
  <si>
    <t xml:space="preserve">00100
01110 
00100
01000
01111
</t>
  </si>
  <si>
    <t>Moon Shifter</t>
  </si>
  <si>
    <t>In Reckoning, average foe’s ATK and DEF until the end of your turn.</t>
  </si>
  <si>
    <t>1 Moon card + 1 Nature + 500 cost</t>
  </si>
  <si>
    <t xml:space="preserve">00100
10001 
01010
00100
01010
</t>
  </si>
  <si>
    <t>Europan Emperor</t>
  </si>
  <si>
    <t>This card cannot attack without Europa Flag. After attacked, remove Europa Flag from this card.</t>
  </si>
  <si>
    <t>1 Europan card with Europa Flag+ 1 Cosmic + 1000 cost</t>
  </si>
  <si>
    <t xml:space="preserve">10001
01010 
10001
01010
00100
</t>
  </si>
  <si>
    <t>Carbon Behemoth</t>
  </si>
  <si>
    <t>3 Cosmic card (≥ 800 cost) + 1000 cost</t>
  </si>
  <si>
    <t>00000
00000 
11011
0101
11111</t>
  </si>
  <si>
    <t>Solarflare Dragon</t>
  </si>
  <si>
    <t>Summoned : Foe choose and reveal 3 cards. You gain 500 crystals per Dead-End among them.</t>
  </si>
  <si>
    <t>Solarling + 1 Cosmic card (≥ 800 cost) + 1200 cost</t>
  </si>
  <si>
    <t xml:space="preserve">10101
01010 
10001
01010
10001
</t>
  </si>
  <si>
    <t>Nanomites Rafflesia</t>
  </si>
  <si>
    <t>Summoned : +2000 crystals</t>
  </si>
  <si>
    <t>1 Nanomites card + 1 Bio (≥ 800 cost) + 1500 cost</t>
  </si>
  <si>
    <t xml:space="preserve">00000
00000
10001
10001
11111
</t>
  </si>
  <si>
    <t>Gamma Kraken</t>
  </si>
  <si>
    <t>Summoned: gain 1 attack count for this turn. With Mutagen Flag: This card can attack twice.</t>
  </si>
  <si>
    <t>1 Gamma cards + 2 Bio (≥ 500 cost) + 1000 cost</t>
  </si>
  <si>
    <t xml:space="preserve">00000
01010 
01010
01010
00100
</t>
  </si>
  <si>
    <t>Mutant Soldier</t>
  </si>
  <si>
    <t>With Mutagen Flag : +100 ATK</t>
  </si>
  <si>
    <t>1 Mutant cards + 1 Bio (≥ 500 cost) + 500 cost</t>
  </si>
  <si>
    <t xml:space="preserve">00000
10101 
10101
10101
00000
</t>
  </si>
  <si>
    <t>Mistress-001</t>
  </si>
  <si>
    <t>Summoned: select 1 other face-up card on the field, it gain +50 ATK, but get -50 DEF</t>
  </si>
  <si>
    <t>2 Bio cards with number in its name + 500 cost</t>
  </si>
  <si>
    <t xml:space="preserve">11100
00100 
00100
00100
00100
</t>
  </si>
  <si>
    <t>Enormous Slime</t>
  </si>
  <si>
    <t>This card is not destroyed by Anima or Bio card</t>
  </si>
  <si>
    <t>1 Slime + 1 Bio (≥ 500 cost) + 500 cost</t>
  </si>
  <si>
    <t xml:space="preserve">00000
01110 
01110
11111
00000
</t>
  </si>
  <si>
    <t>House of Flesh</t>
  </si>
  <si>
    <t>This card can only be destroyed by Chaos or Divine unit</t>
  </si>
  <si>
    <t>Red Closet + 1 Chaos (≥ 800 cost) + 1500 cost</t>
  </si>
  <si>
    <t>00100
01010 
10001
00000
11111</t>
  </si>
  <si>
    <t>Eye in the Sky</t>
  </si>
  <si>
    <t>Summoned: Reveal 1 card per unit in your void</t>
  </si>
  <si>
    <t>Drifting Head + 1 Chaos + 500 cost</t>
  </si>
  <si>
    <t xml:space="preserve">01110
10001 
00100
10001
01110
</t>
  </si>
  <si>
    <t>Bloody Mask</t>
  </si>
  <si>
    <t>Jacob the Ski Mask + Franky the Steel Claw + 200 cost</t>
  </si>
  <si>
    <t xml:space="preserve">11011
11011 
00000
10001
01110
</t>
  </si>
  <si>
    <t>Cthulhu</t>
  </si>
  <si>
    <t>-50 ATK&amp;DEF to foe unit in this card’s Union Zone pattern</t>
  </si>
  <si>
    <t>Blood Mage + Chaos (≥ 1000 cost)  + 1200 cost)</t>
  </si>
  <si>
    <t xml:space="preserve">00000
01110 
01110
10101
00100
</t>
  </si>
  <si>
    <t>Supreme Lich</t>
  </si>
  <si>
    <t>+10 ATK&amp;DEF for each or your revealed cells</t>
  </si>
  <si>
    <t>1 Lich card + 1 Chaos + 1000 cost</t>
  </si>
  <si>
    <t xml:space="preserve">01110
00110 
00010
00010
00010
</t>
  </si>
  <si>
    <t>Siege Engine</t>
  </si>
  <si>
    <t>Once, destroy defending unit in Reckoning</t>
  </si>
  <si>
    <t>1 Anima (≥ 800 cost) + 2 Anima (≥ 500 cost) + 800</t>
  </si>
  <si>
    <t xml:space="preserve">11000
11000 
00000
00001
01111
</t>
  </si>
  <si>
    <t>Ultimate Railgun</t>
  </si>
  <si>
    <t>Can only attack if there is only Railgun Ammo in your void</t>
  </si>
  <si>
    <t>1 Railgun card + 1 Anima + 1000 cost</t>
  </si>
  <si>
    <t xml:space="preserve">00000
01000 
00100
00010
11110
</t>
  </si>
  <si>
    <t>The Last Paladin</t>
  </si>
  <si>
    <t>+300 ATK&amp;DEF if 15 or more cells on your side are revealed</t>
  </si>
  <si>
    <t>1 Knight card + 1 Anima Card + 0 cost</t>
  </si>
  <si>
    <t xml:space="preserve">00100
00100 
11111
00100
00100
</t>
  </si>
  <si>
    <t>Desperado</t>
  </si>
  <si>
    <t>After it performed attack, flip a coin. Heads: +20 ATK permanently.</t>
  </si>
  <si>
    <t>Johnny the Most Wanted + 1 Anima + 500 cost</t>
  </si>
  <si>
    <t xml:space="preserve">00000
11111
11111
10000
00000
</t>
  </si>
  <si>
    <t>Raijin Fujin and Suijin</t>
  </si>
  <si>
    <t>At the start of each player’s turn, they choose either destroy ??? or lose ??? crystals.</t>
  </si>
  <si>
    <t>At ??? turn, they choose either destroy ??? or lose ???</t>
  </si>
  <si>
    <t>Raijin + Fujin + Suigin + 1200 cost</t>
  </si>
  <si>
    <t>10101
10101
10101
10101
10101</t>
  </si>
  <si>
    <t>Raijin Fujin and Suigin</t>
  </si>
  <si>
    <t>Summoned : Both player destroy ???.</t>
  </si>
  <si>
    <t>Summoned : Both player destroy 3 of ???</t>
  </si>
  <si>
    <t>Death Parasite</t>
  </si>
  <si>
    <t>+15 ATK&amp;DEF for each ???. In Reckoning with Cosmic unit, this card get ???</t>
  </si>
  <si>
    <t>+15 ATK&amp;DEF for each units on the field. In Reckoning with Cosmic unit, this card get -50 DEF</t>
  </si>
  <si>
    <t>2 Parasite card + 1000 cost</t>
  </si>
  <si>
    <t>00001
11110
00000
01111
10000</t>
  </si>
  <si>
    <t>Ultimate Zombie</t>
  </si>
  <si>
    <t>Mutagen Flag : If this card is destroyed, ???</t>
  </si>
  <si>
    <t>Mutagen Flag : If this card is destroyed, also destroy foe’s unit</t>
  </si>
  <si>
    <t>Dark Surgeon</t>
  </si>
  <si>
    <t>Summoned : Revive ???</t>
  </si>
  <si>
    <t>Summoned : Revive 1 unit. Its DEF becomes 0</t>
  </si>
  <si>
    <t>Mad Doctor + Wicked Nurse + 800 cost</t>
  </si>
  <si>
    <t>Lady Long Leng</t>
  </si>
  <si>
    <t>1 Chaos (≥ 500 cost) + 1 Lady unit + 800 cost</t>
  </si>
  <si>
    <t>00100
11011
10001
10001
10001</t>
  </si>
  <si>
    <t>White Ninja</t>
  </si>
  <si>
    <t>Effect of unit in Reckoning with this card becomes ???.</t>
  </si>
  <si>
    <t>Effect of unit in Reckoning with this card becomes None until the end of your turn.</t>
  </si>
  <si>
    <t>1 Ninja + 1 Anima (≥ 800 cost) + 1000 cost</t>
  </si>
  <si>
    <t>10010
01100
10010
00000
00000</t>
  </si>
  <si>
    <t>Lab Abomination</t>
  </si>
  <si>
    <t>1 Lab card + 1 Bio card + 800 cost</t>
  </si>
  <si>
    <t>00000
10101
10001
01110
10101</t>
  </si>
  <si>
    <t>Elven King</t>
  </si>
  <si>
    <t>If there is Nature unit on this card’s Union Zone, ???</t>
  </si>
  <si>
    <t>If there is Nature unit on this card’s Union Zone, it gain +100 DEF</t>
  </si>
  <si>
    <t>2 Elven or Elf card + 1000 cost</t>
  </si>
  <si>
    <t>11011
10101
01110
00100
00100</t>
  </si>
  <si>
    <t>Rift Guardian</t>
  </si>
  <si>
    <t>If your Arcane unit is in Reckoning with ???, your opponent choose ??? to fight in place of this card</t>
  </si>
  <si>
    <t>If your Arcane unit is in Reckoning with revived units or copied token, your opponent choose 1 of their unit to fight in place of this card</t>
  </si>
  <si>
    <t>Freya the Rift Walker + Planewalker + 1200 cost.</t>
  </si>
  <si>
    <t>Mother Nature</t>
  </si>
  <si>
    <t>-??? ATK&amp;DEF for each face-up unit on foe’s side.</t>
  </si>
  <si>
    <t>-100 ATK&amp;DEF for each face-up unit on foe’s side.</t>
  </si>
  <si>
    <t>Dryad + 1 Nature + 1500 cost</t>
  </si>
  <si>
    <t>01000
01110
00110
01110
01000</t>
  </si>
  <si>
    <t>Orzolos the Sinister King</t>
  </si>
  <si>
    <t>Halve its ATK&amp;DEF in Reckoning with Divine units. -40 ATK&amp;DEF for each foe’s unit in same pattern as its union zone</t>
  </si>
  <si>
    <t>3 Chaos (≥ 800 cost) + 2 Chaos (≥ 500 cost) + 2500 cost</t>
  </si>
  <si>
    <t>00100
00100
01110
10101
01010</t>
  </si>
  <si>
    <t>Booster Pack - Blightsilver / 8</t>
  </si>
  <si>
    <t>Booster Pack - Unseen Presence / 8</t>
  </si>
  <si>
    <t>Booster Pack - Wind of Dominance / 5</t>
  </si>
  <si>
    <t>Trap Hole</t>
  </si>
  <si>
    <t>Trap</t>
  </si>
  <si>
    <t>Flip 3 coin, attacking player loses 20 Crystals per each head(s).</t>
  </si>
  <si>
    <t>Hostage</t>
  </si>
  <si>
    <t>Usable when foe attacks. You can reveal one of your unit. Until this turn ends, foe cannot target that unit. If already targeted it, foe must choose other cell.</t>
  </si>
  <si>
    <t>Bait</t>
  </si>
  <si>
    <t>You choose one other cell on your side and reveal it.</t>
  </si>
  <si>
    <t>Blackmail</t>
  </si>
  <si>
    <t>The attacker chooses either discarding 1 Tech Card or end the turn immediately</t>
  </si>
  <si>
    <t>Cursed Reflection</t>
  </si>
  <si>
    <t>Swap the attacking unit's ATK&amp;DEF until the end of your turn.</t>
  </si>
  <si>
    <t>Explosive Barrels</t>
  </si>
  <si>
    <t xml:space="preserve">Destroy the attacking unit. You also pay the same cost as attacker.
</t>
  </si>
  <si>
    <t xml:space="preserve">Hypnosis </t>
  </si>
  <si>
    <t>The attacking unit cannot attack during the foe's next turn.</t>
  </si>
  <si>
    <t>Flame Trap</t>
  </si>
  <si>
    <t>The attacking unit gets -10 ATK permanently.</t>
  </si>
  <si>
    <t>Echo Barrier</t>
  </si>
  <si>
    <t>This turn, foe cannot perform any more attack.</t>
  </si>
  <si>
    <t>Mana Drain</t>
  </si>
  <si>
    <t>Foe loses 300 Crystals. You gain 300 Crystals.</t>
  </si>
  <si>
    <t>Defensive Pheromone</t>
  </si>
  <si>
    <t>You switch 1 'Armored' Nature card on your side with this cell, then repeat Reckoning.</t>
  </si>
  <si>
    <t>Spike Trap</t>
  </si>
  <si>
    <t>Destroy the attacking unit</t>
  </si>
  <si>
    <t>Snare Trap</t>
  </si>
  <si>
    <t>The attacking unit's ability becomes None until attacker’s next turn ends</t>
  </si>
  <si>
    <t>Brainwash</t>
  </si>
  <si>
    <t>The attacker chooses their own ally as an attack target</t>
  </si>
  <si>
    <t>Bunker</t>
  </si>
  <si>
    <t>Usable when foe attack this card or surround cells. Foe cannot target surrounding cells until the end of this turn. If already targeted, they must choose other cell.</t>
  </si>
  <si>
    <t>Foul Gas</t>
  </si>
  <si>
    <t>-5 ATK to all the attacking player’s units until the end of this turn</t>
  </si>
  <si>
    <t>Choking Gas</t>
  </si>
  <si>
    <t>-20 ATK to all the attacking player’s units until the end of this turn</t>
  </si>
  <si>
    <t>Radiation</t>
  </si>
  <si>
    <t>Attacking unit permanently lose 10 ATK&amp;DEF. it loses more 10 ATK&amp;DEF for each trap cards in your void</t>
  </si>
  <si>
    <t>Acid Trap Hole</t>
  </si>
  <si>
    <t>Flip 2 coin, attacking player loses 50 Crystals per each head(s).</t>
  </si>
  <si>
    <t>Lava Trap Hole</t>
  </si>
  <si>
    <t>Flip 3 coin, attacking player loses 100 Crystals per each head(s).</t>
  </si>
  <si>
    <t>Fissure</t>
  </si>
  <si>
    <t>Attacking player loses 200 Crystals</t>
  </si>
  <si>
    <t>Soul Blast</t>
  </si>
  <si>
    <t>Attacking player lose 150 Crystals for each unit cards in your void</t>
  </si>
  <si>
    <t>Grudge</t>
  </si>
  <si>
    <t>-10 ATK to the attacking unit permanently for each unit cards in your void</t>
  </si>
  <si>
    <t>Anti-virus</t>
  </si>
  <si>
    <t>If attacker is Bio, flip a coin. Head: destroy it. Always head, if your Crystal is 1000 or less.</t>
  </si>
  <si>
    <t>Witch Hunt</t>
  </si>
  <si>
    <t>If attacker is Arcane, flip a coin. Head: destroy it. Always head, if your Crystal is 1000 or less.</t>
  </si>
  <si>
    <t>Standoff</t>
  </si>
  <si>
    <t>If attacker is Anima, flip a coin. Head: destroy it. Always head, if your Crystal is 1000 or less.</t>
  </si>
  <si>
    <t>Apple of Adam</t>
  </si>
  <si>
    <t>If attacker is Divine, flip a coin. Head: destroy it. Always head, if your Crystal is 1000 or less.</t>
  </si>
  <si>
    <t>Purify</t>
  </si>
  <si>
    <t>If attacker is Chaos, flip a coin. Head: destroy it. Always head, if your Crystal is 1000 or less.</t>
  </si>
  <si>
    <t>Solar Flare</t>
  </si>
  <si>
    <t>If attacker is Cosmic, flip a coin. Head: destroy it. Always head, if your Crystal is 1000 or less.</t>
  </si>
  <si>
    <t>Hunting Season</t>
  </si>
  <si>
    <t>If attacker is Nature, flip a coin. Head: destroy it. Always head, if your Crystal is 1000 or less.</t>
  </si>
  <si>
    <t>Dart Trap</t>
  </si>
  <si>
    <t>If the attacking unit is the first one to attack in that turn, -50 DEF</t>
  </si>
  <si>
    <t>Science Cage</t>
  </si>
  <si>
    <t>If attacker Is Bio affinity, end their turn immediately. Remove all flags from it.</t>
  </si>
  <si>
    <t>Loop Hole</t>
  </si>
  <si>
    <t>If attacker is Arcane, its ability become None permanently.</t>
  </si>
  <si>
    <t>Talisman of Light</t>
  </si>
  <si>
    <t>If attacker is Chaos, -50 ATK to that unit permanently</t>
  </si>
  <si>
    <t>Forbidden Grail</t>
  </si>
  <si>
    <t>If attacker is Divine, -50 DEF to that unit permanently</t>
  </si>
  <si>
    <t>Electric Fence</t>
  </si>
  <si>
    <t>If attacker is Nature, it cannot attack until attacker’s next turn ends</t>
  </si>
  <si>
    <t>Discourage</t>
  </si>
  <si>
    <t>If attacker Is Anima, all exposed cards on their side get -15 ATK until attacker’s next turn ends</t>
  </si>
  <si>
    <t>Galaxy Toll</t>
  </si>
  <si>
    <t>If attacker is Cosmic, foe loses 1000 Crystals</t>
  </si>
  <si>
    <t>Union Cage</t>
  </si>
  <si>
    <t>Usable if a Union card attack this card or the surround cell. That Union card cannot attack until the attacker’s next turn ends.</t>
  </si>
  <si>
    <t>Plunder</t>
  </si>
  <si>
    <t>The attacker chooses to let you receive 1000 Crystals, or destroy the attacking unit.</t>
  </si>
  <si>
    <t>Decoy Puppet</t>
  </si>
  <si>
    <t>This turn, attacker cannot perform any more attack using unit with 400 or less cost.</t>
  </si>
  <si>
    <t>Hard Scale</t>
  </si>
  <si>
    <t>All of your unit gain +5 DEF in Reckoning until attacker’s next turn ends</t>
  </si>
  <si>
    <t>Steel Scale</t>
  </si>
  <si>
    <t>All of your units gain +15 DEF in Reckoning until attacker’s next turn ends</t>
  </si>
  <si>
    <t>Trick Door</t>
  </si>
  <si>
    <t>You select 1 of your unit and swap or relocate to any cell. Repeat Reckoning if it’s this cell.</t>
  </si>
  <si>
    <t>Boiling Oil</t>
  </si>
  <si>
    <t>All of attacker’s unit get -10 ATK&amp;DEF until your turn ends.</t>
  </si>
  <si>
    <t>Lightning Rod</t>
  </si>
  <si>
    <t>Foe loses 1000 Crystals if they target this card with any tech card</t>
  </si>
  <si>
    <t>Dreamcatcher</t>
  </si>
  <si>
    <t>When foe use a tech card, this card can be triggered. That tech card effect is cancelled.</t>
  </si>
  <si>
    <t>Stumble</t>
  </si>
  <si>
    <t>Attacker ends your turn immediately. If attacker has any remaining attack, they are transferred to their next turn.</t>
  </si>
  <si>
    <t>Ruckus</t>
  </si>
  <si>
    <t>Until the end of your turn, All exposed Bio units gain +5 ATK</t>
  </si>
  <si>
    <t>Red Card</t>
  </si>
  <si>
    <t>Flip 2 coins. If both are heads, that unit cannot attack until the foe's next turn ends.</t>
  </si>
  <si>
    <t>Counter Punch</t>
  </si>
  <si>
    <t>Attacking unit get -5 DEF until the end of your turn</t>
  </si>
  <si>
    <t>Counter Tackle</t>
  </si>
  <si>
    <t>Attacking unit get -15 DEF until the end of your turn</t>
  </si>
  <si>
    <t>Street Joke</t>
  </si>
  <si>
    <t>You reveal 1 of your cell, you receive 100 Crystal</t>
  </si>
  <si>
    <t>Alarm</t>
  </si>
  <si>
    <t>Until your turn ends, All your Anima units gain +10 ATK&amp;DEF in Reckoning</t>
  </si>
  <si>
    <t>Self-destruct</t>
  </si>
  <si>
    <t>You select 1 of your unit. +50 ATK&amp;DEF until your turn ends, but also destroy it. You pay no cost.</t>
  </si>
  <si>
    <t>Rank C Bounty</t>
  </si>
  <si>
    <t>The attacker’s cost is increased by 100 until the end of your turn.</t>
  </si>
  <si>
    <t>Pepper Spray</t>
  </si>
  <si>
    <t>Flip 2 coins. The attacking unit get -5 ATK for each heads until the foe's next turn ends.</t>
  </si>
  <si>
    <t>Share the Pain</t>
  </si>
  <si>
    <t>If you has 1000 or less Crystal, average both player’s Crystals.</t>
  </si>
  <si>
    <t>Tripwire</t>
  </si>
  <si>
    <t>Destroy the attacker with 20 or less ATK. Attacker side pay no cost.</t>
  </si>
  <si>
    <t>Soak Wet</t>
  </si>
  <si>
    <t>Flip 4 coins. The attacking unit get -5 DEF for each heads until your turn ends.</t>
  </si>
  <si>
    <t>Supersonic</t>
  </si>
  <si>
    <t>Flip 4 coins. The attacking unit get -5 ATK for each heads until the foe's next turn ends.</t>
  </si>
  <si>
    <t>Kill Zone</t>
  </si>
  <si>
    <t>Destroy the attacker with 50 or less ATK. Attacker side pay no cost.</t>
  </si>
  <si>
    <t>Boulder Trap</t>
  </si>
  <si>
    <t>Destroy the attacker with 20 or less DEF. Attacker side pay no cost.</t>
  </si>
  <si>
    <t>Rank S Bounty</t>
  </si>
  <si>
    <t>The attacker’s cost is doubled until the end of your turn.</t>
  </si>
  <si>
    <t>Flimsy Ground</t>
  </si>
  <si>
    <t>If any Dead-end surrounding this card is being attacked, turn this card face-up, flip a coin. Heads: destroy the attacking unit. Attacker pay no cost</t>
  </si>
  <si>
    <t>Shaky Ground</t>
  </si>
  <si>
    <t>If any Dead-end surrounding this card is being attacked, turn this card face-up, attacking unit get -5 DEF permanently</t>
  </si>
  <si>
    <t>Anti-intelligence</t>
  </si>
  <si>
    <t>If foe use any effect that reveal your cell, turn this card face-up and cancel it.</t>
  </si>
  <si>
    <t>Amnesia</t>
  </si>
  <si>
    <t>If foe’s unit triggered any ability, turn this card face-up. Its ability becomes None until the end of this turn.</t>
  </si>
  <si>
    <t>Confiscate</t>
  </si>
  <si>
    <t>If foe use any effect that increase Crystal, flip this card face-up and cancel it.</t>
  </si>
  <si>
    <t>Steel Fortress</t>
  </si>
  <si>
    <t>If any Anima unit surrounding this card is being attacked, turn this card face-up, +15 DEF until the end of this turn</t>
  </si>
  <si>
    <t>Casino Swindler</t>
  </si>
  <si>
    <t>If foe use any effect that flip a coin, turn this card face-up, you Flip a coin. Heads: That effect lands on Tail.</t>
  </si>
  <si>
    <t>The House Always Win</t>
  </si>
  <si>
    <t>If foe use any effect that flip a coin, turn this card face-up, that effect lands on Tail.</t>
  </si>
  <si>
    <t>Ancestral Spirit</t>
  </si>
  <si>
    <t>Whenever Tribe unit on your side is destroyed, you can flip this card face-up and revive that unt.</t>
  </si>
  <si>
    <t>Midlife Crisis</t>
  </si>
  <si>
    <t>Attacker’s ability becomes None until the end of your turn.</t>
  </si>
  <si>
    <t>Underpay</t>
  </si>
  <si>
    <t>Attacker’s ability becomes “The cost of this card is halved” permanently</t>
  </si>
  <si>
    <t>Discount</t>
  </si>
  <si>
    <t>The cost of all units on your side is halved until the end of this turn.</t>
  </si>
  <si>
    <t>Rift Trap</t>
  </si>
  <si>
    <t>If any unit trigger relocation ability, turn this card face-up then destroy it.</t>
  </si>
  <si>
    <t>Substitute Player</t>
  </si>
  <si>
    <t>Your foe choose another of their unit, swap location with the Attacker, then repeat Reckoning.</t>
  </si>
  <si>
    <t>Disunite</t>
  </si>
  <si>
    <t>Destroy Union attack. Revive units used for union summon. Their cost becomes 0.</t>
  </si>
  <si>
    <t>Union Checkpoint</t>
  </si>
  <si>
    <t>Once foe summoned Union card, turn this card face-up. That Union card cannot attack during this turn.</t>
  </si>
  <si>
    <t>Tear Gas</t>
  </si>
  <si>
    <t>Flip 4 coins. All foe’s unit get -10 ATK for each heads until the end of this turn.</t>
  </si>
  <si>
    <t>Flashbang</t>
  </si>
  <si>
    <t>Flip 3 coins. Select foe’s unit up to number of heads. Those unit s cannot attack until the end of this turn.</t>
  </si>
  <si>
    <t>Taser</t>
  </si>
  <si>
    <t>Flip 2 coins. The attacking unit get -10 DEF for each heads until the end of your turn</t>
  </si>
  <si>
    <t>Rank B Bounty</t>
  </si>
  <si>
    <t>The attacker’s cost is increased by 250 until the end of your turn.</t>
  </si>
  <si>
    <t>Rank A Bounty</t>
  </si>
  <si>
    <t>The attacker’s cost is increased by 500 until the end of your turn.</t>
  </si>
  <si>
    <t>Inferno Trap</t>
  </si>
  <si>
    <t>The attacking unit gets -25 ATK permanently.</t>
  </si>
  <si>
    <t>Trap Dealer</t>
  </si>
  <si>
    <t>This turn, all of your trap cost becomes 0.</t>
  </si>
  <si>
    <t>Play Zone</t>
  </si>
  <si>
    <t>Until your turn ends, all unit cost becomes 0.</t>
  </si>
  <si>
    <t>Evacuation Zone</t>
  </si>
  <si>
    <t>Until the end of this turn, cost of all Anima cards on your side is halved.</t>
  </si>
  <si>
    <t>13th Night</t>
  </si>
  <si>
    <t>Revive 1 Chaos monster from your void on this cell and repeat Reckoning</t>
  </si>
  <si>
    <t>Union Safeguard</t>
  </si>
  <si>
    <t>Relocate Union card on your side to this cell and repeat Reckoning.</t>
  </si>
  <si>
    <t>Infestation</t>
  </si>
  <si>
    <t>Destroy 1 parasite or worm unit on your field (you pay no cost). Select 1 face-up unit on foe’s side and repeat Reckoning with the attacker.</t>
  </si>
  <si>
    <t>Gamma Trap</t>
  </si>
  <si>
    <t>If there is Gamma or Radia unit on your side, -20 DEF to the attacker permanently.</t>
  </si>
  <si>
    <t>Poisonous Tea</t>
  </si>
  <si>
    <t>Foe gain 1000 crystals. They lose 1500 crystals at the end of their next turn.</t>
  </si>
  <si>
    <t>Elven Arrow Trap</t>
  </si>
  <si>
    <t>If there is face-up Elven unit on your side, destroy the attacker.</t>
  </si>
  <si>
    <t>Zantetsuken</t>
  </si>
  <si>
    <t>If there is face-up Swordsman unit on your side, destroy the attacker.</t>
  </si>
  <si>
    <t>Bone Trap</t>
  </si>
  <si>
    <t>If there is face-up Skeleton unit on your side, halve attacker’s ATK&amp;DEF permanently.</t>
  </si>
  <si>
    <t>Golem Reconstruction</t>
  </si>
  <si>
    <t>If your Golem unit is destroyed, you can turn this card face-up, revive it at the end of this turn.</t>
  </si>
  <si>
    <t>Force of Nature</t>
  </si>
  <si>
    <t>Nature units with 500 cost or less on both player’s side get 25 ATK&amp;DEF until the end of your turn.</t>
  </si>
  <si>
    <t>Abundant Nature</t>
  </si>
  <si>
    <t>Cost of Nature units on both player’s side is halved until the end of your turn.</t>
  </si>
  <si>
    <t>Venom Pool</t>
  </si>
  <si>
    <t>If there is face-up Nature unit on your side, attacker get -50 DEF permanently</t>
  </si>
  <si>
    <t>Turtling</t>
  </si>
  <si>
    <t>Until the end of this turn, DEF of all Nature units is doubled</t>
  </si>
  <si>
    <t>Trench Warfare</t>
  </si>
  <si>
    <t>Until the end of this turn, DEF of all units is doubled until the end of your turn.</t>
  </si>
  <si>
    <t>The Harder They Fall</t>
  </si>
  <si>
    <t>Destroy attacker with 200 or more ATK or DEF</t>
  </si>
  <si>
    <t>Miniature Warfare</t>
  </si>
  <si>
    <t>Until the end of this turn, ATK of all units is halved until the end of your turn.</t>
  </si>
  <si>
    <t>Holy Insight</t>
  </si>
  <si>
    <t>If the attacker is Divine, reveal 3 cells on opponent’s side.</t>
  </si>
  <si>
    <t>Dark Insight</t>
  </si>
  <si>
    <t>If the attacker is Chaos, reveal 3 cells on opponent’s side.</t>
  </si>
  <si>
    <t>Wild Insight</t>
  </si>
  <si>
    <t>If the attacker is Nature, reveal 3 cells on opponent’s side.</t>
  </si>
  <si>
    <t>Magic Insight</t>
  </si>
  <si>
    <t>If the attacker is Arcane, reveal 3 cells on opponent’s side.</t>
  </si>
  <si>
    <t>Scientific Insight</t>
  </si>
  <si>
    <t>If the attacker is Bio, reveal 3 cells on opponent’s side.</t>
  </si>
  <si>
    <t>Quantum Insight</t>
  </si>
  <si>
    <t>If the attacker is Cosmic, reveal 3 cells on opponent’s side.</t>
  </si>
  <si>
    <t>Spiritual Insight</t>
  </si>
  <si>
    <t>If the attacker is Anima, reveal 3 cells on opponent’s side.</t>
  </si>
  <si>
    <t>Dawnbreak</t>
  </si>
  <si>
    <t>Reveal 1 cells on opponent’s side.</t>
  </si>
  <si>
    <t>Illustration</t>
  </si>
  <si>
    <t>Booster Pack - Blightsilver / 4</t>
  </si>
  <si>
    <t>Booster Pack - Unseen Presence / 2</t>
  </si>
  <si>
    <t>Welcoming Door</t>
  </si>
  <si>
    <t>Tech</t>
  </si>
  <si>
    <t>Choose any square on your side and reveal it</t>
  </si>
  <si>
    <t>Spy</t>
  </si>
  <si>
    <t>Reveal 1 of foe’s cell</t>
  </si>
  <si>
    <t>Ceasefire</t>
  </si>
  <si>
    <t>Both players skip 1 turn (tax is forced to apply)</t>
  </si>
  <si>
    <t>Make Friend</t>
  </si>
  <si>
    <t>Both players select 1 unit from their side. That unit cannot attack until your next turn ends</t>
  </si>
  <si>
    <t>Double Spy</t>
  </si>
  <si>
    <t>Only trigger if you have Spy card in the void. Reveal 2 cells on foe's side.</t>
  </si>
  <si>
    <t>Invisible Spy</t>
  </si>
  <si>
    <t>Only trigger if you have Double Spy card in the void. Reveal 2 cells on foe's side.</t>
  </si>
  <si>
    <t>Corrupted Spy</t>
  </si>
  <si>
    <t>Reveal 3 cells on foe’s side. If any trap or unit is found, you pays 700 Crystal for each card found.</t>
  </si>
  <si>
    <t>Tease</t>
  </si>
  <si>
    <t>Foe chooses and reveal 1 of their cell</t>
  </si>
  <si>
    <t>Bribe</t>
  </si>
  <si>
    <t>Foe can choose to reveal a unit card and receive 700 Crystals or do nothing</t>
  </si>
  <si>
    <t>Release Mutagen</t>
  </si>
  <si>
    <t>Add Mutagen Flag to 1 of your unit</t>
  </si>
  <si>
    <t>Prayer</t>
  </si>
  <si>
    <t>Once, until foe’s turn ends: prevent Divine card from being destroyed</t>
  </si>
  <si>
    <t>Arcane Nova</t>
  </si>
  <si>
    <t>Destroy up to 3 exposed foe units (no cost is paid). You discard all of your tech cards afterward.</t>
  </si>
  <si>
    <t>Rift Strike</t>
  </si>
  <si>
    <t>Select 3 adjacent cells on foe’s field and destroy it. No cost is paid</t>
  </si>
  <si>
    <t>Great Diplomacy</t>
  </si>
  <si>
    <t>You select up to 3 of your units and reveal them.</t>
  </si>
  <si>
    <t>War Supply</t>
  </si>
  <si>
    <t>Your units get +10 ATK&amp;DEF in Reckoning until the end of the turn.</t>
  </si>
  <si>
    <t>Harsh Training</t>
  </si>
  <si>
    <t>Select 1 of your units. It gains +10 ATK permanently.</t>
  </si>
  <si>
    <t>Illegal Steroid</t>
  </si>
  <si>
    <t>+30 ATK for 1 unit until the end of this turn.</t>
  </si>
  <si>
    <t>Secret Dagger</t>
  </si>
  <si>
    <t>Can only be used on face-down card. Turn that card exposed and +15 ATK until the end of this turn.</t>
  </si>
  <si>
    <t>Garrison</t>
  </si>
  <si>
    <t>Until foe's turn ends: +20 DEF to all your cards in Reckoning</t>
  </si>
  <si>
    <t xml:space="preserve">Bulletproof Vest </t>
  </si>
  <si>
    <t>+15 DEF permanently for 1 exposed unit. If use on face-down card, flip it up.</t>
  </si>
  <si>
    <t>Siege Cannon</t>
  </si>
  <si>
    <t>Until the end of this turn, once, foe’s defending unit is destroyed.</t>
  </si>
  <si>
    <t>Assassinate</t>
  </si>
  <si>
    <t>Destroy 1 of foe’s exposed card</t>
  </si>
  <si>
    <t>Accident</t>
  </si>
  <si>
    <t>Destroy 1 of foe’s exposed card. If there is no exposed card, foe must choose the target. foe pays no cost.</t>
  </si>
  <si>
    <t>Berserk</t>
  </si>
  <si>
    <t>You gain 1 attack count until the end of this turn</t>
  </si>
  <si>
    <t>Radar</t>
  </si>
  <si>
    <t>Reveal 3 of foe’s cell</t>
  </si>
  <si>
    <t>Palace Party</t>
  </si>
  <si>
    <t>You reveal 1 face-down unit. Foe must reveal 1 of their face-down unit (if any)</t>
  </si>
  <si>
    <t>Essence Transfer</t>
  </si>
  <si>
    <t>You chooses 1 unit. Copy all its ATK&amp;DEF bonuses or debuffs to another ally unit (if valid) until the end of this turn.</t>
  </si>
  <si>
    <t>Blood Ritual</t>
  </si>
  <si>
    <t>Destroy 1 card on your side (No paid cost). Choose 1 of foe's exposed unit. Its ATK&amp;DEF becomes 0 permanently</t>
  </si>
  <si>
    <t>Arcane Duplication</t>
  </si>
  <si>
    <t>You. Choose 1 unit. Create a token copy of it on an empty cell. Destroy it at the end of your next turn.</t>
  </si>
  <si>
    <t xml:space="preserve">Time Travel </t>
  </si>
  <si>
    <t>Once only, revive 1 unit to any unoccupied or empty cell in exposed position. Double its Crystal cost.</t>
  </si>
  <si>
    <t>Resurrection</t>
  </si>
  <si>
    <t>Once, revive 1 unit. It has no ATK,DEF, or ability.</t>
  </si>
  <si>
    <t>Tech Copy</t>
  </si>
  <si>
    <t>Foe show 1 tech card in their hand. Add a copy of that card into your Tech Stack.</t>
  </si>
  <si>
    <t>Force Shield</t>
  </si>
  <si>
    <t>You selects 1 unit. It is not destroyed until the end of foe's turn</t>
  </si>
  <si>
    <t>Wisp Light</t>
  </si>
  <si>
    <t>Destroy as many ally ‘wisp’ units. Reveal that much cells on foe's side.</t>
  </si>
  <si>
    <t>Lucky Day</t>
  </si>
  <si>
    <t>Flip a coin. If head, receive 600 Crystals. Always head, if your Crystal is 1000 or less.</t>
  </si>
  <si>
    <t>Immortal Blood</t>
  </si>
  <si>
    <t>Revive 1 immortal vampire or vampire servant.</t>
  </si>
  <si>
    <t xml:space="preserve">Yin Yang Swap </t>
  </si>
  <si>
    <t>Swap ATK&amp;DEF on 1 exposed unit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</si>
  <si>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</si>
  <si>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</si>
  <si>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</si>
  <si>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</si>
  <si>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</si>
  <si>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</si>
  <si>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</si>
  <si>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</si>
  <si>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</si>
  <si>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Foe receive 50 Crystals</t>
  </si>
  <si>
    <t>Hired Spanker</t>
  </si>
  <si>
    <t xml:space="preserve">Until the end of foe's turn, if foe attack a bluffed cell, foe receive 800 Crystals. </t>
  </si>
  <si>
    <t>Tax Avoidance</t>
  </si>
  <si>
    <t>End your turn without paying tax (the tax penalty still doubles)</t>
  </si>
  <si>
    <t>Compensation</t>
  </si>
  <si>
    <t>This turn, whenever you attack a Dead End, you receive 100 Crystals</t>
  </si>
  <si>
    <t>Phony Fight</t>
  </si>
  <si>
    <t>-10 DEF to 1 exposed unit on foe’s side until the end of this turn. Foe receive 500 Crystals</t>
  </si>
  <si>
    <t>Borrow</t>
  </si>
  <si>
    <t>Receive 200 Crystals. At the end of your next turn, you lose 300 Crystals</t>
  </si>
  <si>
    <t>Flimsy Axe</t>
  </si>
  <si>
    <t>Flip a coin. If head, +5 ATK to 1 ally unit until this turn ends.</t>
  </si>
  <si>
    <t>Flimsy Shield</t>
  </si>
  <si>
    <t>Flip a coin. If head, +5 DEF to 1 ally unit until this turn ends.</t>
  </si>
  <si>
    <t>All-out Tactics</t>
  </si>
  <si>
    <t>+10 ATK to one ally unit permanently. But its DEF becomes 0 permanently.</t>
  </si>
  <si>
    <t>Fair Fight</t>
  </si>
  <si>
    <t>Both players select 1 of their unit. They gain +10 ATK&amp;DEF permanently</t>
  </si>
  <si>
    <t>Loan</t>
  </si>
  <si>
    <t>Receive 600 Crystals. At the end of your next turn, you lose 900 Crystals</t>
  </si>
  <si>
    <t>Old Spear</t>
  </si>
  <si>
    <t>+5 ATK to 1 ally unit until this turn ends.</t>
  </si>
  <si>
    <t>Old Shield</t>
  </si>
  <si>
    <t>+5 DEF to 1 ally unit until this turn ends.</t>
  </si>
  <si>
    <t>Provoke</t>
  </si>
  <si>
    <t xml:space="preserve">At the end of foe’s turn, foe must attack the selected cell first. </t>
  </si>
  <si>
    <t>Mortgage</t>
  </si>
  <si>
    <t>Receive 1200 Crystals. At the end of your next turn, you lose 1700 Crystals</t>
  </si>
  <si>
    <t>Pretify</t>
  </si>
  <si>
    <t>+20 DEF permanently to ally unit or foe’s exposed unit. But its ATK becomes 0 permanently.</t>
  </si>
  <si>
    <t>Stone Skin</t>
  </si>
  <si>
    <t>+20 DEF permanently to ally unit. But its ATK becomes 0 permanently.</t>
  </si>
  <si>
    <t>Battle Royale</t>
  </si>
  <si>
    <t>Both players select 1 of their unit. They gain +30 ATK&amp;DEF</t>
  </si>
  <si>
    <t>Guerrilla Tactics</t>
  </si>
  <si>
    <t>Until the end of foe's turn, If they attack a non-unit card, flip a coin. Head: destroy the attacking unit.</t>
  </si>
  <si>
    <t>Toll</t>
  </si>
  <si>
    <t>Until the end of foe's turn, they have to pay 500 Crystal tax to perform an attack.</t>
  </si>
  <si>
    <t>Forest Fire</t>
  </si>
  <si>
    <t>Destroy all Nature cards on foe's side. Discard all of your Tech cards.</t>
  </si>
  <si>
    <t>Black Hole</t>
  </si>
  <si>
    <t>Destroy all Cosmo cards on foe's side. Discard all of your Tech cards.</t>
  </si>
  <si>
    <t>Holy Arrival</t>
  </si>
  <si>
    <t>Destroy all Chaos cards on foe's side. Discard all of your Tech cards.</t>
  </si>
  <si>
    <t>Corrupted Heaven</t>
  </si>
  <si>
    <t>Destroy all Divine cards on foe's side. Discard all of your Tech cards.</t>
  </si>
  <si>
    <t>Earthquake</t>
  </si>
  <si>
    <t>Destroy all Anima cards on foe's side. Discard all of your Tech cards.</t>
  </si>
  <si>
    <t>Lab Destruction</t>
  </si>
  <si>
    <t>Destroy all Bio cards on foe's side. Discard all of your Tech cards.</t>
  </si>
  <si>
    <t>Anti-magic Field</t>
  </si>
  <si>
    <t>Destroy all Arcane cards on foe's side. Discard all of your Tech cards.</t>
  </si>
  <si>
    <t>Air Shower</t>
  </si>
  <si>
    <t>Clear all flags on the field</t>
  </si>
  <si>
    <t>Mining Tax</t>
  </si>
  <si>
    <t>Until the end of foe’s turn, if any player attacks a Dead End, that player loses 200 Crystals</t>
  </si>
  <si>
    <t>Ouija</t>
  </si>
  <si>
    <t>Reveal foe’s cells up to number of your unit in the void.</t>
  </si>
  <si>
    <t>Deep Mine</t>
  </si>
  <si>
    <t>Flip a coin. Head: Reveal 2 cells on the foe's side.</t>
  </si>
  <si>
    <t>Gold Panning</t>
  </si>
  <si>
    <t>Flip a coin. Head: Reveal 1 cell on the foe's side.</t>
  </si>
  <si>
    <t>Flashlight</t>
  </si>
  <si>
    <t>Reveal 1 column on foe’s side. Cannot perform attack this turn. Cannot use this card if already attacked this turn.</t>
  </si>
  <si>
    <t>Lantern</t>
  </si>
  <si>
    <t>Reveal 2 adjacent cells on foe's side.</t>
  </si>
  <si>
    <t>GPS Tracker</t>
  </si>
  <si>
    <t>Reveal 2 adjacent cells next to exposed unit on foe's side.</t>
  </si>
  <si>
    <t>Blessing</t>
  </si>
  <si>
    <t>Clear all flags from 1 unit on either side of the field.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</si>
  <si>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</si>
  <si>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</si>
  <si>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</si>
  <si>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</si>
  <si>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</si>
  <si>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Once, your attacking unit can attack twice. But it cannot attack again until the end of your next turn.</t>
  </si>
  <si>
    <t>Need Revise</t>
  </si>
  <si>
    <t>Full open fire</t>
  </si>
  <si>
    <t>Both players gain 2 additional attack for one of your turn.</t>
  </si>
  <si>
    <t>Service Charge</t>
  </si>
  <si>
    <t>Until the end of foe's turn. Foe have to pay 50 Crystal tax to perform an attack.</t>
  </si>
  <si>
    <t>Lazy Scout</t>
  </si>
  <si>
    <t>Reveal 1 foe’s cell. You cannot perform any attack. Cannot use this card if already attacked.</t>
  </si>
  <si>
    <t>Last Gambit</t>
  </si>
  <si>
    <t>If you has 5 or less cards on your side, destroy 1 foe’s card.</t>
  </si>
  <si>
    <t>Trash Penalty</t>
  </si>
  <si>
    <t>Foe chooses either clearing all of their bluffs and flags, or they lose 500 crystals</t>
  </si>
  <si>
    <t>Silence Zone</t>
  </si>
  <si>
    <t>Clear all bluffs from both players. No one can use bluff ever again during this duel.</t>
  </si>
  <si>
    <t>Bare Fist Fight</t>
  </si>
  <si>
    <t>Both players select and discard 1 tech card from their hand.</t>
  </si>
  <si>
    <t>Mine Detector</t>
  </si>
  <si>
    <t>Reveal 1 card on foe's side. If it’s a trap, destroy it and gain 200 Crystals</t>
  </si>
  <si>
    <t>Natural Healing</t>
  </si>
  <si>
    <t>If all exposed ally units are Nature card, gain 50 Crystals for each of them</t>
  </si>
  <si>
    <t>Third Eye</t>
  </si>
  <si>
    <t>If this is the last tech card on your hand, reveal 3 cards on foe's side</t>
  </si>
  <si>
    <t>Punching Bag</t>
  </si>
  <si>
    <t>1 ally unit’s ATK&amp;DEF becomes 0 permanently. It cannot be destroyed until the end of foe’s turn.</t>
  </si>
  <si>
    <t>Scattered Shot</t>
  </si>
  <si>
    <t>Flip 3 coins. Destroy foe’s exposed unit equal to number of heads. foe pays no cost.</t>
  </si>
  <si>
    <t>Spotlight</t>
  </si>
  <si>
    <t>Flip 5 coins. Reveal foe’s cell equal to number of heads</t>
  </si>
  <si>
    <t>Tight Door</t>
  </si>
  <si>
    <t>Next turn, foe can attack only once</t>
  </si>
  <si>
    <t>Katana Strike</t>
  </si>
  <si>
    <t>Select 1 exposed foe’s card. Destroy other exposed cards on that same columns as the selected cell. Foe pays no cost</t>
  </si>
  <si>
    <t>Mining Season</t>
  </si>
  <si>
    <t>Until foe’s turn ends, both players can only target face-down card</t>
  </si>
  <si>
    <t>Throne Duel</t>
  </si>
  <si>
    <t>Until foe’s turn ends, both players can only attack with unit with 800 or more cost. Cannot use if already attacked.</t>
  </si>
  <si>
    <t>Joint Maneuver</t>
  </si>
  <si>
    <t>Until foe’s turn ends, both players can only attack with unit with 600 or less cost. Cannot use if already attacked.</t>
  </si>
  <si>
    <t>Pillow Fight</t>
  </si>
  <si>
    <t>Until foe’s turn ends, both players can only attack with unit with 300 or less cost. Cannot use if already attacked.</t>
  </si>
  <si>
    <t>Army Reformation</t>
  </si>
  <si>
    <t xml:space="preserve">Swap or relocate 1 unit to any cell. </t>
  </si>
  <si>
    <t>Institutionalization</t>
  </si>
  <si>
    <t>Target 1 unit on either’s side. Its ability becomes None until foe’s turn ends</t>
  </si>
  <si>
    <t>Potent Poison</t>
  </si>
  <si>
    <t>Select 1 card with Venom Flag. Double its cost, then destroy it.</t>
  </si>
  <si>
    <t>Railgun Ammo</t>
  </si>
  <si>
    <t>Once, your Railgun card’s ATK is doubled in Reckoning</t>
  </si>
  <si>
    <t>Inflation</t>
  </si>
  <si>
    <t>Select 1 exposed unit on the field. Double its cost permanently</t>
  </si>
  <si>
    <t>Conscription</t>
  </si>
  <si>
    <t>All Anima unit costs are halved until the start of your next turn.</t>
  </si>
  <si>
    <t>Dark Ritual</t>
  </si>
  <si>
    <t>Destroy 1 of your Chaos units. You do not pay cost.</t>
  </si>
  <si>
    <t>Arcanization</t>
  </si>
  <si>
    <t>Select 1 unit on either player’s field, that unit becomes Arcane Affinity until the end of this turn</t>
  </si>
  <si>
    <t>CMB Wave</t>
  </si>
  <si>
    <t>Choose either: Reveal 1 of your Cosmic unit, or +5 ATK to all of your unit per 2 cards revealed on your side</t>
  </si>
  <si>
    <t>Bloody Machete</t>
  </si>
  <si>
    <t>If you have ‘Bloody Mask’ on your side, destroy 1 face-up unit.</t>
  </si>
  <si>
    <t>Simple Unity</t>
  </si>
  <si>
    <t>If you have Union card with None ability, destroy 1 card on the field.</t>
  </si>
  <si>
    <t>Nanomites Outbreak</t>
  </si>
  <si>
    <t>Double cost of foe’s unit up to number of Nanomites unit on your side</t>
  </si>
  <si>
    <t>Zombie Outbreak</t>
  </si>
  <si>
    <t>Foe’s unit up to number of Mutant or Zombie unit on your side, get -50 DEF</t>
  </si>
  <si>
    <t>Europa Supply</t>
  </si>
  <si>
    <t>Put 1 Europa Flag on your unit</t>
  </si>
  <si>
    <t>Simple Sword</t>
  </si>
  <si>
    <t>+20 ATK&amp;DEF to 1 unit on your side with None ability until the end of foe’s turn</t>
  </si>
  <si>
    <t>Slim Gray Ray</t>
  </si>
  <si>
    <t>If you have 1 face-up Slim Gray on your side, both player reveal 1 of their own cells</t>
  </si>
  <si>
    <t>Oni Slam</t>
  </si>
  <si>
    <t>If you have face-up Oni card on your side, destroy 1 card on your foe’s field.</t>
  </si>
  <si>
    <t>Knight’s Oath</t>
  </si>
  <si>
    <t>Until the end of foe's turn, Knight units are not destroyed.</t>
  </si>
  <si>
    <t>Advanced Medicine</t>
  </si>
  <si>
    <t>If you have face-up Doctor or Healer card on your field, you gain 1800 crystals</t>
  </si>
  <si>
    <t>Warrior’s Oath</t>
  </si>
  <si>
    <t>Select 1 face-up Warrior card on your side, it gain +40 ATK</t>
  </si>
  <si>
    <t>Dragon’s Breath</t>
  </si>
  <si>
    <t>If you have face-up Dragon card on your field, destroy 2 cards on the field. Foe pay no cost.</t>
  </si>
  <si>
    <t>Elemental Recycle</t>
  </si>
  <si>
    <t>Select 1 face-up Elemental card on your side, destroy it without paying cost. You gain 500 crystals</t>
  </si>
  <si>
    <t>Princess Ballroom</t>
  </si>
  <si>
    <t>Put up to 3 princess flag on units on your side.</t>
  </si>
  <si>
    <t>Princess Magic</t>
  </si>
  <si>
    <t>Once, any unit in Reckoning with unit with princess flag is destroyed.</t>
  </si>
  <si>
    <t>Monarch’s Ascendry</t>
  </si>
  <si>
    <t>Until the end of foe’s turn, King, Queen, Emperor, Empress card on your side gain 50 ATK&amp;DEF</t>
  </si>
  <si>
    <t>Four Tower</t>
  </si>
  <si>
    <t>Until the end of foe's turn, the corner cells on your grid is not targetable</t>
  </si>
  <si>
    <t>Safe House</t>
  </si>
  <si>
    <t>Select 1 cell on your grid. Until the end of foe's turn, the very selected grid is not targetable</t>
  </si>
  <si>
    <t>Cremation</t>
  </si>
  <si>
    <t xml:space="preserve">Destroy all revived units and token copies on the field. </t>
  </si>
  <si>
    <t>Winter Sale</t>
  </si>
  <si>
    <t>All unit cost on the field are halved until the end of foe’s turn.</t>
  </si>
  <si>
    <t>Staff Rotation</t>
  </si>
  <si>
    <t>Relocate two of your units</t>
  </si>
  <si>
    <t>Eviction</t>
  </si>
  <si>
    <t>Relocate two of foe’s face-up units</t>
  </si>
  <si>
    <t>Lex Purgatoria</t>
  </si>
  <si>
    <t>Until the end of foe’s turn, destroy any Arcane unit in Reckoning with Anima units.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</si>
  <si>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</si>
  <si>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</si>
  <si>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</si>
  <si>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</si>
  <si>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</si>
  <si>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</si>
  <si>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</si>
  <si>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</si>
  <si>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</si>
  <si>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</si>
  <si>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</si>
  <si>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</si>
  <si>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</si>
  <si>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</si>
  <si>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</si>
  <si>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</si>
  <si>
    <t>Old</t>
  </si>
  <si>
    <t>New</t>
  </si>
  <si>
    <t>Foe</t>
  </si>
  <si>
    <t>foe</t>
  </si>
  <si>
    <t>Battle calculation</t>
  </si>
  <si>
    <t>Reckoning</t>
  </si>
  <si>
    <t>Cannot attack</t>
  </si>
  <si>
    <t>wait</t>
  </si>
  <si>
    <t>ATK&amp;DEF</t>
  </si>
  <si>
    <t>If head</t>
  </si>
  <si>
    <t>Head:</t>
  </si>
  <si>
    <t>If tail</t>
  </si>
  <si>
    <t>Tail:</t>
  </si>
  <si>
    <t>Square, grid</t>
  </si>
  <si>
    <t>cell</t>
  </si>
  <si>
    <t>exposed</t>
  </si>
  <si>
    <t>Exposed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</si>
</sst>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7"/>
      </left>
      <right style="thin">
        <color indexed="13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3" borderId="11" applyNumberFormat="1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3" fillId="6" borderId="1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4" applyNumberFormat="1" applyFont="1" applyFill="1" applyBorder="1" applyAlignment="1" applyProtection="0">
      <alignment horizontal="center" vertical="center" wrapText="1" readingOrder="1"/>
    </xf>
    <xf numFmtId="49" fontId="5" fillId="2" borderId="5" applyNumberFormat="1" applyFont="1" applyFill="1" applyBorder="1" applyAlignment="1" applyProtection="0">
      <alignment vertical="center" wrapText="1" readingOrder="1"/>
    </xf>
    <xf numFmtId="0" fontId="5" fillId="2" borderId="6" applyNumberFormat="1" applyFont="1" applyFill="1" applyBorder="1" applyAlignment="1" applyProtection="0">
      <alignment vertical="center" wrapText="1" readingOrder="1"/>
    </xf>
    <xf numFmtId="59" fontId="5" fillId="2" borderId="7" applyNumberFormat="1" applyFont="1" applyFill="1" applyBorder="1" applyAlignment="1" applyProtection="0">
      <alignment vertical="center" wrapText="1" readingOrder="1"/>
    </xf>
    <xf numFmtId="49" fontId="5" fillId="2" borderId="7" applyNumberFormat="1" applyFont="1" applyFill="1" applyBorder="1" applyAlignment="1" applyProtection="0">
      <alignment vertical="center" wrapText="1" readingOrder="1"/>
    </xf>
    <xf numFmtId="0" fontId="5" fillId="2" borderId="7" applyNumberFormat="1" applyFont="1" applyFill="1" applyBorder="1" applyAlignment="1" applyProtection="0">
      <alignment vertical="center" wrapText="1" readingOrder="1"/>
    </xf>
    <xf numFmtId="49" fontId="5" fillId="2" borderId="8" applyNumberFormat="1" applyFont="1" applyFill="1" applyBorder="1" applyAlignment="1" applyProtection="0">
      <alignment vertical="center" wrapText="1" readingOrder="1"/>
    </xf>
    <xf numFmtId="0" fontId="5" fillId="2" borderId="9" applyNumberFormat="1" applyFont="1" applyFill="1" applyBorder="1" applyAlignment="1" applyProtection="0">
      <alignment vertical="center" wrapText="1" readingOrder="1"/>
    </xf>
    <xf numFmtId="59" fontId="5" fillId="2" borderId="10" applyNumberFormat="1" applyFont="1" applyFill="1" applyBorder="1" applyAlignment="1" applyProtection="0">
      <alignment vertical="center" wrapText="1" readingOrder="1"/>
    </xf>
    <xf numFmtId="49" fontId="5" fillId="2" borderId="10" applyNumberFormat="1" applyFont="1" applyFill="1" applyBorder="1" applyAlignment="1" applyProtection="0">
      <alignment vertical="center" wrapText="1" readingOrder="1"/>
    </xf>
    <xf numFmtId="0" fontId="5" fillId="2" borderId="10" applyNumberFormat="1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vertical="center" wrapText="1" readingOrder="1"/>
    </xf>
    <xf numFmtId="0" fontId="4" fillId="2" borderId="9" applyNumberFormat="1" applyFont="1" applyFill="1" applyBorder="1" applyAlignment="1" applyProtection="0">
      <alignment vertical="center" wrapText="1" readingOrder="1"/>
    </xf>
    <xf numFmtId="59" fontId="4" fillId="2" borderId="10" applyNumberFormat="1" applyFont="1" applyFill="1" applyBorder="1" applyAlignment="1" applyProtection="0">
      <alignment vertical="center" wrapText="1" readingOrder="1"/>
    </xf>
    <xf numFmtId="0" fontId="4" fillId="2" borderId="8" applyNumberFormat="0" applyFont="1" applyFill="1" applyBorder="1" applyAlignment="1" applyProtection="0">
      <alignment vertical="center" wrapText="1" readingOrder="1"/>
    </xf>
    <xf numFmtId="0" fontId="4" fillId="2" borderId="9" applyNumberFormat="0" applyFont="1" applyFill="1" applyBorder="1" applyAlignment="1" applyProtection="0">
      <alignment vertical="center" wrapText="1" readingOrder="1"/>
    </xf>
    <xf numFmtId="0" fontId="4" fillId="2" borderId="10" applyNumberFormat="0" applyFont="1" applyFill="1" applyBorder="1" applyAlignment="1" applyProtection="0">
      <alignment vertical="center" wrapText="1" readingOrder="1"/>
    </xf>
    <xf numFmtId="0" fontId="5" fillId="2" borderId="10" applyNumberFormat="0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horizontal="center" vertical="center" wrapText="1" readingOrder="1"/>
    </xf>
    <xf numFmtId="49" fontId="4" fillId="2" borderId="9" applyNumberFormat="1" applyFont="1" applyFill="1" applyBorder="1" applyAlignment="1" applyProtection="0">
      <alignment horizontal="center" vertical="center" wrapText="1" readingOrder="1"/>
    </xf>
    <xf numFmtId="0" fontId="4" fillId="2" borderId="10" applyNumberFormat="0" applyFont="1" applyFill="1" applyBorder="1" applyAlignment="1" applyProtection="0">
      <alignment horizontal="center" vertical="center" wrapText="1" readingOrder="1"/>
    </xf>
    <xf numFmtId="49" fontId="4" fillId="2" borderId="10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3" fillId="4" borderId="5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dbdbdb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74.5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s="6"/>
      <c r="D2" s="6"/>
      <c r="E2" s="6"/>
    </row>
    <row r="3" ht="20.25" customHeight="1">
      <c r="A3" t="s" s="7">
        <v>3</v>
      </c>
      <c r="B3" t="s" s="8">
        <v>4</v>
      </c>
      <c r="C3" s="9"/>
      <c r="D3" s="9"/>
      <c r="E3" s="9"/>
    </row>
    <row r="4" ht="20.05" customHeight="1">
      <c r="A4" t="s" s="10">
        <v>5</v>
      </c>
      <c r="B4" t="s" s="11">
        <v>6</v>
      </c>
      <c r="C4" s="12"/>
      <c r="D4" s="12"/>
      <c r="E4" s="12"/>
    </row>
    <row r="5" ht="20.05" customHeight="1">
      <c r="A5" t="s" s="10">
        <v>7</v>
      </c>
      <c r="B5" t="s" s="11">
        <v>8</v>
      </c>
      <c r="C5" s="12"/>
      <c r="D5" s="12"/>
      <c r="E5" s="12"/>
    </row>
    <row r="6" ht="20.05" customHeight="1">
      <c r="A6" t="s" s="10">
        <v>9</v>
      </c>
      <c r="B6" t="s" s="11">
        <v>10</v>
      </c>
      <c r="C6" s="12"/>
      <c r="D6" s="12"/>
      <c r="E6" s="12"/>
    </row>
    <row r="7" ht="20.05" customHeight="1">
      <c r="A7" t="s" s="10">
        <v>11</v>
      </c>
      <c r="B7" t="s" s="11">
        <v>12</v>
      </c>
      <c r="C7" s="12"/>
      <c r="D7" s="12"/>
      <c r="E7" s="12"/>
    </row>
    <row r="8" ht="20.05" customHeight="1">
      <c r="A8" t="s" s="10">
        <v>13</v>
      </c>
      <c r="B8" t="s" s="11">
        <v>14</v>
      </c>
      <c r="C8" s="12"/>
      <c r="D8" s="12"/>
      <c r="E8" s="12"/>
    </row>
    <row r="9" ht="20.05" customHeight="1">
      <c r="A9" t="s" s="10">
        <v>15</v>
      </c>
      <c r="B9" t="s" s="11">
        <v>16</v>
      </c>
      <c r="C9" s="12"/>
      <c r="D9" s="12"/>
      <c r="E9" s="12"/>
    </row>
    <row r="10" ht="20.05" customHeight="1">
      <c r="A10" s="13"/>
      <c r="B10" s="14"/>
      <c r="C10" s="12"/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599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3672" style="15" customWidth="1"/>
    <col min="2" max="2" width="9.67188" style="15" customWidth="1"/>
    <col min="3" max="3" width="5.17188" style="15" customWidth="1"/>
    <col min="4" max="4" width="6.17188" style="15" customWidth="1"/>
    <col min="5" max="5" width="4.85156" style="15" customWidth="1"/>
    <col min="6" max="6" width="8.35156" style="15" customWidth="1"/>
    <col min="7" max="7" width="6.17188" style="15" customWidth="1"/>
    <col min="8" max="8" width="28.625" style="15" customWidth="1"/>
    <col min="9" max="9" width="9.35156" style="15" customWidth="1"/>
    <col min="10" max="14" width="14.5" style="15" customWidth="1"/>
    <col min="15" max="16" width="16.3516" style="15" customWidth="1"/>
    <col min="17" max="16384" width="16.3516" style="1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"&amp;COUNTIF(N3:N599,"Yes")</f>
        <v>29</v>
      </c>
      <c r="O2" t="s" s="5">
        <f>"Booster Pack - Unseen Presence / "&amp;COUNTIF(O3:O599,"Yes")</f>
        <v>30</v>
      </c>
      <c r="P2" t="s" s="5">
        <f>"Booster Pack - Wind of Dominance / "&amp;COUNTIF(P3:P599,"Yes")</f>
        <v>31</v>
      </c>
    </row>
    <row r="3" ht="20.25" customHeight="1">
      <c r="A3" t="s" s="7">
        <v>32</v>
      </c>
      <c r="B3" t="s" s="8">
        <v>33</v>
      </c>
      <c r="C3" s="16">
        <v>900</v>
      </c>
      <c r="D3" s="16">
        <v>80</v>
      </c>
      <c r="E3" s="16">
        <v>0</v>
      </c>
      <c r="F3" t="s" s="17">
        <v>7</v>
      </c>
      <c r="G3" s="16">
        <v>4</v>
      </c>
      <c r="H3" t="s" s="17">
        <v>34</v>
      </c>
      <c r="I3" s="9"/>
      <c r="J3" t="s" s="17">
        <v>35</v>
      </c>
      <c r="K3" s="16">
        <f>(D3*6)+(E3*4)</f>
        <v>480</v>
      </c>
      <c r="L3" t="s" s="17">
        <v>35</v>
      </c>
      <c r="M3" s="9"/>
      <c r="N3" s="9"/>
      <c r="O3" s="9"/>
      <c r="P3" t="s" s="17">
        <v>35</v>
      </c>
    </row>
    <row r="4" ht="20.05" customHeight="1">
      <c r="A4" t="s" s="10">
        <v>36</v>
      </c>
      <c r="B4" t="s" s="11">
        <v>33</v>
      </c>
      <c r="C4" s="18">
        <v>1000</v>
      </c>
      <c r="D4" s="18">
        <v>40</v>
      </c>
      <c r="E4" s="18">
        <v>90</v>
      </c>
      <c r="F4" t="s" s="19">
        <v>3</v>
      </c>
      <c r="G4" s="18">
        <v>4</v>
      </c>
      <c r="H4" t="s" s="19">
        <v>37</v>
      </c>
      <c r="I4" s="12"/>
      <c r="J4" t="s" s="19">
        <v>35</v>
      </c>
      <c r="K4" s="18">
        <f>(D4*6)+(E4*4)</f>
        <v>600</v>
      </c>
      <c r="L4" t="s" s="19">
        <v>35</v>
      </c>
      <c r="M4" s="12"/>
      <c r="N4" t="s" s="19">
        <v>35</v>
      </c>
      <c r="O4" s="12"/>
      <c r="P4" t="s" s="19">
        <v>35</v>
      </c>
    </row>
    <row r="5" ht="32.05" customHeight="1">
      <c r="A5" t="s" s="10">
        <v>38</v>
      </c>
      <c r="B5" t="s" s="11">
        <v>33</v>
      </c>
      <c r="C5" s="18">
        <v>600</v>
      </c>
      <c r="D5" s="18">
        <v>60</v>
      </c>
      <c r="E5" s="18">
        <v>60</v>
      </c>
      <c r="F5" t="s" s="19">
        <v>15</v>
      </c>
      <c r="G5" s="18">
        <v>3</v>
      </c>
      <c r="H5" t="s" s="19">
        <v>39</v>
      </c>
      <c r="I5" s="12"/>
      <c r="J5" t="s" s="19">
        <v>35</v>
      </c>
      <c r="K5" s="18">
        <f>(D5*6)+(E5*4)</f>
        <v>600</v>
      </c>
      <c r="L5" t="s" s="19">
        <v>35</v>
      </c>
      <c r="M5" s="12"/>
      <c r="N5" t="s" s="19">
        <v>35</v>
      </c>
      <c r="O5" s="12"/>
      <c r="P5" t="s" s="19">
        <v>35</v>
      </c>
    </row>
    <row r="6" ht="32.05" customHeight="1">
      <c r="A6" t="s" s="10">
        <v>40</v>
      </c>
      <c r="B6" t="s" s="11">
        <v>33</v>
      </c>
      <c r="C6" s="18">
        <v>800</v>
      </c>
      <c r="D6" s="18">
        <v>50</v>
      </c>
      <c r="E6" s="18">
        <v>50</v>
      </c>
      <c r="F6" t="s" s="19">
        <v>15</v>
      </c>
      <c r="G6" s="18">
        <v>3</v>
      </c>
      <c r="H6" t="s" s="19">
        <v>41</v>
      </c>
      <c r="I6" s="12"/>
      <c r="J6" t="s" s="19">
        <v>35</v>
      </c>
      <c r="K6" s="18">
        <f>(D6*6)+(E6*4)</f>
        <v>500</v>
      </c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42</v>
      </c>
      <c r="B7" t="s" s="11">
        <v>33</v>
      </c>
      <c r="C7" s="18">
        <v>1000</v>
      </c>
      <c r="D7" s="18">
        <v>70</v>
      </c>
      <c r="E7" s="18">
        <v>90</v>
      </c>
      <c r="F7" t="s" s="19">
        <v>15</v>
      </c>
      <c r="G7" s="18">
        <v>3</v>
      </c>
      <c r="H7" t="s" s="19">
        <v>43</v>
      </c>
      <c r="I7" s="12"/>
      <c r="J7" t="s" s="19">
        <v>35</v>
      </c>
      <c r="K7" s="18">
        <f>(D7*6)+(E7*4)</f>
        <v>780</v>
      </c>
      <c r="L7" t="s" s="19">
        <v>35</v>
      </c>
      <c r="M7" s="12"/>
      <c r="N7" s="12"/>
      <c r="O7" s="12"/>
      <c r="P7" s="12"/>
    </row>
    <row r="8" ht="20.05" customHeight="1">
      <c r="A8" t="s" s="10">
        <v>44</v>
      </c>
      <c r="B8" t="s" s="11">
        <v>33</v>
      </c>
      <c r="C8" s="18">
        <v>750</v>
      </c>
      <c r="D8" s="18">
        <v>70</v>
      </c>
      <c r="E8" s="18">
        <v>30</v>
      </c>
      <c r="F8" t="s" s="19">
        <v>9</v>
      </c>
      <c r="G8" s="18">
        <v>3</v>
      </c>
      <c r="H8" t="s" s="19">
        <v>39</v>
      </c>
      <c r="I8" s="12"/>
      <c r="J8" t="s" s="19">
        <v>35</v>
      </c>
      <c r="K8" s="18">
        <f>(D8*6)+(E8*4)</f>
        <v>540</v>
      </c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45</v>
      </c>
      <c r="B9" t="s" s="11">
        <v>33</v>
      </c>
      <c r="C9" s="18">
        <v>480</v>
      </c>
      <c r="D9" s="18">
        <v>30</v>
      </c>
      <c r="E9" s="18">
        <v>0</v>
      </c>
      <c r="F9" t="s" s="19">
        <v>9</v>
      </c>
      <c r="G9" s="18">
        <v>2</v>
      </c>
      <c r="H9" t="s" s="19">
        <v>46</v>
      </c>
      <c r="I9" s="12"/>
      <c r="J9" t="s" s="19">
        <v>35</v>
      </c>
      <c r="K9" s="18">
        <f>(D9*6)+(E9*4)</f>
        <v>180</v>
      </c>
      <c r="L9" t="s" s="19">
        <v>35</v>
      </c>
      <c r="M9" s="12"/>
      <c r="N9" t="s" s="19">
        <v>35</v>
      </c>
      <c r="O9" s="12"/>
      <c r="P9" s="12"/>
    </row>
    <row r="10" ht="20.05" customHeight="1">
      <c r="A10" t="s" s="10">
        <v>47</v>
      </c>
      <c r="B10" t="s" s="11">
        <v>33</v>
      </c>
      <c r="C10" s="18">
        <v>720</v>
      </c>
      <c r="D10" s="18">
        <v>60</v>
      </c>
      <c r="E10" s="18">
        <v>85</v>
      </c>
      <c r="F10" t="s" s="19">
        <v>9</v>
      </c>
      <c r="G10" s="18">
        <v>3</v>
      </c>
      <c r="H10" t="s" s="19">
        <v>39</v>
      </c>
      <c r="I10" s="12"/>
      <c r="J10" t="s" s="19">
        <v>35</v>
      </c>
      <c r="K10" s="18">
        <f>(D10*6)+(E10*4)</f>
        <v>700</v>
      </c>
      <c r="L10" t="s" s="19">
        <v>35</v>
      </c>
      <c r="M10" s="12"/>
      <c r="N10" s="12"/>
      <c r="O10" t="s" s="19">
        <v>35</v>
      </c>
      <c r="P10" s="12"/>
    </row>
    <row r="11" ht="20.05" customHeight="1">
      <c r="A11" t="s" s="10">
        <v>48</v>
      </c>
      <c r="B11" t="s" s="11">
        <v>33</v>
      </c>
      <c r="C11" s="18">
        <v>1200</v>
      </c>
      <c r="D11" s="18">
        <v>80</v>
      </c>
      <c r="E11" s="18">
        <v>40</v>
      </c>
      <c r="F11" t="s" s="19">
        <v>3</v>
      </c>
      <c r="G11" s="18">
        <v>3</v>
      </c>
      <c r="H11" t="s" s="19">
        <v>49</v>
      </c>
      <c r="I11" s="12"/>
      <c r="J11" t="s" s="19">
        <v>35</v>
      </c>
      <c r="K11" s="18">
        <f>(D11*6)+(E11*4)</f>
        <v>640</v>
      </c>
      <c r="L11" s="12"/>
      <c r="M11" s="12"/>
      <c r="N11" s="12"/>
      <c r="O11" s="12"/>
      <c r="P11" s="12"/>
    </row>
    <row r="12" ht="20.05" customHeight="1">
      <c r="A12" t="s" s="10">
        <v>50</v>
      </c>
      <c r="B12" t="s" s="11">
        <v>33</v>
      </c>
      <c r="C12" s="18">
        <v>100</v>
      </c>
      <c r="D12" s="18">
        <v>20</v>
      </c>
      <c r="E12" s="18">
        <v>0</v>
      </c>
      <c r="F12" t="s" s="19">
        <v>5</v>
      </c>
      <c r="G12" s="18">
        <v>1</v>
      </c>
      <c r="H12" t="s" s="19">
        <v>39</v>
      </c>
      <c r="I12" s="12"/>
      <c r="J12" t="s" s="19">
        <v>35</v>
      </c>
      <c r="K12" s="18">
        <f>(D12*6)+(E12*4)</f>
        <v>120</v>
      </c>
      <c r="L12" t="s" s="19">
        <v>35</v>
      </c>
      <c r="M12" s="12"/>
      <c r="N12" s="19"/>
      <c r="O12" s="12"/>
      <c r="P12" s="12"/>
    </row>
    <row r="13" ht="20.05" customHeight="1">
      <c r="A13" t="s" s="10">
        <v>51</v>
      </c>
      <c r="B13" t="s" s="11">
        <v>33</v>
      </c>
      <c r="C13" s="18">
        <v>100</v>
      </c>
      <c r="D13" s="18">
        <v>0</v>
      </c>
      <c r="E13" s="18">
        <v>25</v>
      </c>
      <c r="F13" t="s" s="19">
        <v>5</v>
      </c>
      <c r="G13" s="18">
        <v>1</v>
      </c>
      <c r="H13" t="s" s="19">
        <v>39</v>
      </c>
      <c r="I13" s="12"/>
      <c r="J13" t="s" s="19">
        <v>35</v>
      </c>
      <c r="K13" s="18">
        <f>(D13*6)+(E13*4)</f>
        <v>100</v>
      </c>
      <c r="L13" t="s" s="19">
        <v>35</v>
      </c>
      <c r="M13" s="12"/>
      <c r="N13" t="s" s="19">
        <v>35</v>
      </c>
      <c r="O13" s="12"/>
      <c r="P13" s="12"/>
    </row>
    <row r="14" ht="20.05" customHeight="1">
      <c r="A14" t="s" s="10">
        <v>52</v>
      </c>
      <c r="B14" t="s" s="11">
        <v>33</v>
      </c>
      <c r="C14" s="18">
        <v>100</v>
      </c>
      <c r="D14" s="18">
        <v>15</v>
      </c>
      <c r="E14" s="18">
        <v>15</v>
      </c>
      <c r="F14" t="s" s="19">
        <v>5</v>
      </c>
      <c r="G14" s="18">
        <v>1</v>
      </c>
      <c r="H14" t="s" s="19">
        <v>39</v>
      </c>
      <c r="I14" s="12"/>
      <c r="J14" t="s" s="19">
        <v>35</v>
      </c>
      <c r="K14" s="18">
        <f>(D14*6)+(E14*4)</f>
        <v>150</v>
      </c>
      <c r="L14" t="s" s="19">
        <v>35</v>
      </c>
      <c r="M14" s="12"/>
      <c r="N14" t="s" s="19">
        <v>35</v>
      </c>
      <c r="O14" s="12"/>
      <c r="P14" s="12"/>
    </row>
    <row r="15" ht="32.05" customHeight="1">
      <c r="A15" t="s" s="10">
        <v>53</v>
      </c>
      <c r="B15" t="s" s="11">
        <v>33</v>
      </c>
      <c r="C15" s="18">
        <v>900</v>
      </c>
      <c r="D15" s="18">
        <v>30</v>
      </c>
      <c r="E15" s="18">
        <v>30</v>
      </c>
      <c r="F15" t="s" s="19">
        <v>5</v>
      </c>
      <c r="G15" s="18">
        <v>3</v>
      </c>
      <c r="H15" t="s" s="19">
        <v>54</v>
      </c>
      <c r="I15" s="12"/>
      <c r="J15" t="s" s="19">
        <v>35</v>
      </c>
      <c r="K15" s="18">
        <f>(D15*6)+(E15*4)</f>
        <v>300</v>
      </c>
      <c r="L15" t="s" s="19">
        <v>35</v>
      </c>
      <c r="M15" s="12"/>
      <c r="N15" s="12"/>
      <c r="O15" t="s" s="19">
        <v>35</v>
      </c>
      <c r="P15" s="12"/>
    </row>
    <row r="16" ht="32.05" customHeight="1">
      <c r="A16" t="s" s="10">
        <v>55</v>
      </c>
      <c r="B16" t="s" s="11">
        <v>33</v>
      </c>
      <c r="C16" s="18">
        <v>1150</v>
      </c>
      <c r="D16" s="18">
        <v>80</v>
      </c>
      <c r="E16" s="18">
        <v>80</v>
      </c>
      <c r="F16" t="s" s="19">
        <v>15</v>
      </c>
      <c r="G16" s="18">
        <v>5</v>
      </c>
      <c r="H16" t="s" s="19">
        <v>56</v>
      </c>
      <c r="I16" s="12"/>
      <c r="J16" t="s" s="19">
        <v>35</v>
      </c>
      <c r="K16" s="18">
        <f>(D16*6)+(E16*4)</f>
        <v>800</v>
      </c>
      <c r="L16" t="s" s="19">
        <v>35</v>
      </c>
      <c r="M16" s="12"/>
      <c r="N16" s="12"/>
      <c r="O16" t="s" s="19">
        <v>35</v>
      </c>
      <c r="P16" s="12"/>
    </row>
    <row r="17" ht="32.05" customHeight="1">
      <c r="A17" t="s" s="10">
        <v>57</v>
      </c>
      <c r="B17" t="s" s="11">
        <v>33</v>
      </c>
      <c r="C17" s="18">
        <v>800</v>
      </c>
      <c r="D17" s="18">
        <v>30</v>
      </c>
      <c r="E17" s="18">
        <v>110</v>
      </c>
      <c r="F17" t="s" s="19">
        <v>3</v>
      </c>
      <c r="G17" s="18">
        <v>3</v>
      </c>
      <c r="H17" t="s" s="19">
        <v>58</v>
      </c>
      <c r="I17" s="12"/>
      <c r="J17" t="s" s="19">
        <v>35</v>
      </c>
      <c r="K17" s="18">
        <f>(D17*6)+(E17*4)</f>
        <v>620</v>
      </c>
      <c r="L17" s="12"/>
      <c r="M17" s="12"/>
      <c r="N17" s="12"/>
      <c r="O17" s="12"/>
      <c r="P17" s="12"/>
    </row>
    <row r="18" ht="32.05" customHeight="1">
      <c r="A18" t="s" s="10">
        <v>59</v>
      </c>
      <c r="B18" t="s" s="11">
        <v>33</v>
      </c>
      <c r="C18" s="18">
        <v>720</v>
      </c>
      <c r="D18" s="18">
        <v>65</v>
      </c>
      <c r="E18" s="18">
        <v>25</v>
      </c>
      <c r="F18" t="s" s="19">
        <v>5</v>
      </c>
      <c r="G18" s="18">
        <v>3</v>
      </c>
      <c r="H18" t="s" s="19">
        <v>60</v>
      </c>
      <c r="I18" s="12"/>
      <c r="J18" t="s" s="19">
        <v>35</v>
      </c>
      <c r="K18" s="18">
        <f>(D18*6)+(E18*4)</f>
        <v>490</v>
      </c>
      <c r="L18" t="s" s="19">
        <v>35</v>
      </c>
      <c r="M18" s="12"/>
      <c r="N18" t="s" s="19">
        <v>35</v>
      </c>
      <c r="O18" s="12"/>
      <c r="P18" s="12"/>
    </row>
    <row r="19" ht="32.05" customHeight="1">
      <c r="A19" t="s" s="10">
        <v>61</v>
      </c>
      <c r="B19" t="s" s="11">
        <v>33</v>
      </c>
      <c r="C19" s="18">
        <v>950</v>
      </c>
      <c r="D19" s="18">
        <v>45</v>
      </c>
      <c r="E19" s="18">
        <v>45</v>
      </c>
      <c r="F19" t="s" s="19">
        <v>9</v>
      </c>
      <c r="G19" s="18">
        <v>4</v>
      </c>
      <c r="H19" t="s" s="19">
        <v>62</v>
      </c>
      <c r="I19" s="12"/>
      <c r="J19" t="s" s="19">
        <v>35</v>
      </c>
      <c r="K19" s="18">
        <f>(D19*6)+(E19*4)</f>
        <v>450</v>
      </c>
      <c r="L19" t="s" s="19">
        <v>35</v>
      </c>
      <c r="M19" s="12"/>
      <c r="N19" t="s" s="19">
        <v>35</v>
      </c>
      <c r="O19" s="12"/>
      <c r="P19" s="12"/>
    </row>
    <row r="20" ht="44.05" customHeight="1">
      <c r="A20" t="s" s="10">
        <v>63</v>
      </c>
      <c r="B20" t="s" s="11">
        <v>33</v>
      </c>
      <c r="C20" s="18">
        <v>1100</v>
      </c>
      <c r="D20" s="18">
        <v>55</v>
      </c>
      <c r="E20" s="18">
        <v>95</v>
      </c>
      <c r="F20" t="s" s="19">
        <v>15</v>
      </c>
      <c r="G20" s="18">
        <v>5</v>
      </c>
      <c r="H20" t="s" s="19">
        <v>64</v>
      </c>
      <c r="I20" s="12"/>
      <c r="J20" t="s" s="19">
        <v>35</v>
      </c>
      <c r="K20" s="18">
        <f>(D20*6)+(E20*4)</f>
        <v>710</v>
      </c>
      <c r="L20" s="12"/>
      <c r="M20" s="12"/>
      <c r="N20" s="12"/>
      <c r="O20" s="12"/>
      <c r="P20" s="12"/>
    </row>
    <row r="21" ht="32.05" customHeight="1">
      <c r="A21" t="s" s="10">
        <v>65</v>
      </c>
      <c r="B21" t="s" s="11">
        <v>33</v>
      </c>
      <c r="C21" s="18">
        <v>1000</v>
      </c>
      <c r="D21" s="18">
        <v>75</v>
      </c>
      <c r="E21" s="18">
        <v>60</v>
      </c>
      <c r="F21" t="s" s="19">
        <v>15</v>
      </c>
      <c r="G21" s="18">
        <v>4</v>
      </c>
      <c r="H21" t="s" s="19">
        <v>66</v>
      </c>
      <c r="I21" s="12"/>
      <c r="J21" t="s" s="19">
        <v>35</v>
      </c>
      <c r="K21" s="18">
        <f>(D21*6)+(E21*4)</f>
        <v>690</v>
      </c>
      <c r="L21" t="s" s="19">
        <v>35</v>
      </c>
      <c r="M21" s="12"/>
      <c r="N21" s="12"/>
      <c r="O21" s="12"/>
      <c r="P21" t="s" s="19">
        <v>35</v>
      </c>
    </row>
    <row r="22" ht="32.05" customHeight="1">
      <c r="A22" t="s" s="10">
        <v>67</v>
      </c>
      <c r="B22" t="s" s="11">
        <v>33</v>
      </c>
      <c r="C22" s="18">
        <v>700</v>
      </c>
      <c r="D22" s="18">
        <v>40</v>
      </c>
      <c r="E22" s="18">
        <v>50</v>
      </c>
      <c r="F22" t="s" s="19">
        <v>13</v>
      </c>
      <c r="G22" s="18">
        <v>3</v>
      </c>
      <c r="H22" t="s" s="19">
        <v>68</v>
      </c>
      <c r="I22" s="12"/>
      <c r="J22" t="s" s="19">
        <v>35</v>
      </c>
      <c r="K22" s="18">
        <f>(D22*6)+(E22*4)</f>
        <v>440</v>
      </c>
      <c r="L22" t="s" s="19">
        <v>35</v>
      </c>
      <c r="M22" s="12"/>
      <c r="N22" t="s" s="19">
        <v>35</v>
      </c>
      <c r="O22" s="12"/>
      <c r="P22" s="19"/>
    </row>
    <row r="23" ht="32.05" customHeight="1">
      <c r="A23" t="s" s="10">
        <v>69</v>
      </c>
      <c r="B23" t="s" s="11">
        <v>33</v>
      </c>
      <c r="C23" s="18">
        <v>700</v>
      </c>
      <c r="D23" s="18">
        <v>55</v>
      </c>
      <c r="E23" s="18">
        <v>20</v>
      </c>
      <c r="F23" t="s" s="19">
        <v>11</v>
      </c>
      <c r="G23" s="18">
        <v>3</v>
      </c>
      <c r="H23" t="s" s="19">
        <v>70</v>
      </c>
      <c r="I23" s="12"/>
      <c r="J23" t="s" s="19">
        <v>35</v>
      </c>
      <c r="K23" s="18">
        <f>(D23*6)+(E23*4)</f>
        <v>410</v>
      </c>
      <c r="L23" t="s" s="19">
        <v>35</v>
      </c>
      <c r="M23" s="12"/>
      <c r="N23" s="12"/>
      <c r="O23" t="s" s="19">
        <v>35</v>
      </c>
      <c r="P23" s="12"/>
    </row>
    <row r="24" ht="56.05" customHeight="1">
      <c r="A24" t="s" s="10">
        <v>71</v>
      </c>
      <c r="B24" t="s" s="11">
        <v>33</v>
      </c>
      <c r="C24" s="18">
        <v>800</v>
      </c>
      <c r="D24" s="18">
        <v>20</v>
      </c>
      <c r="E24" s="18">
        <v>85</v>
      </c>
      <c r="F24" t="s" s="19">
        <v>11</v>
      </c>
      <c r="G24" s="18">
        <v>4</v>
      </c>
      <c r="H24" t="s" s="19">
        <v>72</v>
      </c>
      <c r="I24" s="12"/>
      <c r="J24" t="s" s="19">
        <v>35</v>
      </c>
      <c r="K24" s="18">
        <f>(D24*6)+(E24*4)</f>
        <v>460</v>
      </c>
      <c r="L24" t="s" s="19">
        <v>35</v>
      </c>
      <c r="M24" s="12"/>
      <c r="N24" s="12"/>
      <c r="O24" s="19"/>
      <c r="P24" t="s" s="19">
        <v>35</v>
      </c>
    </row>
    <row r="25" ht="32.05" customHeight="1">
      <c r="A25" t="s" s="10">
        <v>73</v>
      </c>
      <c r="B25" t="s" s="11">
        <v>33</v>
      </c>
      <c r="C25" s="18">
        <v>1200</v>
      </c>
      <c r="D25" s="18">
        <v>95</v>
      </c>
      <c r="E25" s="18">
        <v>60</v>
      </c>
      <c r="F25" t="s" s="19">
        <v>11</v>
      </c>
      <c r="G25" s="18">
        <v>5</v>
      </c>
      <c r="H25" t="s" s="19">
        <v>74</v>
      </c>
      <c r="I25" s="12"/>
      <c r="J25" t="s" s="19">
        <v>35</v>
      </c>
      <c r="K25" s="18">
        <f>(D25*6)+(E25*4)</f>
        <v>810</v>
      </c>
      <c r="L25" t="s" s="19">
        <v>35</v>
      </c>
      <c r="M25" s="12"/>
      <c r="N25" t="s" s="19">
        <v>35</v>
      </c>
      <c r="O25" s="12"/>
      <c r="P25" s="12"/>
    </row>
    <row r="26" ht="56.05" customHeight="1">
      <c r="A26" t="s" s="10">
        <v>75</v>
      </c>
      <c r="B26" t="s" s="11">
        <v>33</v>
      </c>
      <c r="C26" s="18">
        <v>1250</v>
      </c>
      <c r="D26" s="18">
        <v>120</v>
      </c>
      <c r="E26" s="18">
        <v>100</v>
      </c>
      <c r="F26" t="s" s="19">
        <v>5</v>
      </c>
      <c r="G26" s="18">
        <v>5</v>
      </c>
      <c r="H26" t="s" s="19">
        <v>76</v>
      </c>
      <c r="I26" s="12"/>
      <c r="J26" t="s" s="19">
        <v>35</v>
      </c>
      <c r="K26" s="18">
        <f>(D26*6)+(E26*4)</f>
        <v>1120</v>
      </c>
      <c r="L26" t="s" s="19">
        <v>35</v>
      </c>
      <c r="M26" s="12"/>
      <c r="N26" s="12"/>
      <c r="O26" t="s" s="19">
        <v>35</v>
      </c>
      <c r="P26" s="12"/>
    </row>
    <row r="27" ht="32.05" customHeight="1">
      <c r="A27" t="s" s="10">
        <v>77</v>
      </c>
      <c r="B27" t="s" s="11">
        <v>33</v>
      </c>
      <c r="C27" s="18">
        <v>750</v>
      </c>
      <c r="D27" s="18">
        <v>60</v>
      </c>
      <c r="E27" s="18">
        <v>60</v>
      </c>
      <c r="F27" t="s" s="19">
        <v>5</v>
      </c>
      <c r="G27" s="18">
        <v>3</v>
      </c>
      <c r="H27" t="s" s="19">
        <v>78</v>
      </c>
      <c r="I27" s="12"/>
      <c r="J27" t="s" s="19">
        <v>35</v>
      </c>
      <c r="K27" s="18">
        <f>(D27*6)+(E27*4)</f>
        <v>600</v>
      </c>
      <c r="L27" s="12"/>
      <c r="M27" s="12"/>
      <c r="N27" s="12"/>
      <c r="O27" s="12"/>
      <c r="P27" s="12"/>
    </row>
    <row r="28" ht="44.05" customHeight="1">
      <c r="A28" t="s" s="10">
        <v>79</v>
      </c>
      <c r="B28" t="s" s="11">
        <v>33</v>
      </c>
      <c r="C28" s="18">
        <v>850</v>
      </c>
      <c r="D28" s="18">
        <v>80</v>
      </c>
      <c r="E28" s="18">
        <v>40</v>
      </c>
      <c r="F28" t="s" s="19">
        <v>13</v>
      </c>
      <c r="G28" s="18">
        <v>4</v>
      </c>
      <c r="H28" t="s" s="19">
        <v>80</v>
      </c>
      <c r="I28" s="12"/>
      <c r="J28" t="s" s="19">
        <v>35</v>
      </c>
      <c r="K28" s="18">
        <f>(D28*6)+(E28*4)</f>
        <v>640</v>
      </c>
      <c r="L28" s="12"/>
      <c r="M28" s="12"/>
      <c r="N28" s="12"/>
      <c r="O28" s="12"/>
      <c r="P28" s="12"/>
    </row>
    <row r="29" ht="32.05" customHeight="1">
      <c r="A29" t="s" s="10">
        <v>81</v>
      </c>
      <c r="B29" t="s" s="11">
        <v>33</v>
      </c>
      <c r="C29" s="18">
        <v>600</v>
      </c>
      <c r="D29" s="18">
        <v>50</v>
      </c>
      <c r="E29" s="18">
        <v>30</v>
      </c>
      <c r="F29" t="s" s="19">
        <v>7</v>
      </c>
      <c r="G29" s="18">
        <v>3</v>
      </c>
      <c r="H29" t="s" s="19">
        <v>82</v>
      </c>
      <c r="I29" s="12"/>
      <c r="J29" t="s" s="19">
        <v>35</v>
      </c>
      <c r="K29" s="18">
        <f>(D29*6)+(E29*4)</f>
        <v>420</v>
      </c>
      <c r="L29" s="12"/>
      <c r="M29" s="12"/>
      <c r="N29" s="12"/>
      <c r="O29" s="12"/>
      <c r="P29" s="12"/>
    </row>
    <row r="30" ht="32.05" customHeight="1">
      <c r="A30" t="s" s="10">
        <v>83</v>
      </c>
      <c r="B30" t="s" s="11">
        <v>33</v>
      </c>
      <c r="C30" s="18">
        <v>1150</v>
      </c>
      <c r="D30" s="18">
        <v>100</v>
      </c>
      <c r="E30" s="18">
        <v>80</v>
      </c>
      <c r="F30" t="s" s="19">
        <v>7</v>
      </c>
      <c r="G30" s="18">
        <v>4</v>
      </c>
      <c r="H30" t="s" s="19">
        <v>84</v>
      </c>
      <c r="I30" s="12"/>
      <c r="J30" t="s" s="19">
        <v>35</v>
      </c>
      <c r="K30" s="18">
        <f>(D30*6)+(E30*4)</f>
        <v>920</v>
      </c>
      <c r="L30" t="s" s="19">
        <v>35</v>
      </c>
      <c r="M30" s="12"/>
      <c r="N30" s="12"/>
      <c r="O30" s="12"/>
      <c r="P30" t="s" s="19">
        <v>35</v>
      </c>
    </row>
    <row r="31" ht="44.05" customHeight="1">
      <c r="A31" t="s" s="10">
        <v>85</v>
      </c>
      <c r="B31" t="s" s="11">
        <v>33</v>
      </c>
      <c r="C31" s="18">
        <v>1100</v>
      </c>
      <c r="D31" s="18">
        <v>90</v>
      </c>
      <c r="E31" s="18">
        <v>70</v>
      </c>
      <c r="F31" t="s" s="19">
        <v>7</v>
      </c>
      <c r="G31" s="18">
        <v>4</v>
      </c>
      <c r="H31" t="s" s="19">
        <v>86</v>
      </c>
      <c r="I31" s="12"/>
      <c r="J31" t="s" s="19">
        <v>35</v>
      </c>
      <c r="K31" s="18">
        <f>(D31*6)+(E31*4)</f>
        <v>820</v>
      </c>
      <c r="L31" s="12"/>
      <c r="M31" s="12"/>
      <c r="N31" s="12"/>
      <c r="O31" s="12"/>
      <c r="P31" s="12"/>
    </row>
    <row r="32" ht="44.05" customHeight="1">
      <c r="A32" t="s" s="10">
        <v>87</v>
      </c>
      <c r="B32" t="s" s="11">
        <v>33</v>
      </c>
      <c r="C32" s="18">
        <v>1200</v>
      </c>
      <c r="D32" s="18">
        <v>70</v>
      </c>
      <c r="E32" s="18">
        <v>90</v>
      </c>
      <c r="F32" t="s" s="19">
        <v>3</v>
      </c>
      <c r="G32" s="18">
        <v>4</v>
      </c>
      <c r="H32" t="s" s="19">
        <v>88</v>
      </c>
      <c r="I32" s="12"/>
      <c r="J32" t="s" s="19">
        <v>35</v>
      </c>
      <c r="K32" s="18">
        <f>(D32*6)+(E32*4)</f>
        <v>780</v>
      </c>
      <c r="L32" t="s" s="19">
        <v>35</v>
      </c>
      <c r="M32" s="12"/>
      <c r="N32" s="12"/>
      <c r="O32" s="12"/>
      <c r="P32" t="s" s="19">
        <v>35</v>
      </c>
    </row>
    <row r="33" ht="20.05" customHeight="1">
      <c r="A33" t="s" s="10">
        <v>89</v>
      </c>
      <c r="B33" t="s" s="11">
        <v>33</v>
      </c>
      <c r="C33" s="18">
        <v>800</v>
      </c>
      <c r="D33" s="18">
        <v>75</v>
      </c>
      <c r="E33" s="18">
        <v>65</v>
      </c>
      <c r="F33" t="s" s="19">
        <v>13</v>
      </c>
      <c r="G33" s="18">
        <v>3</v>
      </c>
      <c r="H33" t="s" s="19">
        <v>39</v>
      </c>
      <c r="I33" s="12"/>
      <c r="J33" t="s" s="19">
        <v>35</v>
      </c>
      <c r="K33" s="18">
        <f>(D33*6)+(E33*4)</f>
        <v>710</v>
      </c>
      <c r="L33" t="s" s="19">
        <v>35</v>
      </c>
      <c r="M33" s="12"/>
      <c r="N33" s="12"/>
      <c r="O33" t="s" s="19">
        <v>35</v>
      </c>
      <c r="P33" s="12"/>
    </row>
    <row r="34" ht="32.05" customHeight="1">
      <c r="A34" t="s" s="10">
        <v>90</v>
      </c>
      <c r="B34" t="s" s="11">
        <v>33</v>
      </c>
      <c r="C34" s="18">
        <v>800</v>
      </c>
      <c r="D34" s="18">
        <v>45</v>
      </c>
      <c r="E34" s="18">
        <v>45</v>
      </c>
      <c r="F34" t="s" s="19">
        <v>13</v>
      </c>
      <c r="G34" s="18">
        <v>2</v>
      </c>
      <c r="H34" t="s" s="19">
        <v>91</v>
      </c>
      <c r="I34" s="12"/>
      <c r="J34" t="s" s="19">
        <v>35</v>
      </c>
      <c r="K34" s="18">
        <f>(D34*6)+(E34*4)</f>
        <v>450</v>
      </c>
      <c r="L34" s="12"/>
      <c r="M34" s="12"/>
      <c r="N34" s="12"/>
      <c r="O34" s="12"/>
      <c r="P34" s="12"/>
    </row>
    <row r="35" ht="44.05" customHeight="1">
      <c r="A35" t="s" s="10">
        <v>92</v>
      </c>
      <c r="B35" t="s" s="11">
        <v>33</v>
      </c>
      <c r="C35" s="18">
        <v>1350</v>
      </c>
      <c r="D35" s="18">
        <v>85</v>
      </c>
      <c r="E35" s="18">
        <v>60</v>
      </c>
      <c r="F35" t="s" s="19">
        <v>13</v>
      </c>
      <c r="G35" s="18">
        <v>5</v>
      </c>
      <c r="H35" t="s" s="19">
        <v>93</v>
      </c>
      <c r="I35" s="12"/>
      <c r="J35" t="s" s="19">
        <v>35</v>
      </c>
      <c r="K35" s="18">
        <f>(D35*6)+(E35*4)</f>
        <v>750</v>
      </c>
      <c r="L35" s="12"/>
      <c r="M35" s="12"/>
      <c r="N35" s="12"/>
      <c r="O35" s="12"/>
      <c r="P35" s="12"/>
    </row>
    <row r="36" ht="44.05" customHeight="1">
      <c r="A36" t="s" s="10">
        <v>94</v>
      </c>
      <c r="B36" t="s" s="11">
        <v>33</v>
      </c>
      <c r="C36" s="18">
        <v>1500</v>
      </c>
      <c r="D36" s="18">
        <v>150</v>
      </c>
      <c r="E36" s="18">
        <v>95</v>
      </c>
      <c r="F36" t="s" s="19">
        <v>15</v>
      </c>
      <c r="G36" s="18">
        <v>5</v>
      </c>
      <c r="H36" t="s" s="19">
        <v>95</v>
      </c>
      <c r="I36" s="12"/>
      <c r="J36" t="s" s="19">
        <v>35</v>
      </c>
      <c r="K36" s="18">
        <f>(D36*6)+(E36*4)</f>
        <v>1280</v>
      </c>
      <c r="L36" t="s" s="19">
        <v>35</v>
      </c>
      <c r="M36" s="12"/>
      <c r="N36" s="12"/>
      <c r="O36" s="12"/>
      <c r="P36" s="12"/>
    </row>
    <row r="37" ht="44.05" customHeight="1">
      <c r="A37" t="s" s="10">
        <v>96</v>
      </c>
      <c r="B37" t="s" s="11">
        <v>33</v>
      </c>
      <c r="C37" s="18">
        <v>1000</v>
      </c>
      <c r="D37" s="18">
        <v>120</v>
      </c>
      <c r="E37" s="18">
        <v>60</v>
      </c>
      <c r="F37" t="s" s="19">
        <v>9</v>
      </c>
      <c r="G37" s="18">
        <v>5</v>
      </c>
      <c r="H37" t="s" s="19">
        <v>97</v>
      </c>
      <c r="I37" s="12"/>
      <c r="J37" t="s" s="19">
        <v>35</v>
      </c>
      <c r="K37" s="18">
        <f>(D37*6)+(E37*4)</f>
        <v>960</v>
      </c>
      <c r="L37" t="s" s="19">
        <v>35</v>
      </c>
      <c r="M37" s="12"/>
      <c r="N37" t="s" s="19">
        <v>35</v>
      </c>
      <c r="O37" s="12"/>
      <c r="P37" s="12"/>
    </row>
    <row r="38" ht="44.05" customHeight="1">
      <c r="A38" t="s" s="10">
        <v>98</v>
      </c>
      <c r="B38" t="s" s="11">
        <v>33</v>
      </c>
      <c r="C38" s="18">
        <v>880</v>
      </c>
      <c r="D38" s="18">
        <v>60</v>
      </c>
      <c r="E38" s="18">
        <v>40</v>
      </c>
      <c r="F38" t="s" s="19">
        <v>11</v>
      </c>
      <c r="G38" s="18">
        <v>4</v>
      </c>
      <c r="H38" t="s" s="19">
        <v>99</v>
      </c>
      <c r="I38" s="12"/>
      <c r="J38" t="s" s="19">
        <v>35</v>
      </c>
      <c r="K38" s="18">
        <f>(D38*6)+(E38*4)</f>
        <v>520</v>
      </c>
      <c r="L38" t="s" s="19">
        <v>35</v>
      </c>
      <c r="M38" s="12"/>
      <c r="N38" s="12"/>
      <c r="O38" t="s" s="19">
        <v>35</v>
      </c>
      <c r="P38" s="12"/>
    </row>
    <row r="39" ht="56.05" customHeight="1">
      <c r="A39" t="s" s="10">
        <v>100</v>
      </c>
      <c r="B39" t="s" s="11">
        <v>33</v>
      </c>
      <c r="C39" s="18">
        <v>1200</v>
      </c>
      <c r="D39" s="18">
        <v>30</v>
      </c>
      <c r="E39" s="18">
        <v>80</v>
      </c>
      <c r="F39" t="s" s="19">
        <v>5</v>
      </c>
      <c r="G39" s="18">
        <v>4</v>
      </c>
      <c r="H39" t="s" s="19">
        <v>101</v>
      </c>
      <c r="I39" s="12"/>
      <c r="J39" t="s" s="19">
        <v>35</v>
      </c>
      <c r="K39" s="18">
        <f>(D39*6)+(E39*4)</f>
        <v>500</v>
      </c>
      <c r="L39" t="s" s="19">
        <v>35</v>
      </c>
      <c r="M39" s="12"/>
      <c r="N39" t="s" s="19">
        <v>35</v>
      </c>
      <c r="O39" s="19"/>
      <c r="P39" s="12"/>
    </row>
    <row r="40" ht="44.05" customHeight="1">
      <c r="A40" t="s" s="10">
        <v>102</v>
      </c>
      <c r="B40" t="s" s="11">
        <v>33</v>
      </c>
      <c r="C40" s="18">
        <v>800</v>
      </c>
      <c r="D40" s="18">
        <v>20</v>
      </c>
      <c r="E40" s="18">
        <v>20</v>
      </c>
      <c r="F40" t="s" s="19">
        <v>5</v>
      </c>
      <c r="G40" s="18">
        <v>2</v>
      </c>
      <c r="H40" t="s" s="19">
        <v>103</v>
      </c>
      <c r="I40" s="12"/>
      <c r="J40" t="s" s="19">
        <v>35</v>
      </c>
      <c r="K40" s="18">
        <f>(D40*6)+(E40*4)</f>
        <v>200</v>
      </c>
      <c r="L40" t="s" s="19">
        <v>35</v>
      </c>
      <c r="M40" s="12"/>
      <c r="N40" s="12"/>
      <c r="O40" t="s" s="19">
        <v>35</v>
      </c>
      <c r="P40" s="12"/>
    </row>
    <row r="41" ht="56.05" customHeight="1">
      <c r="A41" t="s" s="10">
        <v>104</v>
      </c>
      <c r="B41" t="s" s="11">
        <v>33</v>
      </c>
      <c r="C41" s="18">
        <v>200</v>
      </c>
      <c r="D41" s="18">
        <v>15</v>
      </c>
      <c r="E41" s="18">
        <v>15</v>
      </c>
      <c r="F41" t="s" s="19">
        <v>5</v>
      </c>
      <c r="G41" s="18">
        <v>3</v>
      </c>
      <c r="H41" t="s" s="19">
        <v>105</v>
      </c>
      <c r="I41" s="12"/>
      <c r="J41" t="s" s="19">
        <v>35</v>
      </c>
      <c r="K41" s="18">
        <f>(D41*6)+(E41*4)</f>
        <v>150</v>
      </c>
      <c r="L41" t="s" s="19">
        <v>35</v>
      </c>
      <c r="M41" s="12"/>
      <c r="N41" t="s" s="19">
        <v>35</v>
      </c>
      <c r="O41" s="12"/>
      <c r="P41" s="12"/>
    </row>
    <row r="42" ht="32.05" customHeight="1">
      <c r="A42" t="s" s="10">
        <v>106</v>
      </c>
      <c r="B42" t="s" s="11">
        <v>33</v>
      </c>
      <c r="C42" s="18">
        <v>700</v>
      </c>
      <c r="D42" s="18">
        <v>0</v>
      </c>
      <c r="E42" s="18">
        <v>70</v>
      </c>
      <c r="F42" t="s" s="19">
        <v>5</v>
      </c>
      <c r="G42" s="18">
        <v>3</v>
      </c>
      <c r="H42" t="s" s="19">
        <v>107</v>
      </c>
      <c r="I42" s="12"/>
      <c r="J42" t="s" s="19">
        <v>35</v>
      </c>
      <c r="K42" s="18">
        <f>(D42*6)+(E42*4)</f>
        <v>280</v>
      </c>
      <c r="L42" t="s" s="19">
        <v>35</v>
      </c>
      <c r="M42" s="12"/>
      <c r="N42" t="s" s="19">
        <v>35</v>
      </c>
      <c r="O42" s="12"/>
      <c r="P42" s="12"/>
    </row>
    <row r="43" ht="44.05" customHeight="1">
      <c r="A43" t="s" s="10">
        <v>108</v>
      </c>
      <c r="B43" t="s" s="11">
        <v>33</v>
      </c>
      <c r="C43" s="18">
        <v>800</v>
      </c>
      <c r="D43" s="18">
        <v>30</v>
      </c>
      <c r="E43" s="18">
        <v>20</v>
      </c>
      <c r="F43" t="s" s="19">
        <v>9</v>
      </c>
      <c r="G43" s="18">
        <v>5</v>
      </c>
      <c r="H43" t="s" s="19">
        <v>109</v>
      </c>
      <c r="I43" s="12"/>
      <c r="J43" t="s" s="19">
        <v>35</v>
      </c>
      <c r="K43" s="18">
        <f>(D43*6)+(E43*4)</f>
        <v>260</v>
      </c>
      <c r="L43" s="12"/>
      <c r="M43" s="12"/>
      <c r="N43" s="12"/>
      <c r="O43" s="12"/>
      <c r="P43" s="12"/>
    </row>
    <row r="44" ht="20.05" customHeight="1">
      <c r="A44" t="s" s="10">
        <v>110</v>
      </c>
      <c r="B44" t="s" s="11">
        <v>33</v>
      </c>
      <c r="C44" s="18">
        <v>350</v>
      </c>
      <c r="D44" s="18">
        <v>25</v>
      </c>
      <c r="E44" s="18">
        <v>20</v>
      </c>
      <c r="F44" t="s" s="19">
        <v>15</v>
      </c>
      <c r="G44" s="18">
        <v>1</v>
      </c>
      <c r="H44" t="s" s="19">
        <v>111</v>
      </c>
      <c r="I44" s="12"/>
      <c r="J44" t="s" s="19">
        <v>35</v>
      </c>
      <c r="K44" s="18">
        <f>(D44*6)+(E44*4)</f>
        <v>230</v>
      </c>
      <c r="L44" t="s" s="19">
        <v>35</v>
      </c>
      <c r="M44" s="12"/>
      <c r="N44" t="s" s="19">
        <v>35</v>
      </c>
      <c r="O44" s="12"/>
      <c r="P44" s="12"/>
    </row>
    <row r="45" ht="20.05" customHeight="1">
      <c r="A45" t="s" s="10">
        <v>112</v>
      </c>
      <c r="B45" t="s" s="11">
        <v>33</v>
      </c>
      <c r="C45" s="18">
        <v>400</v>
      </c>
      <c r="D45" s="18">
        <v>40</v>
      </c>
      <c r="E45" s="18">
        <v>35</v>
      </c>
      <c r="F45" t="s" s="19">
        <v>15</v>
      </c>
      <c r="G45" s="18">
        <v>2</v>
      </c>
      <c r="H45" t="s" s="19">
        <v>39</v>
      </c>
      <c r="I45" s="12"/>
      <c r="J45" t="s" s="19">
        <v>35</v>
      </c>
      <c r="K45" s="18">
        <f>(D45*6)+(E45*4)</f>
        <v>380</v>
      </c>
      <c r="L45" t="s" s="19">
        <v>35</v>
      </c>
      <c r="M45" s="12"/>
      <c r="N45" s="19"/>
      <c r="O45" s="12"/>
      <c r="P45" s="12"/>
    </row>
    <row r="46" ht="20.05" customHeight="1">
      <c r="A46" t="s" s="10">
        <v>113</v>
      </c>
      <c r="B46" t="s" s="11">
        <v>33</v>
      </c>
      <c r="C46" s="18">
        <v>250</v>
      </c>
      <c r="D46" s="18">
        <v>30</v>
      </c>
      <c r="E46" s="18">
        <v>10</v>
      </c>
      <c r="F46" t="s" s="19">
        <v>9</v>
      </c>
      <c r="G46" s="18">
        <v>1</v>
      </c>
      <c r="H46" t="s" s="19">
        <v>39</v>
      </c>
      <c r="I46" s="12"/>
      <c r="J46" t="s" s="19">
        <v>35</v>
      </c>
      <c r="K46" s="18">
        <f>(D46*6)+(E46*4)</f>
        <v>220</v>
      </c>
      <c r="L46" t="s" s="19">
        <v>35</v>
      </c>
      <c r="M46" s="12"/>
      <c r="N46" s="12"/>
      <c r="O46" s="12"/>
      <c r="P46" t="s" s="19">
        <v>35</v>
      </c>
    </row>
    <row r="47" ht="56.05" customHeight="1">
      <c r="A47" t="s" s="10">
        <v>114</v>
      </c>
      <c r="B47" t="s" s="11">
        <v>33</v>
      </c>
      <c r="C47" s="18">
        <v>800</v>
      </c>
      <c r="D47" s="18">
        <v>20</v>
      </c>
      <c r="E47" s="18">
        <v>0</v>
      </c>
      <c r="F47" t="s" s="19">
        <v>11</v>
      </c>
      <c r="G47" s="18">
        <v>5</v>
      </c>
      <c r="H47" t="s" s="19">
        <v>115</v>
      </c>
      <c r="I47" s="12"/>
      <c r="J47" t="s" s="19">
        <v>35</v>
      </c>
      <c r="K47" s="18">
        <f>(D47*6)+(E47*4)</f>
        <v>120</v>
      </c>
      <c r="L47" s="12"/>
      <c r="M47" s="12"/>
      <c r="N47" s="12"/>
      <c r="O47" s="12"/>
      <c r="P47" s="12"/>
    </row>
    <row r="48" ht="20.05" customHeight="1">
      <c r="A48" t="s" s="10">
        <v>116</v>
      </c>
      <c r="B48" t="s" s="11">
        <v>33</v>
      </c>
      <c r="C48" s="18">
        <v>400</v>
      </c>
      <c r="D48" s="18">
        <v>45</v>
      </c>
      <c r="E48" s="18">
        <v>30</v>
      </c>
      <c r="F48" t="s" s="19">
        <v>9</v>
      </c>
      <c r="G48" s="18">
        <v>2</v>
      </c>
      <c r="H48" t="s" s="19">
        <v>39</v>
      </c>
      <c r="I48" s="12"/>
      <c r="J48" t="s" s="19">
        <v>35</v>
      </c>
      <c r="K48" s="18">
        <f>(D48*6)+(E48*4)</f>
        <v>390</v>
      </c>
      <c r="L48" s="12"/>
      <c r="M48" s="12"/>
      <c r="N48" s="12"/>
      <c r="O48" s="12"/>
      <c r="P48" s="12"/>
    </row>
    <row r="49" ht="44.05" customHeight="1">
      <c r="A49" t="s" s="10">
        <v>117</v>
      </c>
      <c r="B49" t="s" s="11">
        <v>33</v>
      </c>
      <c r="C49" s="18">
        <v>400</v>
      </c>
      <c r="D49" s="18">
        <v>35</v>
      </c>
      <c r="E49" s="18">
        <v>45</v>
      </c>
      <c r="F49" t="s" s="19">
        <v>15</v>
      </c>
      <c r="G49" s="18">
        <v>2</v>
      </c>
      <c r="H49" t="s" s="19">
        <v>118</v>
      </c>
      <c r="I49" s="12"/>
      <c r="J49" t="s" s="19">
        <v>35</v>
      </c>
      <c r="K49" s="18">
        <f>(D49*6)+(E49*4)</f>
        <v>390</v>
      </c>
      <c r="L49" s="12"/>
      <c r="M49" s="12"/>
      <c r="N49" s="12"/>
      <c r="O49" s="12"/>
      <c r="P49" s="12"/>
    </row>
    <row r="50" ht="32.05" customHeight="1">
      <c r="A50" t="s" s="10">
        <v>119</v>
      </c>
      <c r="B50" t="s" s="11">
        <v>33</v>
      </c>
      <c r="C50" s="18">
        <v>300</v>
      </c>
      <c r="D50" s="18">
        <v>25</v>
      </c>
      <c r="E50" s="18">
        <v>40</v>
      </c>
      <c r="F50" t="s" s="19">
        <v>5</v>
      </c>
      <c r="G50" s="18">
        <v>1</v>
      </c>
      <c r="H50" t="s" s="19">
        <v>120</v>
      </c>
      <c r="I50" s="12"/>
      <c r="J50" t="s" s="19">
        <v>35</v>
      </c>
      <c r="K50" s="18">
        <f>(D50*6)+(E50*4)</f>
        <v>310</v>
      </c>
      <c r="L50" t="s" s="19">
        <v>35</v>
      </c>
      <c r="M50" s="12"/>
      <c r="N50" t="s" s="19">
        <v>35</v>
      </c>
      <c r="O50" s="12"/>
      <c r="P50" s="12"/>
    </row>
    <row r="51" ht="44.05" customHeight="1">
      <c r="A51" t="s" s="10">
        <v>121</v>
      </c>
      <c r="B51" t="s" s="11">
        <v>33</v>
      </c>
      <c r="C51" s="18">
        <v>600</v>
      </c>
      <c r="D51" s="18">
        <v>40</v>
      </c>
      <c r="E51" s="18">
        <v>40</v>
      </c>
      <c r="F51" t="s" s="19">
        <v>15</v>
      </c>
      <c r="G51" s="18">
        <v>2</v>
      </c>
      <c r="H51" t="s" s="19">
        <v>122</v>
      </c>
      <c r="I51" s="12"/>
      <c r="J51" t="s" s="19">
        <v>35</v>
      </c>
      <c r="K51" s="18">
        <f>(D51*6)+(E51*4)</f>
        <v>400</v>
      </c>
      <c r="L51" t="s" s="19">
        <v>35</v>
      </c>
      <c r="M51" s="12"/>
      <c r="N51" s="12"/>
      <c r="O51" t="s" s="19">
        <v>35</v>
      </c>
      <c r="P51" s="12"/>
    </row>
    <row r="52" ht="20.05" customHeight="1">
      <c r="A52" t="s" s="10">
        <v>123</v>
      </c>
      <c r="B52" t="s" s="11">
        <v>33</v>
      </c>
      <c r="C52" s="18">
        <v>400</v>
      </c>
      <c r="D52" s="18">
        <v>50</v>
      </c>
      <c r="E52" s="18">
        <v>0</v>
      </c>
      <c r="F52" t="s" s="19">
        <v>7</v>
      </c>
      <c r="G52" s="18">
        <v>2</v>
      </c>
      <c r="H52" t="s" s="19">
        <v>39</v>
      </c>
      <c r="I52" s="12"/>
      <c r="J52" t="s" s="19">
        <v>35</v>
      </c>
      <c r="K52" s="18">
        <f>(D52*6)+(E52*4)</f>
        <v>300</v>
      </c>
      <c r="L52" t="s" s="19">
        <v>35</v>
      </c>
      <c r="M52" s="12"/>
      <c r="N52" s="12"/>
      <c r="O52" s="12"/>
      <c r="P52" t="s" s="19">
        <v>35</v>
      </c>
    </row>
    <row r="53" ht="20.05" customHeight="1">
      <c r="A53" t="s" s="10">
        <v>124</v>
      </c>
      <c r="B53" t="s" s="11">
        <v>33</v>
      </c>
      <c r="C53" s="18">
        <v>250</v>
      </c>
      <c r="D53" s="18">
        <v>30</v>
      </c>
      <c r="E53" s="18">
        <v>10</v>
      </c>
      <c r="F53" t="s" s="19">
        <v>13</v>
      </c>
      <c r="G53" s="18">
        <v>1</v>
      </c>
      <c r="H53" t="s" s="19">
        <v>39</v>
      </c>
      <c r="I53" s="12"/>
      <c r="J53" t="s" s="19">
        <v>35</v>
      </c>
      <c r="K53" s="18">
        <f>(D53*6)+(E53*4)</f>
        <v>220</v>
      </c>
      <c r="L53" s="12"/>
      <c r="M53" s="12"/>
      <c r="N53" s="12"/>
      <c r="O53" s="12"/>
      <c r="P53" s="12"/>
    </row>
    <row r="54" ht="32.05" customHeight="1">
      <c r="A54" t="s" s="10">
        <v>125</v>
      </c>
      <c r="B54" t="s" s="11">
        <v>33</v>
      </c>
      <c r="C54" s="18">
        <v>1000</v>
      </c>
      <c r="D54" s="18">
        <v>30</v>
      </c>
      <c r="E54" s="18">
        <v>30</v>
      </c>
      <c r="F54" t="s" s="19">
        <v>13</v>
      </c>
      <c r="G54" s="18">
        <v>5</v>
      </c>
      <c r="H54" t="s" s="19">
        <v>126</v>
      </c>
      <c r="I54" s="12"/>
      <c r="J54" t="s" s="19">
        <v>35</v>
      </c>
      <c r="K54" s="18">
        <f>(D54*6)+(E54*4)</f>
        <v>300</v>
      </c>
      <c r="L54" t="s" s="19">
        <v>35</v>
      </c>
      <c r="M54" s="12"/>
      <c r="N54" s="12"/>
      <c r="O54" s="12"/>
      <c r="P54" s="12"/>
    </row>
    <row r="55" ht="44.05" customHeight="1">
      <c r="A55" t="s" s="10">
        <v>127</v>
      </c>
      <c r="B55" t="s" s="11">
        <v>33</v>
      </c>
      <c r="C55" s="18">
        <v>500</v>
      </c>
      <c r="D55" s="18">
        <v>45</v>
      </c>
      <c r="E55" s="18">
        <v>40</v>
      </c>
      <c r="F55" t="s" s="19">
        <v>15</v>
      </c>
      <c r="G55" s="18">
        <v>2</v>
      </c>
      <c r="H55" t="s" s="19">
        <v>128</v>
      </c>
      <c r="I55" s="12"/>
      <c r="J55" t="s" s="19">
        <v>35</v>
      </c>
      <c r="K55" s="18">
        <f>(D55*6)+(E55*4)</f>
        <v>430</v>
      </c>
      <c r="L55" t="s" s="19">
        <v>35</v>
      </c>
      <c r="M55" s="12"/>
      <c r="N55" s="12"/>
      <c r="O55" s="12"/>
      <c r="P55" t="s" s="19">
        <v>35</v>
      </c>
    </row>
    <row r="56" ht="32.05" customHeight="1">
      <c r="A56" t="s" s="10">
        <v>129</v>
      </c>
      <c r="B56" t="s" s="11">
        <v>33</v>
      </c>
      <c r="C56" s="18">
        <v>1500</v>
      </c>
      <c r="D56" s="18">
        <v>155</v>
      </c>
      <c r="E56" s="18">
        <v>95</v>
      </c>
      <c r="F56" t="s" s="19">
        <v>7</v>
      </c>
      <c r="G56" s="18">
        <v>5</v>
      </c>
      <c r="H56" t="s" s="19">
        <v>130</v>
      </c>
      <c r="I56" s="12"/>
      <c r="J56" t="s" s="19">
        <v>35</v>
      </c>
      <c r="K56" s="18">
        <f>(D56*6)+(E56*4)</f>
        <v>1310</v>
      </c>
      <c r="L56" t="s" s="19">
        <v>35</v>
      </c>
      <c r="M56" s="12"/>
      <c r="N56" s="12"/>
      <c r="O56" s="12"/>
      <c r="P56" s="12"/>
    </row>
    <row r="57" ht="20.05" customHeight="1">
      <c r="A57" t="s" s="10">
        <v>131</v>
      </c>
      <c r="B57" t="s" s="11">
        <v>33</v>
      </c>
      <c r="C57" s="18">
        <v>100</v>
      </c>
      <c r="D57" s="18">
        <v>20</v>
      </c>
      <c r="E57" s="18">
        <v>10</v>
      </c>
      <c r="F57" t="s" s="19">
        <v>7</v>
      </c>
      <c r="G57" s="18">
        <v>3</v>
      </c>
      <c r="H57" t="s" s="19">
        <v>39</v>
      </c>
      <c r="I57" s="12"/>
      <c r="J57" t="s" s="19">
        <v>35</v>
      </c>
      <c r="K57" s="18">
        <f>(D57*6)+(E57*4)</f>
        <v>160</v>
      </c>
      <c r="L57" s="12"/>
      <c r="M57" s="12"/>
      <c r="N57" s="12"/>
      <c r="O57" s="12"/>
      <c r="P57" s="12"/>
    </row>
    <row r="58" ht="20.05" customHeight="1">
      <c r="A58" t="s" s="10">
        <v>132</v>
      </c>
      <c r="B58" t="s" s="11">
        <v>33</v>
      </c>
      <c r="C58" s="18">
        <v>100</v>
      </c>
      <c r="D58" s="18">
        <v>10</v>
      </c>
      <c r="E58" s="18">
        <v>20</v>
      </c>
      <c r="F58" t="s" s="19">
        <v>9</v>
      </c>
      <c r="G58" s="18">
        <v>3</v>
      </c>
      <c r="H58" t="s" s="19">
        <v>39</v>
      </c>
      <c r="I58" s="12"/>
      <c r="J58" t="s" s="19">
        <v>35</v>
      </c>
      <c r="K58" s="18">
        <f>(D58*6)+(E58*4)</f>
        <v>140</v>
      </c>
      <c r="L58" s="12"/>
      <c r="M58" s="12"/>
      <c r="N58" s="12"/>
      <c r="O58" s="12"/>
      <c r="P58" s="12"/>
    </row>
    <row r="59" ht="44.05" customHeight="1">
      <c r="A59" t="s" s="10">
        <v>133</v>
      </c>
      <c r="B59" t="s" s="11">
        <v>33</v>
      </c>
      <c r="C59" s="18">
        <v>500</v>
      </c>
      <c r="D59" s="18">
        <v>45</v>
      </c>
      <c r="E59" s="18">
        <v>35</v>
      </c>
      <c r="F59" t="s" s="19">
        <v>3</v>
      </c>
      <c r="G59" s="18">
        <v>2</v>
      </c>
      <c r="H59" t="s" s="19">
        <v>134</v>
      </c>
      <c r="I59" s="12"/>
      <c r="J59" t="s" s="19">
        <v>35</v>
      </c>
      <c r="K59" s="18">
        <f>(D59*6)+(E59*4)</f>
        <v>410</v>
      </c>
      <c r="L59" s="12"/>
      <c r="M59" s="12"/>
      <c r="N59" s="12"/>
      <c r="O59" s="12"/>
      <c r="P59" s="12"/>
    </row>
    <row r="60" ht="44.05" customHeight="1">
      <c r="A60" t="s" s="10">
        <v>135</v>
      </c>
      <c r="B60" t="s" s="11">
        <v>33</v>
      </c>
      <c r="C60" s="18">
        <v>800</v>
      </c>
      <c r="D60" s="18">
        <v>40</v>
      </c>
      <c r="E60" s="18">
        <v>80</v>
      </c>
      <c r="F60" t="s" s="19">
        <v>9</v>
      </c>
      <c r="G60" s="18">
        <v>3</v>
      </c>
      <c r="H60" t="s" s="19">
        <v>136</v>
      </c>
      <c r="I60" s="12"/>
      <c r="J60" t="s" s="19">
        <v>35</v>
      </c>
      <c r="K60" s="18">
        <f>(D60*6)+(E60*4)</f>
        <v>560</v>
      </c>
      <c r="L60" s="12"/>
      <c r="M60" s="12"/>
      <c r="N60" s="12"/>
      <c r="O60" s="12"/>
      <c r="P60" s="12"/>
    </row>
    <row r="61" ht="32.05" customHeight="1">
      <c r="A61" t="s" s="10">
        <v>137</v>
      </c>
      <c r="B61" t="s" s="11">
        <v>33</v>
      </c>
      <c r="C61" s="18">
        <v>1000</v>
      </c>
      <c r="D61" s="18">
        <v>105</v>
      </c>
      <c r="E61" s="18">
        <v>50</v>
      </c>
      <c r="F61" t="s" s="19">
        <v>15</v>
      </c>
      <c r="G61" s="18">
        <v>3</v>
      </c>
      <c r="H61" t="s" s="19">
        <v>138</v>
      </c>
      <c r="I61" s="12"/>
      <c r="J61" t="s" s="19">
        <v>35</v>
      </c>
      <c r="K61" s="18">
        <f>(D61*6)+(E61*4)</f>
        <v>830</v>
      </c>
      <c r="L61" t="s" s="19">
        <v>35</v>
      </c>
      <c r="M61" s="12"/>
      <c r="N61" s="12"/>
      <c r="O61" s="12"/>
      <c r="P61" s="12"/>
    </row>
    <row r="62" ht="32.05" customHeight="1">
      <c r="A62" t="s" s="10">
        <v>139</v>
      </c>
      <c r="B62" t="s" s="11">
        <v>33</v>
      </c>
      <c r="C62" s="18">
        <v>800</v>
      </c>
      <c r="D62" s="18">
        <v>20</v>
      </c>
      <c r="E62" s="18">
        <v>150</v>
      </c>
      <c r="F62" t="s" s="19">
        <v>9</v>
      </c>
      <c r="G62" s="18">
        <v>5</v>
      </c>
      <c r="H62" t="s" s="19">
        <v>140</v>
      </c>
      <c r="I62" s="12"/>
      <c r="J62" t="s" s="19">
        <v>35</v>
      </c>
      <c r="K62" s="18">
        <f>(D62*6)+(E62*4)</f>
        <v>720</v>
      </c>
      <c r="L62" s="12"/>
      <c r="M62" s="12"/>
      <c r="N62" s="12"/>
      <c r="O62" s="12"/>
      <c r="P62" s="12"/>
    </row>
    <row r="63" ht="32.05" customHeight="1">
      <c r="A63" t="s" s="10">
        <v>141</v>
      </c>
      <c r="B63" t="s" s="11">
        <v>33</v>
      </c>
      <c r="C63" s="18">
        <v>300</v>
      </c>
      <c r="D63" s="18">
        <v>20</v>
      </c>
      <c r="E63" s="18">
        <v>15</v>
      </c>
      <c r="F63" t="s" s="19">
        <v>9</v>
      </c>
      <c r="G63" s="18">
        <v>1</v>
      </c>
      <c r="H63" t="s" s="19">
        <v>142</v>
      </c>
      <c r="I63" s="12"/>
      <c r="J63" t="s" s="19">
        <v>35</v>
      </c>
      <c r="K63" s="18">
        <f>(D63*6)+(E63*4)</f>
        <v>180</v>
      </c>
      <c r="L63" s="12"/>
      <c r="M63" s="12"/>
      <c r="N63" s="12"/>
      <c r="O63" s="12"/>
      <c r="P63" s="12"/>
    </row>
    <row r="64" ht="20.05" customHeight="1">
      <c r="A64" t="s" s="10">
        <v>143</v>
      </c>
      <c r="B64" t="s" s="11">
        <v>33</v>
      </c>
      <c r="C64" s="18">
        <v>250</v>
      </c>
      <c r="D64" s="18">
        <v>25</v>
      </c>
      <c r="E64" s="18">
        <v>25</v>
      </c>
      <c r="F64" t="s" s="19">
        <v>3</v>
      </c>
      <c r="G64" s="18">
        <v>1</v>
      </c>
      <c r="H64" t="s" s="19">
        <v>39</v>
      </c>
      <c r="I64" s="12"/>
      <c r="J64" t="s" s="19">
        <v>35</v>
      </c>
      <c r="K64" s="18">
        <f>(D64*6)+(E64*4)</f>
        <v>250</v>
      </c>
      <c r="L64" s="12"/>
      <c r="M64" s="12"/>
      <c r="N64" s="12"/>
      <c r="O64" s="12"/>
      <c r="P64" s="12"/>
    </row>
    <row r="65" ht="20.05" customHeight="1">
      <c r="A65" t="s" s="10">
        <v>144</v>
      </c>
      <c r="B65" t="s" s="11">
        <v>33</v>
      </c>
      <c r="C65" s="18">
        <v>1150</v>
      </c>
      <c r="D65" s="18">
        <v>100</v>
      </c>
      <c r="E65" s="18">
        <v>85</v>
      </c>
      <c r="F65" t="s" s="19">
        <v>9</v>
      </c>
      <c r="G65" s="18">
        <v>5</v>
      </c>
      <c r="H65" t="s" s="19">
        <v>39</v>
      </c>
      <c r="I65" s="12"/>
      <c r="J65" t="s" s="19">
        <v>35</v>
      </c>
      <c r="K65" s="18">
        <f>(D65*6)+(E65*4)</f>
        <v>940</v>
      </c>
      <c r="L65" t="s" s="19">
        <v>35</v>
      </c>
      <c r="M65" s="12"/>
      <c r="N65" s="12"/>
      <c r="O65" t="s" s="19">
        <v>35</v>
      </c>
      <c r="P65" s="12"/>
    </row>
    <row r="66" ht="20.05" customHeight="1">
      <c r="A66" t="s" s="10">
        <v>145</v>
      </c>
      <c r="B66" t="s" s="11">
        <v>33</v>
      </c>
      <c r="C66" s="18">
        <v>1200</v>
      </c>
      <c r="D66" s="18">
        <v>95</v>
      </c>
      <c r="E66" s="18">
        <v>80</v>
      </c>
      <c r="F66" t="s" s="19">
        <v>146</v>
      </c>
      <c r="G66" s="18">
        <v>4</v>
      </c>
      <c r="H66" t="s" s="19">
        <v>39</v>
      </c>
      <c r="I66" s="12"/>
      <c r="J66" t="s" s="19">
        <v>35</v>
      </c>
      <c r="K66" s="18">
        <f>(D66*6)+(E66*4)</f>
        <v>890</v>
      </c>
      <c r="L66" s="12"/>
      <c r="M66" s="12"/>
      <c r="N66" s="12"/>
      <c r="O66" s="12"/>
      <c r="P66" s="12"/>
    </row>
    <row r="67" ht="44.05" customHeight="1">
      <c r="A67" t="s" s="10">
        <v>147</v>
      </c>
      <c r="B67" t="s" s="11">
        <v>33</v>
      </c>
      <c r="C67" s="18">
        <v>600</v>
      </c>
      <c r="D67" s="18">
        <v>10</v>
      </c>
      <c r="E67" s="18">
        <v>30</v>
      </c>
      <c r="F67" t="s" s="19">
        <v>5</v>
      </c>
      <c r="G67" s="18">
        <v>1</v>
      </c>
      <c r="H67" t="s" s="19">
        <v>148</v>
      </c>
      <c r="I67" s="12"/>
      <c r="J67" t="s" s="19">
        <v>35</v>
      </c>
      <c r="K67" s="18">
        <f>(D67*6)+(E67*4)</f>
        <v>180</v>
      </c>
      <c r="L67" t="s" s="19">
        <v>35</v>
      </c>
      <c r="M67" s="12"/>
      <c r="N67" s="12"/>
      <c r="O67" t="s" s="19">
        <v>35</v>
      </c>
      <c r="P67" s="12"/>
    </row>
    <row r="68" ht="20.05" customHeight="1">
      <c r="A68" t="s" s="10">
        <v>149</v>
      </c>
      <c r="B68" t="s" s="11">
        <v>33</v>
      </c>
      <c r="C68" s="18">
        <v>200</v>
      </c>
      <c r="D68" s="18">
        <v>25</v>
      </c>
      <c r="E68" s="18">
        <v>0</v>
      </c>
      <c r="F68" t="s" s="19">
        <v>5</v>
      </c>
      <c r="G68" s="18">
        <v>1</v>
      </c>
      <c r="H68" t="s" s="19">
        <v>39</v>
      </c>
      <c r="I68" s="12"/>
      <c r="J68" t="s" s="19">
        <v>35</v>
      </c>
      <c r="K68" s="18">
        <f>(D68*6)+(E68*4)</f>
        <v>150</v>
      </c>
      <c r="L68" s="12"/>
      <c r="M68" s="12"/>
      <c r="N68" s="12"/>
      <c r="O68" s="12"/>
      <c r="P68" s="12"/>
    </row>
    <row r="69" ht="44.05" customHeight="1">
      <c r="A69" t="s" s="10">
        <v>150</v>
      </c>
      <c r="B69" t="s" s="11">
        <v>33</v>
      </c>
      <c r="C69" s="18">
        <v>100</v>
      </c>
      <c r="D69" s="18">
        <v>10</v>
      </c>
      <c r="E69" s="18">
        <v>10</v>
      </c>
      <c r="F69" t="s" s="19">
        <v>9</v>
      </c>
      <c r="G69" s="18">
        <v>1</v>
      </c>
      <c r="H69" t="s" s="19">
        <v>151</v>
      </c>
      <c r="I69" s="12"/>
      <c r="J69" t="s" s="19">
        <v>35</v>
      </c>
      <c r="K69" s="18">
        <f>(D69*6)+(E69*4)</f>
        <v>100</v>
      </c>
      <c r="L69" t="s" s="19">
        <v>35</v>
      </c>
      <c r="M69" s="12"/>
      <c r="N69" s="12"/>
      <c r="O69" s="12"/>
      <c r="P69" t="s" s="19">
        <v>35</v>
      </c>
    </row>
    <row r="70" ht="20.05" customHeight="1">
      <c r="A70" t="s" s="10">
        <v>152</v>
      </c>
      <c r="B70" t="s" s="11">
        <v>33</v>
      </c>
      <c r="C70" s="18">
        <v>100</v>
      </c>
      <c r="D70" s="18">
        <v>0</v>
      </c>
      <c r="E70" s="18">
        <v>0</v>
      </c>
      <c r="F70" t="s" s="19">
        <v>3</v>
      </c>
      <c r="G70" s="18">
        <v>1</v>
      </c>
      <c r="H70" t="s" s="19">
        <v>153</v>
      </c>
      <c r="I70" s="12"/>
      <c r="J70" t="s" s="19">
        <v>35</v>
      </c>
      <c r="K70" s="18">
        <f>(D70*6)+(E70*4)</f>
        <v>0</v>
      </c>
      <c r="L70" t="s" s="19">
        <v>35</v>
      </c>
      <c r="M70" s="12"/>
      <c r="N70" t="s" s="19">
        <v>35</v>
      </c>
      <c r="O70" s="12"/>
      <c r="P70" s="12"/>
    </row>
    <row r="71" ht="44.05" customHeight="1">
      <c r="A71" t="s" s="10">
        <v>154</v>
      </c>
      <c r="B71" t="s" s="11">
        <v>33</v>
      </c>
      <c r="C71" s="18">
        <v>700</v>
      </c>
      <c r="D71" s="18">
        <v>0</v>
      </c>
      <c r="E71" s="18">
        <v>25</v>
      </c>
      <c r="F71" t="s" s="19">
        <v>3</v>
      </c>
      <c r="G71" s="18">
        <v>1</v>
      </c>
      <c r="H71" t="s" s="19">
        <v>155</v>
      </c>
      <c r="I71" s="12"/>
      <c r="J71" t="s" s="19">
        <v>35</v>
      </c>
      <c r="K71" s="18">
        <f>(D71*6)+(E71*4)</f>
        <v>100</v>
      </c>
      <c r="L71" t="s" s="19">
        <v>35</v>
      </c>
      <c r="M71" s="12"/>
      <c r="N71" t="s" s="19">
        <v>35</v>
      </c>
      <c r="O71" s="12"/>
      <c r="P71" s="12"/>
    </row>
    <row r="72" ht="32.05" customHeight="1">
      <c r="A72" t="s" s="10">
        <v>156</v>
      </c>
      <c r="B72" t="s" s="11">
        <v>33</v>
      </c>
      <c r="C72" s="18">
        <v>300</v>
      </c>
      <c r="D72" s="18">
        <v>25</v>
      </c>
      <c r="E72" s="18">
        <v>20</v>
      </c>
      <c r="F72" t="s" s="19">
        <v>3</v>
      </c>
      <c r="G72" s="18">
        <v>1</v>
      </c>
      <c r="H72" t="s" s="19">
        <v>39</v>
      </c>
      <c r="I72" s="12"/>
      <c r="J72" t="s" s="19">
        <v>35</v>
      </c>
      <c r="K72" s="18">
        <f>(D72*6)+(E72*4)</f>
        <v>230</v>
      </c>
      <c r="L72" t="s" s="19">
        <v>35</v>
      </c>
      <c r="M72" s="12"/>
      <c r="N72" s="12"/>
      <c r="O72" s="12"/>
      <c r="P72" t="s" s="19">
        <v>35</v>
      </c>
    </row>
    <row r="73" ht="20.05" customHeight="1">
      <c r="A73" t="s" s="10">
        <v>157</v>
      </c>
      <c r="B73" t="s" s="11">
        <v>33</v>
      </c>
      <c r="C73" s="18">
        <v>200</v>
      </c>
      <c r="D73" s="18">
        <v>10</v>
      </c>
      <c r="E73" s="18">
        <v>20</v>
      </c>
      <c r="F73" t="s" s="19">
        <v>3</v>
      </c>
      <c r="G73" s="18">
        <v>1</v>
      </c>
      <c r="H73" t="s" s="19">
        <v>158</v>
      </c>
      <c r="I73" s="12"/>
      <c r="J73" t="s" s="19">
        <v>35</v>
      </c>
      <c r="K73" s="18">
        <f>(D73*6)+(E73*4)</f>
        <v>140</v>
      </c>
      <c r="L73" s="12"/>
      <c r="M73" s="12"/>
      <c r="N73" s="12"/>
      <c r="O73" s="12"/>
      <c r="P73" s="12"/>
    </row>
    <row r="74" ht="20.05" customHeight="1">
      <c r="A74" t="s" s="10">
        <v>159</v>
      </c>
      <c r="B74" t="s" s="11">
        <v>33</v>
      </c>
      <c r="C74" s="18">
        <v>200</v>
      </c>
      <c r="D74" s="18">
        <v>20</v>
      </c>
      <c r="E74" s="18">
        <v>15</v>
      </c>
      <c r="F74" t="s" s="19">
        <v>3</v>
      </c>
      <c r="G74" s="18">
        <v>1</v>
      </c>
      <c r="H74" t="s" s="19">
        <v>39</v>
      </c>
      <c r="I74" s="12"/>
      <c r="J74" t="s" s="19">
        <v>35</v>
      </c>
      <c r="K74" s="18">
        <f>(D74*6)+(E74*4)</f>
        <v>180</v>
      </c>
      <c r="L74" s="12"/>
      <c r="M74" s="12"/>
      <c r="N74" s="12"/>
      <c r="O74" s="12"/>
      <c r="P74" s="12"/>
    </row>
    <row r="75" ht="20.05" customHeight="1">
      <c r="A75" t="s" s="10">
        <v>160</v>
      </c>
      <c r="B75" t="s" s="11">
        <v>33</v>
      </c>
      <c r="C75" s="18">
        <v>400</v>
      </c>
      <c r="D75" s="18">
        <v>0</v>
      </c>
      <c r="E75" s="18">
        <v>25</v>
      </c>
      <c r="F75" t="s" s="19">
        <v>3</v>
      </c>
      <c r="G75" s="18">
        <v>1</v>
      </c>
      <c r="H75" t="s" s="19">
        <v>161</v>
      </c>
      <c r="I75" s="12"/>
      <c r="J75" t="s" s="19">
        <v>35</v>
      </c>
      <c r="K75" s="18">
        <f>(D75*6)+(E75*4)</f>
        <v>100</v>
      </c>
      <c r="L75" s="12"/>
      <c r="M75" s="12"/>
      <c r="N75" s="12"/>
      <c r="O75" s="12"/>
      <c r="P75" s="12"/>
    </row>
    <row r="76" ht="20.05" customHeight="1">
      <c r="A76" t="s" s="10">
        <v>162</v>
      </c>
      <c r="B76" t="s" s="11">
        <v>33</v>
      </c>
      <c r="C76" s="18">
        <v>300</v>
      </c>
      <c r="D76" s="18">
        <v>25</v>
      </c>
      <c r="E76" s="18">
        <v>20</v>
      </c>
      <c r="F76" t="s" s="19">
        <v>3</v>
      </c>
      <c r="G76" s="18">
        <v>2</v>
      </c>
      <c r="H76" t="s" s="19">
        <v>39</v>
      </c>
      <c r="I76" s="12"/>
      <c r="J76" t="s" s="19">
        <v>35</v>
      </c>
      <c r="K76" s="18">
        <f>(D76*6)+(E76*4)</f>
        <v>230</v>
      </c>
      <c r="L76" t="s" s="19">
        <v>35</v>
      </c>
      <c r="M76" s="12"/>
      <c r="N76" s="19"/>
      <c r="O76" s="12"/>
      <c r="P76" s="12"/>
    </row>
    <row r="77" ht="20.05" customHeight="1">
      <c r="A77" t="s" s="10">
        <v>163</v>
      </c>
      <c r="B77" t="s" s="11">
        <v>33</v>
      </c>
      <c r="C77" s="18">
        <v>320</v>
      </c>
      <c r="D77" s="18">
        <v>25</v>
      </c>
      <c r="E77" s="18">
        <v>15</v>
      </c>
      <c r="F77" t="s" s="19">
        <v>3</v>
      </c>
      <c r="G77" s="18">
        <v>1</v>
      </c>
      <c r="H77" t="s" s="19">
        <v>164</v>
      </c>
      <c r="I77" s="12"/>
      <c r="J77" t="s" s="19">
        <v>35</v>
      </c>
      <c r="K77" s="18">
        <f>(D77*6)+(E77*4)</f>
        <v>210</v>
      </c>
      <c r="L77" s="12"/>
      <c r="M77" s="12"/>
      <c r="N77" s="12"/>
      <c r="O77" s="12"/>
      <c r="P77" s="12"/>
    </row>
    <row r="78" ht="44.05" customHeight="1">
      <c r="A78" t="s" s="10">
        <v>165</v>
      </c>
      <c r="B78" t="s" s="11">
        <v>33</v>
      </c>
      <c r="C78" s="18">
        <v>280</v>
      </c>
      <c r="D78" s="18">
        <v>25</v>
      </c>
      <c r="E78" s="18">
        <v>5</v>
      </c>
      <c r="F78" t="s" s="19">
        <v>3</v>
      </c>
      <c r="G78" s="18">
        <v>1</v>
      </c>
      <c r="H78" t="s" s="19">
        <v>166</v>
      </c>
      <c r="I78" s="12"/>
      <c r="J78" t="s" s="19">
        <v>35</v>
      </c>
      <c r="K78" s="18">
        <f>(D78*6)+(E78*4)</f>
        <v>170</v>
      </c>
      <c r="L78" t="s" s="19">
        <v>35</v>
      </c>
      <c r="M78" s="12"/>
      <c r="N78" s="12"/>
      <c r="O78" t="s" s="19">
        <v>35</v>
      </c>
      <c r="P78" s="12"/>
    </row>
    <row r="79" ht="20.05" customHeight="1">
      <c r="A79" t="s" s="10">
        <v>167</v>
      </c>
      <c r="B79" t="s" s="11">
        <v>33</v>
      </c>
      <c r="C79" s="18">
        <v>250</v>
      </c>
      <c r="D79" s="18">
        <v>20</v>
      </c>
      <c r="E79" s="18">
        <v>25</v>
      </c>
      <c r="F79" t="s" s="19">
        <v>3</v>
      </c>
      <c r="G79" s="18">
        <v>1</v>
      </c>
      <c r="H79" t="s" s="19">
        <v>39</v>
      </c>
      <c r="I79" s="12"/>
      <c r="J79" t="s" s="19">
        <v>35</v>
      </c>
      <c r="K79" s="18">
        <f>(D79*6)+(E79*4)</f>
        <v>220</v>
      </c>
      <c r="L79" t="s" s="19">
        <v>35</v>
      </c>
      <c r="M79" s="12"/>
      <c r="N79" s="12"/>
      <c r="O79" s="19"/>
      <c r="P79" s="12"/>
    </row>
    <row r="80" ht="20.05" customHeight="1">
      <c r="A80" t="s" s="10">
        <v>168</v>
      </c>
      <c r="B80" t="s" s="11">
        <v>33</v>
      </c>
      <c r="C80" s="18">
        <v>250</v>
      </c>
      <c r="D80" s="18">
        <v>20</v>
      </c>
      <c r="E80" s="18">
        <v>20</v>
      </c>
      <c r="F80" t="s" s="19">
        <v>3</v>
      </c>
      <c r="G80" s="18">
        <v>1</v>
      </c>
      <c r="H80" t="s" s="19">
        <v>39</v>
      </c>
      <c r="I80" s="12"/>
      <c r="J80" t="s" s="19">
        <v>35</v>
      </c>
      <c r="K80" s="18">
        <f>(D80*6)+(E80*4)</f>
        <v>200</v>
      </c>
      <c r="L80" t="s" s="19">
        <v>35</v>
      </c>
      <c r="M80" s="12"/>
      <c r="N80" s="12"/>
      <c r="O80" s="19"/>
      <c r="P80" s="12"/>
    </row>
    <row r="81" ht="20.05" customHeight="1">
      <c r="A81" t="s" s="10">
        <v>169</v>
      </c>
      <c r="B81" t="s" s="11">
        <v>33</v>
      </c>
      <c r="C81" s="18">
        <v>250</v>
      </c>
      <c r="D81" s="18">
        <v>25</v>
      </c>
      <c r="E81" s="18">
        <v>15</v>
      </c>
      <c r="F81" t="s" s="19">
        <v>3</v>
      </c>
      <c r="G81" s="18">
        <v>1</v>
      </c>
      <c r="H81" t="s" s="19">
        <v>39</v>
      </c>
      <c r="I81" s="12"/>
      <c r="J81" t="s" s="19">
        <v>35</v>
      </c>
      <c r="K81" s="18">
        <f>(D81*6)+(E81*4)</f>
        <v>210</v>
      </c>
      <c r="L81" t="s" s="19">
        <v>35</v>
      </c>
      <c r="M81" s="12"/>
      <c r="N81" s="12"/>
      <c r="O81" s="19"/>
      <c r="P81" s="12"/>
    </row>
    <row r="82" ht="20.05" customHeight="1">
      <c r="A82" t="s" s="10">
        <v>170</v>
      </c>
      <c r="B82" t="s" s="11">
        <v>33</v>
      </c>
      <c r="C82" s="18">
        <v>150</v>
      </c>
      <c r="D82" s="18">
        <v>0</v>
      </c>
      <c r="E82" s="18">
        <v>35</v>
      </c>
      <c r="F82" t="s" s="19">
        <v>3</v>
      </c>
      <c r="G82" s="18">
        <v>1</v>
      </c>
      <c r="H82" t="s" s="19">
        <v>39</v>
      </c>
      <c r="I82" s="12"/>
      <c r="J82" t="s" s="19">
        <v>35</v>
      </c>
      <c r="K82" s="18">
        <f>(D82*6)+(E82*4)</f>
        <v>140</v>
      </c>
      <c r="L82" t="s" s="19">
        <v>35</v>
      </c>
      <c r="M82" s="12"/>
      <c r="N82" s="12"/>
      <c r="O82" s="12"/>
      <c r="P82" t="s" s="19">
        <v>35</v>
      </c>
    </row>
    <row r="83" ht="32.05" customHeight="1">
      <c r="A83" t="s" s="10">
        <v>171</v>
      </c>
      <c r="B83" t="s" s="11">
        <v>33</v>
      </c>
      <c r="C83" s="18">
        <v>350</v>
      </c>
      <c r="D83" s="18">
        <v>40</v>
      </c>
      <c r="E83" s="18">
        <v>20</v>
      </c>
      <c r="F83" t="s" s="19">
        <v>3</v>
      </c>
      <c r="G83" s="18">
        <v>2</v>
      </c>
      <c r="H83" t="s" s="19">
        <v>172</v>
      </c>
      <c r="I83" s="12"/>
      <c r="J83" t="s" s="19">
        <v>35</v>
      </c>
      <c r="K83" s="18">
        <f>(D83*6)+(E83*4)</f>
        <v>320</v>
      </c>
      <c r="L83" t="s" s="19">
        <v>35</v>
      </c>
      <c r="M83" s="12"/>
      <c r="N83" t="s" s="19">
        <v>35</v>
      </c>
      <c r="O83" s="12"/>
      <c r="P83" s="12"/>
    </row>
    <row r="84" ht="44.05" customHeight="1">
      <c r="A84" t="s" s="10">
        <v>173</v>
      </c>
      <c r="B84" t="s" s="11">
        <v>33</v>
      </c>
      <c r="C84" s="18">
        <v>500</v>
      </c>
      <c r="D84" s="18">
        <v>30</v>
      </c>
      <c r="E84" s="18">
        <v>15</v>
      </c>
      <c r="F84" t="s" s="19">
        <v>3</v>
      </c>
      <c r="G84" s="18">
        <v>2</v>
      </c>
      <c r="H84" t="s" s="19">
        <v>174</v>
      </c>
      <c r="I84" s="12"/>
      <c r="J84" t="s" s="19">
        <v>35</v>
      </c>
      <c r="K84" s="18">
        <f>(D84*6)+(E84*4)</f>
        <v>240</v>
      </c>
      <c r="L84" t="s" s="19">
        <v>35</v>
      </c>
      <c r="M84" s="12"/>
      <c r="N84" t="s" s="19">
        <v>35</v>
      </c>
      <c r="O84" s="12"/>
      <c r="P84" s="12"/>
    </row>
    <row r="85" ht="20.05" customHeight="1">
      <c r="A85" t="s" s="10">
        <v>175</v>
      </c>
      <c r="B85" t="s" s="11">
        <v>33</v>
      </c>
      <c r="C85" s="18">
        <v>420</v>
      </c>
      <c r="D85" s="18">
        <v>20</v>
      </c>
      <c r="E85" s="18">
        <v>20</v>
      </c>
      <c r="F85" t="s" s="19">
        <v>3</v>
      </c>
      <c r="G85" s="18">
        <v>2</v>
      </c>
      <c r="H85" t="s" s="19">
        <v>176</v>
      </c>
      <c r="I85" s="12"/>
      <c r="J85" t="s" s="19">
        <v>35</v>
      </c>
      <c r="K85" s="18">
        <f>(D85*6)+(E85*4)</f>
        <v>200</v>
      </c>
      <c r="L85" s="12"/>
      <c r="M85" s="12"/>
      <c r="N85" s="12"/>
      <c r="O85" s="12"/>
      <c r="P85" s="12"/>
    </row>
    <row r="86" ht="44.05" customHeight="1">
      <c r="A86" t="s" s="10">
        <v>177</v>
      </c>
      <c r="B86" t="s" s="11">
        <v>33</v>
      </c>
      <c r="C86" s="18">
        <v>200</v>
      </c>
      <c r="D86" s="18">
        <v>15</v>
      </c>
      <c r="E86" s="18">
        <v>0</v>
      </c>
      <c r="F86" t="s" s="19">
        <v>3</v>
      </c>
      <c r="G86" s="18">
        <v>2</v>
      </c>
      <c r="H86" t="s" s="19">
        <v>178</v>
      </c>
      <c r="I86" s="12"/>
      <c r="J86" t="s" s="19">
        <v>35</v>
      </c>
      <c r="K86" s="18">
        <f>(D86*6)+(E86*4)</f>
        <v>90</v>
      </c>
      <c r="L86" t="s" s="19">
        <v>35</v>
      </c>
      <c r="M86" s="12"/>
      <c r="N86" s="12"/>
      <c r="O86" s="19"/>
      <c r="P86" s="12"/>
    </row>
    <row r="87" ht="32.05" customHeight="1">
      <c r="A87" t="s" s="10">
        <v>179</v>
      </c>
      <c r="B87" t="s" s="11">
        <v>33</v>
      </c>
      <c r="C87" s="18">
        <v>250</v>
      </c>
      <c r="D87" s="18">
        <v>20</v>
      </c>
      <c r="E87" s="18">
        <v>10</v>
      </c>
      <c r="F87" t="s" s="19">
        <v>3</v>
      </c>
      <c r="G87" s="18">
        <v>1</v>
      </c>
      <c r="H87" t="s" s="19">
        <v>180</v>
      </c>
      <c r="I87" s="12"/>
      <c r="J87" t="s" s="19">
        <v>35</v>
      </c>
      <c r="K87" s="18">
        <f>(D87*6)+(E87*4)</f>
        <v>160</v>
      </c>
      <c r="L87" s="12"/>
      <c r="M87" s="12"/>
      <c r="N87" s="12"/>
      <c r="O87" s="12"/>
      <c r="P87" s="12"/>
    </row>
    <row r="88" ht="44.05" customHeight="1">
      <c r="A88" t="s" s="10">
        <v>181</v>
      </c>
      <c r="B88" t="s" s="11">
        <v>33</v>
      </c>
      <c r="C88" s="18">
        <v>450</v>
      </c>
      <c r="D88" s="18">
        <v>20</v>
      </c>
      <c r="E88" s="18">
        <v>20</v>
      </c>
      <c r="F88" t="s" s="19">
        <v>3</v>
      </c>
      <c r="G88" s="18">
        <v>1</v>
      </c>
      <c r="H88" t="s" s="19">
        <v>182</v>
      </c>
      <c r="I88" s="12"/>
      <c r="J88" t="s" s="19">
        <v>35</v>
      </c>
      <c r="K88" s="18">
        <f>(D88*6)+(E88*4)</f>
        <v>200</v>
      </c>
      <c r="L88" s="12"/>
      <c r="M88" s="12"/>
      <c r="N88" s="12"/>
      <c r="O88" s="12"/>
      <c r="P88" s="12"/>
    </row>
    <row r="89" ht="44.05" customHeight="1">
      <c r="A89" t="s" s="10">
        <v>183</v>
      </c>
      <c r="B89" t="s" s="11">
        <v>33</v>
      </c>
      <c r="C89" s="18">
        <v>700</v>
      </c>
      <c r="D89" s="18">
        <v>40</v>
      </c>
      <c r="E89" s="18">
        <v>40</v>
      </c>
      <c r="F89" t="s" s="19">
        <v>3</v>
      </c>
      <c r="G89" s="18">
        <v>2</v>
      </c>
      <c r="H89" t="s" s="19">
        <v>182</v>
      </c>
      <c r="I89" s="12"/>
      <c r="J89" t="s" s="19">
        <v>35</v>
      </c>
      <c r="K89" s="18">
        <f>(D89*6)+(E89*4)</f>
        <v>400</v>
      </c>
      <c r="L89" s="12"/>
      <c r="M89" s="12"/>
      <c r="N89" s="12"/>
      <c r="O89" s="12"/>
      <c r="P89" s="12"/>
    </row>
    <row r="90" ht="32.05" customHeight="1">
      <c r="A90" t="s" s="10">
        <v>184</v>
      </c>
      <c r="B90" t="s" s="11">
        <v>33</v>
      </c>
      <c r="C90" s="18">
        <v>1100</v>
      </c>
      <c r="D90" s="18">
        <v>75</v>
      </c>
      <c r="E90" s="18">
        <v>90</v>
      </c>
      <c r="F90" t="s" s="19">
        <v>3</v>
      </c>
      <c r="G90" s="18">
        <v>4</v>
      </c>
      <c r="H90" t="s" s="19">
        <v>185</v>
      </c>
      <c r="I90" s="12"/>
      <c r="J90" t="s" s="19">
        <v>35</v>
      </c>
      <c r="K90" s="18">
        <f>(D90*6)+(E90*4)</f>
        <v>810</v>
      </c>
      <c r="L90" s="12"/>
      <c r="M90" s="12"/>
      <c r="N90" s="12"/>
      <c r="O90" s="12"/>
      <c r="P90" s="12"/>
    </row>
    <row r="91" ht="32.05" customHeight="1">
      <c r="A91" t="s" s="10">
        <v>186</v>
      </c>
      <c r="B91" t="s" s="11">
        <v>33</v>
      </c>
      <c r="C91" s="18">
        <v>300</v>
      </c>
      <c r="D91" s="18">
        <v>20</v>
      </c>
      <c r="E91" s="18">
        <v>30</v>
      </c>
      <c r="F91" t="s" s="19">
        <v>3</v>
      </c>
      <c r="G91" s="18">
        <v>1</v>
      </c>
      <c r="H91" t="s" s="19">
        <v>187</v>
      </c>
      <c r="I91" s="12"/>
      <c r="J91" t="s" s="19">
        <v>35</v>
      </c>
      <c r="K91" s="18">
        <f>(D91*6)+(E91*4)</f>
        <v>240</v>
      </c>
      <c r="L91" t="s" s="19">
        <v>35</v>
      </c>
      <c r="M91" s="12"/>
      <c r="N91" s="12"/>
      <c r="O91" s="12"/>
      <c r="P91" t="s" s="19">
        <v>35</v>
      </c>
    </row>
    <row r="92" ht="20.05" customHeight="1">
      <c r="A92" t="s" s="10">
        <v>188</v>
      </c>
      <c r="B92" t="s" s="11">
        <v>33</v>
      </c>
      <c r="C92" s="18">
        <v>400</v>
      </c>
      <c r="D92" s="18">
        <v>40</v>
      </c>
      <c r="E92" s="18">
        <v>30</v>
      </c>
      <c r="F92" t="s" s="19">
        <v>3</v>
      </c>
      <c r="G92" s="18">
        <v>2</v>
      </c>
      <c r="H92" t="s" s="19">
        <v>189</v>
      </c>
      <c r="I92" s="12"/>
      <c r="J92" t="s" s="19">
        <v>35</v>
      </c>
      <c r="K92" s="18">
        <f>(D92*6)+(E92*4)</f>
        <v>360</v>
      </c>
      <c r="L92" s="12"/>
      <c r="M92" s="12"/>
      <c r="N92" s="12"/>
      <c r="O92" s="12"/>
      <c r="P92" s="12"/>
    </row>
    <row r="93" ht="20.05" customHeight="1">
      <c r="A93" t="s" s="10">
        <v>190</v>
      </c>
      <c r="B93" t="s" s="11">
        <v>33</v>
      </c>
      <c r="C93" s="18">
        <v>500</v>
      </c>
      <c r="D93" s="18">
        <v>50</v>
      </c>
      <c r="E93" s="18">
        <v>10</v>
      </c>
      <c r="F93" t="s" s="19">
        <v>3</v>
      </c>
      <c r="G93" s="18">
        <v>2</v>
      </c>
      <c r="H93" t="s" s="19">
        <v>39</v>
      </c>
      <c r="I93" s="12"/>
      <c r="J93" t="s" s="19">
        <v>35</v>
      </c>
      <c r="K93" s="18">
        <f>(D93*6)+(E93*4)</f>
        <v>340</v>
      </c>
      <c r="L93" t="s" s="19">
        <v>35</v>
      </c>
      <c r="M93" s="12"/>
      <c r="N93" s="12"/>
      <c r="O93" t="s" s="19">
        <v>35</v>
      </c>
      <c r="P93" s="12"/>
    </row>
    <row r="94" ht="32.05" customHeight="1">
      <c r="A94" t="s" s="10">
        <v>191</v>
      </c>
      <c r="B94" t="s" s="11">
        <v>33</v>
      </c>
      <c r="C94" s="18">
        <v>450</v>
      </c>
      <c r="D94" s="18">
        <v>35</v>
      </c>
      <c r="E94" s="18">
        <v>35</v>
      </c>
      <c r="F94" t="s" s="19">
        <v>3</v>
      </c>
      <c r="G94" s="18">
        <v>2</v>
      </c>
      <c r="H94" t="s" s="19">
        <v>192</v>
      </c>
      <c r="I94" s="12"/>
      <c r="J94" t="s" s="19">
        <v>35</v>
      </c>
      <c r="K94" s="18">
        <f>(D94*6)+(E94*4)</f>
        <v>350</v>
      </c>
      <c r="L94" s="12"/>
      <c r="M94" s="12"/>
      <c r="N94" s="12"/>
      <c r="O94" s="12"/>
      <c r="P94" s="12"/>
    </row>
    <row r="95" ht="32.05" customHeight="1">
      <c r="A95" t="s" s="10">
        <v>193</v>
      </c>
      <c r="B95" t="s" s="11">
        <v>33</v>
      </c>
      <c r="C95" s="18">
        <v>300</v>
      </c>
      <c r="D95" s="18">
        <v>25</v>
      </c>
      <c r="E95" s="18">
        <v>30</v>
      </c>
      <c r="F95" t="s" s="19">
        <v>3</v>
      </c>
      <c r="G95" s="18">
        <v>2</v>
      </c>
      <c r="H95" t="s" s="19">
        <v>194</v>
      </c>
      <c r="I95" s="12"/>
      <c r="J95" t="s" s="19">
        <v>35</v>
      </c>
      <c r="K95" s="18">
        <f>(D95*6)+(E95*4)</f>
        <v>270</v>
      </c>
      <c r="L95" s="12"/>
      <c r="M95" s="12"/>
      <c r="N95" s="12"/>
      <c r="O95" s="12"/>
      <c r="P95" s="12"/>
    </row>
    <row r="96" ht="20.05" customHeight="1">
      <c r="A96" t="s" s="10">
        <v>195</v>
      </c>
      <c r="B96" t="s" s="11">
        <v>33</v>
      </c>
      <c r="C96" s="18">
        <v>550</v>
      </c>
      <c r="D96" s="18">
        <v>60</v>
      </c>
      <c r="E96" s="18">
        <v>0</v>
      </c>
      <c r="F96" t="s" s="19">
        <v>3</v>
      </c>
      <c r="G96" s="18">
        <v>3</v>
      </c>
      <c r="H96" t="s" s="19">
        <v>39</v>
      </c>
      <c r="I96" s="12"/>
      <c r="J96" t="s" s="19">
        <v>35</v>
      </c>
      <c r="K96" s="18">
        <f>(D96*6)+(E96*4)</f>
        <v>360</v>
      </c>
      <c r="L96" t="s" s="19">
        <v>35</v>
      </c>
      <c r="M96" s="12"/>
      <c r="N96" t="s" s="19">
        <v>35</v>
      </c>
      <c r="O96" s="12"/>
      <c r="P96" s="12"/>
    </row>
    <row r="97" ht="32.05" customHeight="1">
      <c r="A97" t="s" s="10">
        <v>196</v>
      </c>
      <c r="B97" t="s" s="11">
        <v>33</v>
      </c>
      <c r="C97" s="18">
        <v>400</v>
      </c>
      <c r="D97" s="18">
        <v>40</v>
      </c>
      <c r="E97" s="18">
        <v>30</v>
      </c>
      <c r="F97" t="s" s="19">
        <v>3</v>
      </c>
      <c r="G97" s="18">
        <v>2</v>
      </c>
      <c r="H97" t="s" s="19">
        <v>197</v>
      </c>
      <c r="I97" s="12"/>
      <c r="J97" t="s" s="19">
        <v>35</v>
      </c>
      <c r="K97" s="18">
        <f>(D97*6)+(E97*4)</f>
        <v>360</v>
      </c>
      <c r="L97" t="s" s="19">
        <v>35</v>
      </c>
      <c r="M97" s="12"/>
      <c r="N97" s="12"/>
      <c r="O97" s="12"/>
      <c r="P97" t="s" s="19">
        <v>35</v>
      </c>
    </row>
    <row r="98" ht="20.05" customHeight="1">
      <c r="A98" t="s" s="10">
        <v>198</v>
      </c>
      <c r="B98" t="s" s="11">
        <v>33</v>
      </c>
      <c r="C98" s="18">
        <v>450</v>
      </c>
      <c r="D98" s="18">
        <v>35</v>
      </c>
      <c r="E98" s="18">
        <v>40</v>
      </c>
      <c r="F98" t="s" s="19">
        <v>3</v>
      </c>
      <c r="G98" s="18">
        <v>2</v>
      </c>
      <c r="H98" t="s" s="19">
        <v>39</v>
      </c>
      <c r="I98" s="12"/>
      <c r="J98" t="s" s="19">
        <v>35</v>
      </c>
      <c r="K98" s="18">
        <f>(D98*6)+(E98*4)</f>
        <v>370</v>
      </c>
      <c r="L98" t="s" s="19">
        <v>35</v>
      </c>
      <c r="M98" s="12"/>
      <c r="N98" t="s" s="19">
        <v>35</v>
      </c>
      <c r="O98" s="12"/>
      <c r="P98" s="12"/>
    </row>
    <row r="99" ht="44.05" customHeight="1">
      <c r="A99" t="s" s="10">
        <v>199</v>
      </c>
      <c r="B99" t="s" s="11">
        <v>33</v>
      </c>
      <c r="C99" s="18">
        <v>500</v>
      </c>
      <c r="D99" s="18">
        <v>65</v>
      </c>
      <c r="E99" s="18">
        <v>30</v>
      </c>
      <c r="F99" t="s" s="19">
        <v>3</v>
      </c>
      <c r="G99" s="18">
        <v>3</v>
      </c>
      <c r="H99" t="s" s="19">
        <v>200</v>
      </c>
      <c r="I99" s="12"/>
      <c r="J99" t="s" s="19">
        <v>35</v>
      </c>
      <c r="K99" s="18">
        <f>(D99*6)+(E99*4)</f>
        <v>510</v>
      </c>
      <c r="L99" s="12"/>
      <c r="M99" s="12"/>
      <c r="N99" s="12"/>
      <c r="O99" s="12"/>
      <c r="P99" s="12"/>
    </row>
    <row r="100" ht="32.05" customHeight="1">
      <c r="A100" t="s" s="10">
        <v>201</v>
      </c>
      <c r="B100" t="s" s="11">
        <v>33</v>
      </c>
      <c r="C100" s="18">
        <v>700</v>
      </c>
      <c r="D100" s="18">
        <v>45</v>
      </c>
      <c r="E100" s="18">
        <v>40</v>
      </c>
      <c r="F100" t="s" s="19">
        <v>3</v>
      </c>
      <c r="G100" s="18">
        <v>2</v>
      </c>
      <c r="H100" t="s" s="19">
        <v>202</v>
      </c>
      <c r="I100" s="12"/>
      <c r="J100" t="s" s="19">
        <v>35</v>
      </c>
      <c r="K100" s="18">
        <f>(D100*6)+(E100*4)</f>
        <v>430</v>
      </c>
      <c r="L100" s="12"/>
      <c r="M100" s="12"/>
      <c r="N100" s="12"/>
      <c r="O100" s="12"/>
      <c r="P100" s="12"/>
    </row>
    <row r="101" ht="44.05" customHeight="1">
      <c r="A101" t="s" s="10">
        <v>203</v>
      </c>
      <c r="B101" t="s" s="11">
        <v>33</v>
      </c>
      <c r="C101" s="18">
        <v>500</v>
      </c>
      <c r="D101" s="18">
        <v>35</v>
      </c>
      <c r="E101" s="18">
        <v>40</v>
      </c>
      <c r="F101" t="s" s="19">
        <v>3</v>
      </c>
      <c r="G101" s="18">
        <v>2</v>
      </c>
      <c r="H101" t="s" s="19">
        <v>204</v>
      </c>
      <c r="I101" s="12"/>
      <c r="J101" t="s" s="19">
        <v>35</v>
      </c>
      <c r="K101" s="18">
        <f>(D101*6)+(E101*4)</f>
        <v>370</v>
      </c>
      <c r="L101" s="12"/>
      <c r="M101" s="12"/>
      <c r="N101" s="12"/>
      <c r="O101" s="12"/>
      <c r="P101" s="12"/>
    </row>
    <row r="102" ht="32.05" customHeight="1">
      <c r="A102" t="s" s="10">
        <v>205</v>
      </c>
      <c r="B102" t="s" s="11">
        <v>33</v>
      </c>
      <c r="C102" s="18">
        <v>500</v>
      </c>
      <c r="D102" s="18">
        <v>40</v>
      </c>
      <c r="E102" s="18">
        <v>40</v>
      </c>
      <c r="F102" t="s" s="19">
        <v>3</v>
      </c>
      <c r="G102" s="18">
        <v>2</v>
      </c>
      <c r="H102" t="s" s="19">
        <v>206</v>
      </c>
      <c r="I102" s="12"/>
      <c r="J102" t="s" s="19">
        <v>35</v>
      </c>
      <c r="K102" s="18">
        <f>(D102*6)+(E102*4)</f>
        <v>400</v>
      </c>
      <c r="L102" s="12"/>
      <c r="M102" s="12"/>
      <c r="N102" s="12"/>
      <c r="O102" s="12"/>
      <c r="P102" s="12"/>
    </row>
    <row r="103" ht="32.05" customHeight="1">
      <c r="A103" t="s" s="10">
        <v>207</v>
      </c>
      <c r="B103" t="s" s="11">
        <v>33</v>
      </c>
      <c r="C103" s="18">
        <v>500</v>
      </c>
      <c r="D103" s="18">
        <v>45</v>
      </c>
      <c r="E103" s="18">
        <v>75</v>
      </c>
      <c r="F103" t="s" s="19">
        <v>3</v>
      </c>
      <c r="G103" s="18">
        <v>3</v>
      </c>
      <c r="H103" t="s" s="19">
        <v>208</v>
      </c>
      <c r="I103" s="12"/>
      <c r="J103" t="s" s="19">
        <v>35</v>
      </c>
      <c r="K103" s="18">
        <f>(D103*6)+(E103*4)</f>
        <v>570</v>
      </c>
      <c r="L103" s="12"/>
      <c r="M103" s="12"/>
      <c r="N103" s="12"/>
      <c r="O103" s="12"/>
      <c r="P103" s="12"/>
    </row>
    <row r="104" ht="32.05" customHeight="1">
      <c r="A104" t="s" s="10">
        <v>209</v>
      </c>
      <c r="B104" t="s" s="11">
        <v>33</v>
      </c>
      <c r="C104" s="18">
        <v>450</v>
      </c>
      <c r="D104" s="18">
        <v>25</v>
      </c>
      <c r="E104" s="18">
        <v>35</v>
      </c>
      <c r="F104" t="s" s="19">
        <v>3</v>
      </c>
      <c r="G104" s="18">
        <v>3</v>
      </c>
      <c r="H104" t="s" s="19">
        <v>210</v>
      </c>
      <c r="I104" s="12"/>
      <c r="J104" t="s" s="19">
        <v>35</v>
      </c>
      <c r="K104" s="18">
        <f>(D104*6)+(E104*4)</f>
        <v>290</v>
      </c>
      <c r="L104" s="12"/>
      <c r="M104" s="12"/>
      <c r="N104" s="12"/>
      <c r="O104" s="12"/>
      <c r="P104" s="12"/>
    </row>
    <row r="105" ht="20.05" customHeight="1">
      <c r="A105" t="s" s="10">
        <v>211</v>
      </c>
      <c r="B105" t="s" s="11">
        <v>33</v>
      </c>
      <c r="C105" s="18">
        <v>550</v>
      </c>
      <c r="D105" s="18">
        <v>45</v>
      </c>
      <c r="E105" s="18">
        <v>65</v>
      </c>
      <c r="F105" t="s" s="19">
        <v>3</v>
      </c>
      <c r="G105" s="18">
        <v>3</v>
      </c>
      <c r="H105" t="s" s="19">
        <v>39</v>
      </c>
      <c r="I105" s="12"/>
      <c r="J105" t="s" s="19">
        <v>35</v>
      </c>
      <c r="K105" s="18">
        <f>(D105*6)+(E105*4)</f>
        <v>530</v>
      </c>
      <c r="L105" s="12"/>
      <c r="M105" s="12"/>
      <c r="N105" s="12"/>
      <c r="O105" s="12"/>
      <c r="P105" s="12"/>
    </row>
    <row r="106" ht="44.05" customHeight="1">
      <c r="A106" t="s" s="10">
        <v>212</v>
      </c>
      <c r="B106" t="s" s="11">
        <v>33</v>
      </c>
      <c r="C106" s="18">
        <v>800</v>
      </c>
      <c r="D106" s="18">
        <v>0</v>
      </c>
      <c r="E106" s="18">
        <v>0</v>
      </c>
      <c r="F106" t="s" s="19">
        <v>3</v>
      </c>
      <c r="G106" s="18">
        <v>3</v>
      </c>
      <c r="H106" t="s" s="19">
        <v>213</v>
      </c>
      <c r="I106" s="12"/>
      <c r="J106" t="s" s="19">
        <v>35</v>
      </c>
      <c r="K106" s="18">
        <f>(D106*6)+(E106*4)</f>
        <v>0</v>
      </c>
      <c r="L106" s="12"/>
      <c r="M106" s="12"/>
      <c r="N106" s="12"/>
      <c r="O106" s="12"/>
      <c r="P106" s="12"/>
    </row>
    <row r="107" ht="44.05" customHeight="1">
      <c r="A107" t="s" s="10">
        <v>214</v>
      </c>
      <c r="B107" t="s" s="11">
        <v>33</v>
      </c>
      <c r="C107" s="18">
        <v>860</v>
      </c>
      <c r="D107" s="18">
        <v>75</v>
      </c>
      <c r="E107" s="18">
        <v>0</v>
      </c>
      <c r="F107" t="s" s="19">
        <v>3</v>
      </c>
      <c r="G107" s="18">
        <v>3</v>
      </c>
      <c r="H107" t="s" s="19">
        <v>215</v>
      </c>
      <c r="I107" s="12"/>
      <c r="J107" t="s" s="19">
        <v>35</v>
      </c>
      <c r="K107" s="18">
        <f>(D107*6)+(E107*4)</f>
        <v>450</v>
      </c>
      <c r="L107" t="s" s="19">
        <v>35</v>
      </c>
      <c r="M107" s="12"/>
      <c r="N107" s="12"/>
      <c r="O107" t="s" s="19">
        <v>35</v>
      </c>
      <c r="P107" s="12"/>
    </row>
    <row r="108" ht="32.05" customHeight="1">
      <c r="A108" t="s" s="10">
        <v>216</v>
      </c>
      <c r="B108" t="s" s="11">
        <v>33</v>
      </c>
      <c r="C108" s="18">
        <v>600</v>
      </c>
      <c r="D108" s="18">
        <v>60</v>
      </c>
      <c r="E108" s="18">
        <v>25</v>
      </c>
      <c r="F108" t="s" s="19">
        <v>3</v>
      </c>
      <c r="G108" s="18">
        <v>3</v>
      </c>
      <c r="H108" t="s" s="19">
        <v>217</v>
      </c>
      <c r="I108" s="12"/>
      <c r="J108" t="s" s="19">
        <v>35</v>
      </c>
      <c r="K108" s="18">
        <f>(D108*6)+(E108*4)</f>
        <v>460</v>
      </c>
      <c r="L108" t="s" s="19">
        <v>35</v>
      </c>
      <c r="M108" s="12"/>
      <c r="N108" s="12"/>
      <c r="O108" t="s" s="19">
        <v>35</v>
      </c>
      <c r="P108" s="12"/>
    </row>
    <row r="109" ht="32.05" customHeight="1">
      <c r="A109" t="s" s="10">
        <v>218</v>
      </c>
      <c r="B109" t="s" s="11">
        <v>33</v>
      </c>
      <c r="C109" s="18">
        <v>550</v>
      </c>
      <c r="D109" s="18">
        <v>45</v>
      </c>
      <c r="E109" s="18">
        <v>50</v>
      </c>
      <c r="F109" t="s" s="19">
        <v>3</v>
      </c>
      <c r="G109" s="18">
        <v>3</v>
      </c>
      <c r="H109" t="s" s="19">
        <v>219</v>
      </c>
      <c r="I109" s="12"/>
      <c r="J109" t="s" s="19">
        <v>35</v>
      </c>
      <c r="K109" s="18">
        <f>(D109*6)+(E109*4)</f>
        <v>470</v>
      </c>
      <c r="L109" t="s" s="19">
        <v>35</v>
      </c>
      <c r="M109" s="12"/>
      <c r="N109" s="12"/>
      <c r="O109" t="s" s="19">
        <v>35</v>
      </c>
      <c r="P109" s="12"/>
    </row>
    <row r="110" ht="32.05" customHeight="1">
      <c r="A110" t="s" s="10">
        <v>220</v>
      </c>
      <c r="B110" t="s" s="11">
        <v>33</v>
      </c>
      <c r="C110" s="18">
        <v>650</v>
      </c>
      <c r="D110" s="18">
        <v>50</v>
      </c>
      <c r="E110" s="18">
        <v>25</v>
      </c>
      <c r="F110" t="s" s="19">
        <v>3</v>
      </c>
      <c r="G110" s="18">
        <v>3</v>
      </c>
      <c r="H110" t="s" s="19">
        <v>221</v>
      </c>
      <c r="I110" s="12"/>
      <c r="J110" t="s" s="19">
        <v>35</v>
      </c>
      <c r="K110" s="18">
        <f>(D110*6)+(E110*4)</f>
        <v>400</v>
      </c>
      <c r="L110" s="12"/>
      <c r="M110" s="12"/>
      <c r="N110" s="12"/>
      <c r="O110" s="12"/>
      <c r="P110" s="12"/>
    </row>
    <row r="111" ht="32.05" customHeight="1">
      <c r="A111" t="s" s="10">
        <v>222</v>
      </c>
      <c r="B111" t="s" s="11">
        <v>33</v>
      </c>
      <c r="C111" s="18">
        <v>750</v>
      </c>
      <c r="D111" s="18">
        <v>80</v>
      </c>
      <c r="E111" s="18">
        <v>50</v>
      </c>
      <c r="F111" t="s" s="19">
        <v>3</v>
      </c>
      <c r="G111" s="18">
        <v>4</v>
      </c>
      <c r="H111" t="s" s="19">
        <v>39</v>
      </c>
      <c r="I111" s="12"/>
      <c r="J111" t="s" s="19">
        <v>35</v>
      </c>
      <c r="K111" s="18">
        <f>(D111*6)+(E111*4)</f>
        <v>680</v>
      </c>
      <c r="L111" s="12"/>
      <c r="M111" s="12"/>
      <c r="N111" s="12"/>
      <c r="O111" s="12"/>
      <c r="P111" s="12"/>
    </row>
    <row r="112" ht="32.05" customHeight="1">
      <c r="A112" t="s" s="10">
        <v>223</v>
      </c>
      <c r="B112" t="s" s="11">
        <v>33</v>
      </c>
      <c r="C112" s="18">
        <v>700</v>
      </c>
      <c r="D112" s="18">
        <v>55</v>
      </c>
      <c r="E112" s="18">
        <v>30</v>
      </c>
      <c r="F112" t="s" s="19">
        <v>3</v>
      </c>
      <c r="G112" s="18">
        <v>3</v>
      </c>
      <c r="H112" t="s" s="19">
        <v>224</v>
      </c>
      <c r="I112" s="12"/>
      <c r="J112" t="s" s="19">
        <v>35</v>
      </c>
      <c r="K112" s="18">
        <f>(D112*6)+(E112*4)</f>
        <v>450</v>
      </c>
      <c r="L112" s="12"/>
      <c r="M112" s="12"/>
      <c r="N112" s="12"/>
      <c r="O112" s="12"/>
      <c r="P112" s="12"/>
    </row>
    <row r="113" ht="44.05" customHeight="1">
      <c r="A113" t="s" s="10">
        <v>225</v>
      </c>
      <c r="B113" t="s" s="11">
        <v>33</v>
      </c>
      <c r="C113" s="18">
        <v>450</v>
      </c>
      <c r="D113" s="18">
        <v>30</v>
      </c>
      <c r="E113" s="18">
        <v>50</v>
      </c>
      <c r="F113" t="s" s="19">
        <v>3</v>
      </c>
      <c r="G113" s="18">
        <v>3</v>
      </c>
      <c r="H113" t="s" s="19">
        <v>226</v>
      </c>
      <c r="I113" s="12"/>
      <c r="J113" t="s" s="19">
        <v>35</v>
      </c>
      <c r="K113" s="18">
        <f>(D113*6)+(E113*4)</f>
        <v>380</v>
      </c>
      <c r="L113" s="12"/>
      <c r="M113" s="12"/>
      <c r="N113" s="12"/>
      <c r="O113" s="12"/>
      <c r="P113" s="12"/>
    </row>
    <row r="114" ht="20.05" customHeight="1">
      <c r="A114" t="s" s="10">
        <v>227</v>
      </c>
      <c r="B114" t="s" s="11">
        <v>33</v>
      </c>
      <c r="C114" s="18">
        <v>900</v>
      </c>
      <c r="D114" s="18">
        <v>90</v>
      </c>
      <c r="E114" s="18">
        <v>45</v>
      </c>
      <c r="F114" t="s" s="19">
        <v>3</v>
      </c>
      <c r="G114" s="18">
        <v>4</v>
      </c>
      <c r="H114" t="s" s="19">
        <v>39</v>
      </c>
      <c r="I114" s="12"/>
      <c r="J114" t="s" s="19">
        <v>35</v>
      </c>
      <c r="K114" s="18">
        <f>(D114*6)+(E114*4)</f>
        <v>720</v>
      </c>
      <c r="L114" s="12"/>
      <c r="M114" s="12"/>
      <c r="N114" s="12"/>
      <c r="O114" s="12"/>
      <c r="P114" s="12"/>
    </row>
    <row r="115" ht="32.05" customHeight="1">
      <c r="A115" t="s" s="10">
        <v>228</v>
      </c>
      <c r="B115" t="s" s="11">
        <v>33</v>
      </c>
      <c r="C115" s="18">
        <v>850</v>
      </c>
      <c r="D115" s="18">
        <v>65</v>
      </c>
      <c r="E115" s="18">
        <v>30</v>
      </c>
      <c r="F115" t="s" s="19">
        <v>3</v>
      </c>
      <c r="G115" s="18">
        <v>3</v>
      </c>
      <c r="H115" t="s" s="19">
        <v>229</v>
      </c>
      <c r="I115" s="12"/>
      <c r="J115" t="s" s="19">
        <v>35</v>
      </c>
      <c r="K115" s="18">
        <f>(D115*6)+(E115*4)</f>
        <v>510</v>
      </c>
      <c r="L115" s="12"/>
      <c r="M115" s="12"/>
      <c r="N115" s="12"/>
      <c r="O115" s="12"/>
      <c r="P115" s="12"/>
    </row>
    <row r="116" ht="20.05" customHeight="1">
      <c r="A116" t="s" s="10">
        <v>230</v>
      </c>
      <c r="B116" t="s" s="11">
        <v>33</v>
      </c>
      <c r="C116" s="18">
        <v>1100</v>
      </c>
      <c r="D116" s="18">
        <v>40</v>
      </c>
      <c r="E116" s="18">
        <v>20</v>
      </c>
      <c r="F116" t="s" s="19">
        <v>3</v>
      </c>
      <c r="G116" s="18">
        <v>4</v>
      </c>
      <c r="H116" t="s" s="19">
        <v>231</v>
      </c>
      <c r="I116" s="12"/>
      <c r="J116" t="s" s="19">
        <v>35</v>
      </c>
      <c r="K116" s="18">
        <f>(D116*6)+(E116*4)</f>
        <v>320</v>
      </c>
      <c r="L116" s="12"/>
      <c r="M116" s="12"/>
      <c r="N116" s="12"/>
      <c r="O116" s="12"/>
      <c r="P116" s="12"/>
    </row>
    <row r="117" ht="32.05" customHeight="1">
      <c r="A117" t="s" s="10">
        <v>232</v>
      </c>
      <c r="B117" t="s" s="11">
        <v>33</v>
      </c>
      <c r="C117" s="18">
        <v>990</v>
      </c>
      <c r="D117" s="18">
        <v>85</v>
      </c>
      <c r="E117" s="18">
        <v>70</v>
      </c>
      <c r="F117" t="s" s="19">
        <v>3</v>
      </c>
      <c r="G117" s="18">
        <v>4</v>
      </c>
      <c r="H117" t="s" s="19">
        <v>233</v>
      </c>
      <c r="I117" s="12"/>
      <c r="J117" t="s" s="19">
        <v>35</v>
      </c>
      <c r="K117" s="18">
        <f>(D117*6)+(E117*4)</f>
        <v>790</v>
      </c>
      <c r="L117" s="12"/>
      <c r="M117" s="12"/>
      <c r="N117" s="12"/>
      <c r="O117" s="12"/>
      <c r="P117" s="12"/>
    </row>
    <row r="118" ht="32.05" customHeight="1">
      <c r="A118" t="s" s="10">
        <v>234</v>
      </c>
      <c r="B118" t="s" s="11">
        <v>33</v>
      </c>
      <c r="C118" s="18">
        <v>1250</v>
      </c>
      <c r="D118" s="18">
        <v>95</v>
      </c>
      <c r="E118" s="18">
        <v>60</v>
      </c>
      <c r="F118" t="s" s="19">
        <v>9</v>
      </c>
      <c r="G118" s="18">
        <v>5</v>
      </c>
      <c r="H118" t="s" s="19">
        <v>235</v>
      </c>
      <c r="I118" s="12"/>
      <c r="J118" t="s" s="19">
        <v>35</v>
      </c>
      <c r="K118" s="18">
        <f>(D118*6)+(E118*4)</f>
        <v>810</v>
      </c>
      <c r="L118" s="12"/>
      <c r="M118" s="12"/>
      <c r="N118" s="12"/>
      <c r="O118" s="12"/>
      <c r="P118" s="12"/>
    </row>
    <row r="119" ht="44.05" customHeight="1">
      <c r="A119" t="s" s="10">
        <v>236</v>
      </c>
      <c r="B119" t="s" s="11">
        <v>33</v>
      </c>
      <c r="C119" s="18">
        <v>700</v>
      </c>
      <c r="D119" s="18">
        <v>25</v>
      </c>
      <c r="E119" s="18">
        <v>125</v>
      </c>
      <c r="F119" t="s" s="19">
        <v>7</v>
      </c>
      <c r="G119" s="18">
        <v>4</v>
      </c>
      <c r="H119" t="s" s="19">
        <v>237</v>
      </c>
      <c r="I119" s="12"/>
      <c r="J119" t="s" s="19">
        <v>35</v>
      </c>
      <c r="K119" s="18">
        <f>(D119*6)+(E119*4)</f>
        <v>650</v>
      </c>
      <c r="L119" s="12"/>
      <c r="M119" s="12"/>
      <c r="N119" s="12"/>
      <c r="O119" s="12"/>
      <c r="P119" s="12"/>
    </row>
    <row r="120" ht="56.45" customHeight="1">
      <c r="A120" t="s" s="10">
        <v>238</v>
      </c>
      <c r="B120" t="s" s="11">
        <v>33</v>
      </c>
      <c r="C120" s="18">
        <v>2500</v>
      </c>
      <c r="D120" s="18">
        <v>150</v>
      </c>
      <c r="E120" s="18">
        <v>150</v>
      </c>
      <c r="F120" t="s" s="19">
        <v>3</v>
      </c>
      <c r="G120" s="18">
        <v>5</v>
      </c>
      <c r="H120" t="s" s="19">
        <v>239</v>
      </c>
      <c r="I120" s="12"/>
      <c r="J120" t="s" s="19">
        <v>35</v>
      </c>
      <c r="K120" s="18">
        <f>(D120*6)+(E120*4)</f>
        <v>1500</v>
      </c>
      <c r="L120" s="12"/>
      <c r="M120" s="12"/>
      <c r="N120" s="12"/>
      <c r="O120" s="12"/>
      <c r="P120" s="12"/>
    </row>
    <row r="121" ht="32.05" customHeight="1">
      <c r="A121" t="s" s="10">
        <v>240</v>
      </c>
      <c r="B121" t="s" s="11">
        <v>33</v>
      </c>
      <c r="C121" s="18">
        <v>1400</v>
      </c>
      <c r="D121" s="18">
        <v>80</v>
      </c>
      <c r="E121" s="18">
        <v>100</v>
      </c>
      <c r="F121" t="s" s="19">
        <v>3</v>
      </c>
      <c r="G121" s="18">
        <v>5</v>
      </c>
      <c r="H121" t="s" s="19">
        <v>241</v>
      </c>
      <c r="I121" s="12"/>
      <c r="J121" t="s" s="19">
        <v>35</v>
      </c>
      <c r="K121" s="18">
        <f>(D121*6)+(E121*4)</f>
        <v>880</v>
      </c>
      <c r="L121" t="s" s="19">
        <v>35</v>
      </c>
      <c r="M121" s="12"/>
      <c r="N121" s="12"/>
      <c r="O121" s="12"/>
      <c r="P121" t="s" s="19">
        <v>35</v>
      </c>
    </row>
    <row r="122" ht="20.05" customHeight="1">
      <c r="A122" t="s" s="10">
        <v>242</v>
      </c>
      <c r="B122" t="s" s="11">
        <v>33</v>
      </c>
      <c r="C122" s="18">
        <v>800</v>
      </c>
      <c r="D122" s="18">
        <v>85</v>
      </c>
      <c r="E122" s="18">
        <v>50</v>
      </c>
      <c r="F122" t="s" s="19">
        <v>3</v>
      </c>
      <c r="G122" s="18">
        <v>4</v>
      </c>
      <c r="H122" t="s" s="19">
        <v>39</v>
      </c>
      <c r="I122" s="12"/>
      <c r="J122" t="s" s="19">
        <v>35</v>
      </c>
      <c r="K122" s="18">
        <f>(D122*6)+(E122*4)</f>
        <v>710</v>
      </c>
      <c r="L122" s="12"/>
      <c r="M122" s="12"/>
      <c r="N122" s="12"/>
      <c r="O122" s="12"/>
      <c r="P122" s="12"/>
    </row>
    <row r="123" ht="32.05" customHeight="1">
      <c r="A123" t="s" s="10">
        <v>243</v>
      </c>
      <c r="B123" t="s" s="11">
        <v>33</v>
      </c>
      <c r="C123" s="18">
        <v>2000</v>
      </c>
      <c r="D123" s="18">
        <v>140</v>
      </c>
      <c r="E123" s="18">
        <v>100</v>
      </c>
      <c r="F123" t="s" s="19">
        <v>3</v>
      </c>
      <c r="G123" s="18">
        <v>5</v>
      </c>
      <c r="H123" t="s" s="19">
        <v>244</v>
      </c>
      <c r="I123" s="12"/>
      <c r="J123" t="s" s="19">
        <v>35</v>
      </c>
      <c r="K123" s="18">
        <f>(D123*6)+(E123*4)</f>
        <v>1240</v>
      </c>
      <c r="L123" s="12"/>
      <c r="M123" s="12"/>
      <c r="N123" s="12"/>
      <c r="O123" s="12"/>
      <c r="P123" s="12"/>
    </row>
    <row r="124" ht="32.05" customHeight="1">
      <c r="A124" t="s" s="10">
        <v>245</v>
      </c>
      <c r="B124" t="s" s="11">
        <v>33</v>
      </c>
      <c r="C124" s="18">
        <v>300</v>
      </c>
      <c r="D124" s="18">
        <v>0</v>
      </c>
      <c r="E124" s="18">
        <v>25</v>
      </c>
      <c r="F124" t="s" s="19">
        <v>5</v>
      </c>
      <c r="G124" s="18">
        <v>1</v>
      </c>
      <c r="H124" t="s" s="19">
        <v>246</v>
      </c>
      <c r="I124" s="12"/>
      <c r="J124" t="s" s="19">
        <v>35</v>
      </c>
      <c r="K124" s="18">
        <f>(D124*6)+(E124*4)</f>
        <v>100</v>
      </c>
      <c r="L124" t="s" s="19">
        <v>35</v>
      </c>
      <c r="M124" s="12"/>
      <c r="N124" s="19"/>
      <c r="O124" s="12"/>
      <c r="P124" s="12"/>
    </row>
    <row r="125" ht="20.05" customHeight="1">
      <c r="A125" t="s" s="10">
        <v>247</v>
      </c>
      <c r="B125" t="s" s="11">
        <v>33</v>
      </c>
      <c r="C125" s="18">
        <v>250</v>
      </c>
      <c r="D125" s="18">
        <v>25</v>
      </c>
      <c r="E125" s="18">
        <v>5</v>
      </c>
      <c r="F125" t="s" s="19">
        <v>5</v>
      </c>
      <c r="G125" s="18">
        <v>1</v>
      </c>
      <c r="H125" t="s" s="19">
        <v>39</v>
      </c>
      <c r="I125" s="12"/>
      <c r="J125" t="s" s="19">
        <v>35</v>
      </c>
      <c r="K125" s="18">
        <f>(D125*6)+(E125*4)</f>
        <v>170</v>
      </c>
      <c r="L125" t="s" s="19">
        <v>35</v>
      </c>
      <c r="M125" s="12"/>
      <c r="N125" t="s" s="19">
        <v>35</v>
      </c>
      <c r="O125" s="12"/>
      <c r="P125" s="12"/>
    </row>
    <row r="126" ht="20.05" customHeight="1">
      <c r="A126" t="s" s="10">
        <v>248</v>
      </c>
      <c r="B126" t="s" s="11">
        <v>33</v>
      </c>
      <c r="C126" s="18">
        <v>400</v>
      </c>
      <c r="D126" s="18">
        <v>20</v>
      </c>
      <c r="E126" s="18">
        <v>30</v>
      </c>
      <c r="F126" t="s" s="19">
        <v>5</v>
      </c>
      <c r="G126" s="18">
        <v>1</v>
      </c>
      <c r="H126" t="s" s="19">
        <v>249</v>
      </c>
      <c r="I126" s="12"/>
      <c r="J126" t="s" s="19">
        <v>35</v>
      </c>
      <c r="K126" s="18">
        <f>(D126*6)+(E126*4)</f>
        <v>240</v>
      </c>
      <c r="L126" s="12"/>
      <c r="M126" s="12"/>
      <c r="N126" s="12"/>
      <c r="O126" s="12"/>
      <c r="P126" s="12"/>
    </row>
    <row r="127" ht="20.05" customHeight="1">
      <c r="A127" t="s" s="10">
        <v>250</v>
      </c>
      <c r="B127" t="s" s="11">
        <v>33</v>
      </c>
      <c r="C127" s="18">
        <v>300</v>
      </c>
      <c r="D127" s="18">
        <v>20</v>
      </c>
      <c r="E127" s="18">
        <v>20</v>
      </c>
      <c r="F127" t="s" s="19">
        <v>5</v>
      </c>
      <c r="G127" s="18">
        <v>1</v>
      </c>
      <c r="H127" t="s" s="19">
        <v>251</v>
      </c>
      <c r="I127" s="12"/>
      <c r="J127" t="s" s="19">
        <v>35</v>
      </c>
      <c r="K127" s="18">
        <f>(D127*6)+(E127*4)</f>
        <v>200</v>
      </c>
      <c r="L127" t="s" s="19">
        <v>35</v>
      </c>
      <c r="M127" s="12"/>
      <c r="N127" t="s" s="19">
        <v>35</v>
      </c>
      <c r="O127" s="12"/>
      <c r="P127" s="12"/>
    </row>
    <row r="128" ht="32.05" customHeight="1">
      <c r="A128" t="s" s="10">
        <v>252</v>
      </c>
      <c r="B128" t="s" s="11">
        <v>33</v>
      </c>
      <c r="C128" s="18">
        <v>200</v>
      </c>
      <c r="D128" s="18">
        <v>10</v>
      </c>
      <c r="E128" s="18">
        <v>10</v>
      </c>
      <c r="F128" t="s" s="19">
        <v>13</v>
      </c>
      <c r="G128" s="18">
        <v>1</v>
      </c>
      <c r="H128" t="s" s="19">
        <v>253</v>
      </c>
      <c r="I128" s="12"/>
      <c r="J128" t="s" s="19">
        <v>35</v>
      </c>
      <c r="K128" s="18">
        <f>(D128*6)+(E128*4)</f>
        <v>100</v>
      </c>
      <c r="L128" t="s" s="19">
        <v>35</v>
      </c>
      <c r="M128" s="12"/>
      <c r="N128" t="s" s="19">
        <v>35</v>
      </c>
      <c r="O128" s="12"/>
      <c r="P128" s="12"/>
    </row>
    <row r="129" ht="56.05" customHeight="1">
      <c r="A129" t="s" s="10">
        <v>254</v>
      </c>
      <c r="B129" t="s" s="11">
        <v>33</v>
      </c>
      <c r="C129" s="18">
        <v>300</v>
      </c>
      <c r="D129" s="18">
        <v>20</v>
      </c>
      <c r="E129" s="18">
        <v>15</v>
      </c>
      <c r="F129" t="s" s="19">
        <v>13</v>
      </c>
      <c r="G129" s="18">
        <v>2</v>
      </c>
      <c r="H129" t="s" s="19">
        <v>255</v>
      </c>
      <c r="I129" s="12"/>
      <c r="J129" t="s" s="19">
        <v>35</v>
      </c>
      <c r="K129" s="18">
        <f>(D129*6)+(E129*4)</f>
        <v>180</v>
      </c>
      <c r="L129" t="s" s="19">
        <v>35</v>
      </c>
      <c r="M129" s="12"/>
      <c r="N129" s="12"/>
      <c r="O129" t="s" s="19">
        <v>35</v>
      </c>
      <c r="P129" t="s" s="19">
        <v>35</v>
      </c>
    </row>
    <row r="130" ht="20.05" customHeight="1">
      <c r="A130" t="s" s="10">
        <v>256</v>
      </c>
      <c r="B130" t="s" s="11">
        <v>33</v>
      </c>
      <c r="C130" s="18">
        <v>250</v>
      </c>
      <c r="D130" s="18">
        <v>20</v>
      </c>
      <c r="E130" s="18">
        <v>15</v>
      </c>
      <c r="F130" t="s" s="19">
        <v>15</v>
      </c>
      <c r="G130" s="18">
        <v>1</v>
      </c>
      <c r="H130" t="s" s="19">
        <v>257</v>
      </c>
      <c r="I130" s="12"/>
      <c r="J130" t="s" s="19">
        <v>35</v>
      </c>
      <c r="K130" s="18">
        <f>(D130*6)+(E130*4)</f>
        <v>180</v>
      </c>
      <c r="L130" s="12"/>
      <c r="M130" s="12"/>
      <c r="N130" s="12"/>
      <c r="O130" s="12"/>
      <c r="P130" s="12"/>
    </row>
    <row r="131" ht="32.05" customHeight="1">
      <c r="A131" t="s" s="10">
        <v>258</v>
      </c>
      <c r="B131" t="s" s="11">
        <v>33</v>
      </c>
      <c r="C131" s="18">
        <v>260</v>
      </c>
      <c r="D131" s="18">
        <v>15</v>
      </c>
      <c r="E131" s="18">
        <v>15</v>
      </c>
      <c r="F131" t="s" s="19">
        <v>5</v>
      </c>
      <c r="G131" s="18">
        <v>1</v>
      </c>
      <c r="H131" t="s" s="19">
        <v>259</v>
      </c>
      <c r="I131" s="12"/>
      <c r="J131" t="s" s="19">
        <v>35</v>
      </c>
      <c r="K131" s="18">
        <f>(D131*6)+(E131*4)</f>
        <v>150</v>
      </c>
      <c r="L131" s="12"/>
      <c r="M131" s="12"/>
      <c r="N131" s="12"/>
      <c r="O131" s="12"/>
      <c r="P131" s="12"/>
    </row>
    <row r="132" ht="32.05" customHeight="1">
      <c r="A132" t="s" s="10">
        <v>260</v>
      </c>
      <c r="B132" t="s" s="11">
        <v>33</v>
      </c>
      <c r="C132" s="18">
        <v>350</v>
      </c>
      <c r="D132" s="18">
        <v>15</v>
      </c>
      <c r="E132" s="18">
        <v>20</v>
      </c>
      <c r="F132" t="s" s="19">
        <v>5</v>
      </c>
      <c r="G132" s="18">
        <v>1</v>
      </c>
      <c r="H132" t="s" s="19">
        <v>261</v>
      </c>
      <c r="I132" s="12"/>
      <c r="J132" t="s" s="19">
        <v>35</v>
      </c>
      <c r="K132" s="18">
        <f>(D132*6)+(E132*4)</f>
        <v>170</v>
      </c>
      <c r="L132" t="s" s="19">
        <v>35</v>
      </c>
      <c r="M132" s="12"/>
      <c r="N132" t="s" s="19">
        <v>35</v>
      </c>
      <c r="O132" s="12"/>
      <c r="P132" s="12"/>
    </row>
    <row r="133" ht="20.05" customHeight="1">
      <c r="A133" t="s" s="10">
        <v>262</v>
      </c>
      <c r="B133" t="s" s="11">
        <v>33</v>
      </c>
      <c r="C133" s="18">
        <v>200</v>
      </c>
      <c r="D133" s="18">
        <v>25</v>
      </c>
      <c r="E133" s="18">
        <v>15</v>
      </c>
      <c r="F133" t="s" s="19">
        <v>5</v>
      </c>
      <c r="G133" s="18">
        <v>1</v>
      </c>
      <c r="H133" t="s" s="19">
        <v>39</v>
      </c>
      <c r="I133" s="12"/>
      <c r="J133" t="s" s="19">
        <v>35</v>
      </c>
      <c r="K133" s="18">
        <f>(D133*6)+(E133*4)</f>
        <v>210</v>
      </c>
      <c r="L133" s="12"/>
      <c r="M133" s="12"/>
      <c r="N133" s="12"/>
      <c r="O133" s="12"/>
      <c r="P133" s="12"/>
    </row>
    <row r="134" ht="20.05" customHeight="1">
      <c r="A134" t="s" s="10">
        <v>263</v>
      </c>
      <c r="B134" t="s" s="11">
        <v>33</v>
      </c>
      <c r="C134" s="18">
        <v>200</v>
      </c>
      <c r="D134" s="18">
        <v>20</v>
      </c>
      <c r="E134" s="18">
        <v>20</v>
      </c>
      <c r="F134" t="s" s="19">
        <v>5</v>
      </c>
      <c r="G134" s="18">
        <v>1</v>
      </c>
      <c r="H134" t="s" s="19">
        <v>264</v>
      </c>
      <c r="I134" s="12"/>
      <c r="J134" t="s" s="19">
        <v>35</v>
      </c>
      <c r="K134" s="18">
        <f>(D134*6)+(E134*4)</f>
        <v>200</v>
      </c>
      <c r="L134" s="12"/>
      <c r="M134" s="12"/>
      <c r="N134" s="12"/>
      <c r="O134" s="12"/>
      <c r="P134" s="12"/>
    </row>
    <row r="135" ht="32.05" customHeight="1">
      <c r="A135" t="s" s="10">
        <v>265</v>
      </c>
      <c r="B135" t="s" s="11">
        <v>33</v>
      </c>
      <c r="C135" s="18">
        <v>500</v>
      </c>
      <c r="D135" s="18">
        <v>20</v>
      </c>
      <c r="E135" s="18">
        <v>15</v>
      </c>
      <c r="F135" t="s" s="19">
        <v>5</v>
      </c>
      <c r="G135" s="18">
        <v>1</v>
      </c>
      <c r="H135" t="s" s="19">
        <v>266</v>
      </c>
      <c r="I135" s="12"/>
      <c r="J135" t="s" s="19">
        <v>35</v>
      </c>
      <c r="K135" s="18">
        <f>(D135*6)+(E135*4)</f>
        <v>180</v>
      </c>
      <c r="L135" s="12"/>
      <c r="M135" s="12"/>
      <c r="N135" s="12"/>
      <c r="O135" s="12"/>
      <c r="P135" s="12"/>
    </row>
    <row r="136" ht="44.05" customHeight="1">
      <c r="A136" t="s" s="10">
        <v>267</v>
      </c>
      <c r="B136" t="s" s="11">
        <v>33</v>
      </c>
      <c r="C136" s="18">
        <v>300</v>
      </c>
      <c r="D136" s="18">
        <v>20</v>
      </c>
      <c r="E136" s="18">
        <v>20</v>
      </c>
      <c r="F136" t="s" s="19">
        <v>5</v>
      </c>
      <c r="G136" s="18">
        <v>1</v>
      </c>
      <c r="H136" t="s" s="19">
        <v>39</v>
      </c>
      <c r="I136" s="12"/>
      <c r="J136" t="s" s="19">
        <v>35</v>
      </c>
      <c r="K136" s="18">
        <f>(D136*6)+(E136*4)</f>
        <v>200</v>
      </c>
      <c r="L136" s="19"/>
      <c r="M136" s="12"/>
      <c r="N136" s="19"/>
      <c r="O136" s="12"/>
      <c r="P136" s="12"/>
    </row>
    <row r="137" ht="44.05" customHeight="1">
      <c r="A137" t="s" s="10">
        <v>268</v>
      </c>
      <c r="B137" t="s" s="11">
        <v>33</v>
      </c>
      <c r="C137" s="18">
        <v>400</v>
      </c>
      <c r="D137" s="18">
        <v>0</v>
      </c>
      <c r="E137" s="18">
        <v>0</v>
      </c>
      <c r="F137" t="s" s="19">
        <v>5</v>
      </c>
      <c r="G137" s="18">
        <v>1</v>
      </c>
      <c r="H137" t="s" s="19">
        <v>269</v>
      </c>
      <c r="I137" s="12"/>
      <c r="J137" t="s" s="19">
        <v>35</v>
      </c>
      <c r="K137" s="18">
        <f>(D137*6)+(E137*4)</f>
        <v>0</v>
      </c>
      <c r="L137" s="19"/>
      <c r="M137" s="12"/>
      <c r="N137" s="19"/>
      <c r="O137" s="12"/>
      <c r="P137" s="12"/>
    </row>
    <row r="138" ht="44.05" customHeight="1">
      <c r="A138" t="s" s="10">
        <v>270</v>
      </c>
      <c r="B138" t="s" s="11">
        <v>33</v>
      </c>
      <c r="C138" s="18">
        <v>380</v>
      </c>
      <c r="D138" s="18">
        <v>15</v>
      </c>
      <c r="E138" s="18">
        <v>15</v>
      </c>
      <c r="F138" t="s" s="19">
        <v>5</v>
      </c>
      <c r="G138" s="18">
        <v>1</v>
      </c>
      <c r="H138" t="s" s="19">
        <v>271</v>
      </c>
      <c r="I138" s="12"/>
      <c r="J138" t="s" s="19">
        <v>35</v>
      </c>
      <c r="K138" s="18">
        <f>(D138*6)+(E138*4)</f>
        <v>150</v>
      </c>
      <c r="L138" s="19"/>
      <c r="M138" s="12"/>
      <c r="N138" s="19"/>
      <c r="O138" s="12"/>
      <c r="P138" s="12"/>
    </row>
    <row r="139" ht="44.05" customHeight="1">
      <c r="A139" t="s" s="10">
        <v>272</v>
      </c>
      <c r="B139" t="s" s="11">
        <v>33</v>
      </c>
      <c r="C139" s="18">
        <v>250</v>
      </c>
      <c r="D139" s="18">
        <v>30</v>
      </c>
      <c r="E139" s="18">
        <v>30</v>
      </c>
      <c r="F139" t="s" s="19">
        <v>5</v>
      </c>
      <c r="G139" s="18">
        <v>1</v>
      </c>
      <c r="H139" t="s" s="19">
        <v>273</v>
      </c>
      <c r="I139" s="12"/>
      <c r="J139" t="s" s="19">
        <v>35</v>
      </c>
      <c r="K139" s="18">
        <f>(D139*6)+(E139*4)</f>
        <v>300</v>
      </c>
      <c r="L139" t="s" s="19">
        <v>35</v>
      </c>
      <c r="M139" s="12"/>
      <c r="N139" t="s" s="19">
        <v>35</v>
      </c>
      <c r="O139" s="12"/>
      <c r="P139" s="12"/>
    </row>
    <row r="140" ht="20.05" customHeight="1">
      <c r="A140" t="s" s="10">
        <v>274</v>
      </c>
      <c r="B140" t="s" s="11">
        <v>33</v>
      </c>
      <c r="C140" s="18">
        <v>150</v>
      </c>
      <c r="D140" s="18">
        <v>0</v>
      </c>
      <c r="E140" s="18">
        <v>30</v>
      </c>
      <c r="F140" t="s" s="19">
        <v>5</v>
      </c>
      <c r="G140" s="18">
        <v>1</v>
      </c>
      <c r="H140" t="s" s="19">
        <v>39</v>
      </c>
      <c r="I140" s="12"/>
      <c r="J140" t="s" s="19">
        <v>35</v>
      </c>
      <c r="K140" s="18">
        <f>(D140*6)+(E140*4)</f>
        <v>120</v>
      </c>
      <c r="L140" s="12"/>
      <c r="M140" s="12"/>
      <c r="N140" s="12"/>
      <c r="O140" s="12"/>
      <c r="P140" s="12"/>
    </row>
    <row r="141" ht="32.05" customHeight="1">
      <c r="A141" t="s" s="10">
        <v>275</v>
      </c>
      <c r="B141" t="s" s="11">
        <v>33</v>
      </c>
      <c r="C141" s="18">
        <v>400</v>
      </c>
      <c r="D141" s="18">
        <v>25</v>
      </c>
      <c r="E141" s="18">
        <v>10</v>
      </c>
      <c r="F141" t="s" s="19">
        <v>5</v>
      </c>
      <c r="G141" s="18">
        <v>1</v>
      </c>
      <c r="H141" t="s" s="19">
        <v>276</v>
      </c>
      <c r="I141" s="12"/>
      <c r="J141" t="s" s="19">
        <v>35</v>
      </c>
      <c r="K141" s="18">
        <f>(D141*6)+(E141*4)</f>
        <v>190</v>
      </c>
      <c r="L141" s="12"/>
      <c r="M141" s="12"/>
      <c r="N141" s="12"/>
      <c r="O141" s="12"/>
      <c r="P141" s="12"/>
    </row>
    <row r="142" ht="32.05" customHeight="1">
      <c r="A142" t="s" s="10">
        <v>277</v>
      </c>
      <c r="B142" t="s" s="11">
        <v>33</v>
      </c>
      <c r="C142" s="18">
        <v>240</v>
      </c>
      <c r="D142" s="18">
        <v>10</v>
      </c>
      <c r="E142" s="18">
        <v>10</v>
      </c>
      <c r="F142" t="s" s="19">
        <v>5</v>
      </c>
      <c r="G142" s="12"/>
      <c r="H142" t="s" s="19">
        <v>278</v>
      </c>
      <c r="I142" s="12"/>
      <c r="J142" t="s" s="19">
        <v>35</v>
      </c>
      <c r="K142" s="18">
        <f>(D142*6)+(E142*4)</f>
        <v>100</v>
      </c>
      <c r="L142" s="19"/>
      <c r="M142" s="12"/>
      <c r="N142" s="12"/>
      <c r="O142" s="12"/>
      <c r="P142" s="19"/>
    </row>
    <row r="143" ht="32.05" customHeight="1">
      <c r="A143" t="s" s="10">
        <v>279</v>
      </c>
      <c r="B143" t="s" s="11">
        <v>33</v>
      </c>
      <c r="C143" s="18">
        <v>400</v>
      </c>
      <c r="D143" s="18">
        <v>15</v>
      </c>
      <c r="E143" s="18">
        <v>20</v>
      </c>
      <c r="F143" t="s" s="19">
        <v>5</v>
      </c>
      <c r="G143" s="18">
        <v>1</v>
      </c>
      <c r="H143" t="s" s="19">
        <v>280</v>
      </c>
      <c r="I143" s="12"/>
      <c r="J143" t="s" s="19">
        <v>35</v>
      </c>
      <c r="K143" s="18">
        <f>(D143*6)+(E143*4)</f>
        <v>170</v>
      </c>
      <c r="L143" t="s" s="19">
        <v>35</v>
      </c>
      <c r="M143" s="12"/>
      <c r="N143" s="12"/>
      <c r="O143" s="12"/>
      <c r="P143" t="s" s="19">
        <v>35</v>
      </c>
    </row>
    <row r="144" ht="32.05" customHeight="1">
      <c r="A144" t="s" s="10">
        <v>281</v>
      </c>
      <c r="B144" t="s" s="11">
        <v>33</v>
      </c>
      <c r="C144" s="18">
        <v>150</v>
      </c>
      <c r="D144" s="18">
        <v>20</v>
      </c>
      <c r="E144" s="18">
        <v>5</v>
      </c>
      <c r="F144" t="s" s="19">
        <v>5</v>
      </c>
      <c r="G144" s="18">
        <v>1</v>
      </c>
      <c r="H144" t="s" s="19">
        <v>282</v>
      </c>
      <c r="I144" s="12"/>
      <c r="J144" t="s" s="19">
        <v>35</v>
      </c>
      <c r="K144" s="18">
        <f>(D144*6)+(E144*4)</f>
        <v>140</v>
      </c>
      <c r="L144" t="s" s="19">
        <v>35</v>
      </c>
      <c r="M144" s="12"/>
      <c r="N144" t="s" s="19">
        <v>35</v>
      </c>
      <c r="O144" s="12"/>
      <c r="P144" s="12"/>
    </row>
    <row r="145" ht="32.05" customHeight="1">
      <c r="A145" t="s" s="10">
        <v>283</v>
      </c>
      <c r="B145" t="s" s="11">
        <v>33</v>
      </c>
      <c r="C145" s="18">
        <v>150</v>
      </c>
      <c r="D145" s="18">
        <v>20</v>
      </c>
      <c r="E145" s="18">
        <v>5</v>
      </c>
      <c r="F145" t="s" s="19">
        <v>5</v>
      </c>
      <c r="G145" s="18">
        <v>1</v>
      </c>
      <c r="H145" t="s" s="19">
        <v>284</v>
      </c>
      <c r="I145" s="12"/>
      <c r="J145" t="s" s="19">
        <v>35</v>
      </c>
      <c r="K145" s="18">
        <f>(D145*6)+(E145*4)</f>
        <v>140</v>
      </c>
      <c r="L145" t="s" s="19">
        <v>35</v>
      </c>
      <c r="M145" s="12"/>
      <c r="N145" t="s" s="19">
        <v>35</v>
      </c>
      <c r="O145" s="12"/>
      <c r="P145" s="12"/>
    </row>
    <row r="146" ht="32.05" customHeight="1">
      <c r="A146" t="s" s="10">
        <v>285</v>
      </c>
      <c r="B146" t="s" s="11">
        <v>33</v>
      </c>
      <c r="C146" s="18">
        <v>150</v>
      </c>
      <c r="D146" s="18">
        <v>25</v>
      </c>
      <c r="E146" s="18">
        <v>5</v>
      </c>
      <c r="F146" t="s" s="19">
        <v>5</v>
      </c>
      <c r="G146" s="18">
        <v>1</v>
      </c>
      <c r="H146" t="s" s="19">
        <v>39</v>
      </c>
      <c r="I146" s="12"/>
      <c r="J146" t="s" s="19">
        <v>35</v>
      </c>
      <c r="K146" s="18">
        <f>(D146*6)+(E146*4)</f>
        <v>170</v>
      </c>
      <c r="L146" s="12"/>
      <c r="M146" s="12"/>
      <c r="N146" s="12"/>
      <c r="O146" s="12"/>
      <c r="P146" s="12"/>
    </row>
    <row r="147" ht="32.05" customHeight="1">
      <c r="A147" t="s" s="10">
        <v>286</v>
      </c>
      <c r="B147" t="s" s="11">
        <v>33</v>
      </c>
      <c r="C147" s="18">
        <v>250</v>
      </c>
      <c r="D147" s="18">
        <v>20</v>
      </c>
      <c r="E147" s="18">
        <v>15</v>
      </c>
      <c r="F147" t="s" s="19">
        <v>5</v>
      </c>
      <c r="G147" s="18">
        <v>1</v>
      </c>
      <c r="H147" t="s" s="19">
        <v>287</v>
      </c>
      <c r="I147" s="12"/>
      <c r="J147" t="s" s="19">
        <v>35</v>
      </c>
      <c r="K147" s="18">
        <f>(D147*6)+(E147*4)</f>
        <v>180</v>
      </c>
      <c r="L147" s="12"/>
      <c r="M147" s="12"/>
      <c r="N147" s="12"/>
      <c r="O147" s="12"/>
      <c r="P147" s="12"/>
    </row>
    <row r="148" ht="32.05" customHeight="1">
      <c r="A148" t="s" s="10">
        <v>288</v>
      </c>
      <c r="B148" t="s" s="11">
        <v>33</v>
      </c>
      <c r="C148" s="18">
        <v>240</v>
      </c>
      <c r="D148" s="18">
        <v>15</v>
      </c>
      <c r="E148" s="18">
        <v>25</v>
      </c>
      <c r="F148" t="s" s="19">
        <v>5</v>
      </c>
      <c r="G148" s="18">
        <v>1</v>
      </c>
      <c r="H148" t="s" s="19">
        <v>289</v>
      </c>
      <c r="I148" s="12"/>
      <c r="J148" t="s" s="19">
        <v>35</v>
      </c>
      <c r="K148" s="18">
        <f>(D148*6)+(E148*4)</f>
        <v>190</v>
      </c>
      <c r="L148" s="12"/>
      <c r="M148" s="12"/>
      <c r="N148" s="12"/>
      <c r="O148" s="12"/>
      <c r="P148" s="12"/>
    </row>
    <row r="149" ht="44.05" customHeight="1">
      <c r="A149" t="s" s="10">
        <v>290</v>
      </c>
      <c r="B149" t="s" s="11">
        <v>33</v>
      </c>
      <c r="C149" s="18">
        <v>300</v>
      </c>
      <c r="D149" s="18">
        <v>30</v>
      </c>
      <c r="E149" s="18">
        <v>20</v>
      </c>
      <c r="F149" t="s" s="19">
        <v>5</v>
      </c>
      <c r="G149" s="18">
        <v>2</v>
      </c>
      <c r="H149" t="s" s="19">
        <v>291</v>
      </c>
      <c r="I149" s="12"/>
      <c r="J149" t="s" s="19">
        <v>35</v>
      </c>
      <c r="K149" s="18">
        <f>(D149*6)+(E149*4)</f>
        <v>260</v>
      </c>
      <c r="L149" s="12"/>
      <c r="M149" s="12"/>
      <c r="N149" s="12"/>
      <c r="O149" s="12"/>
      <c r="P149" s="12"/>
    </row>
    <row r="150" ht="20.05" customHeight="1">
      <c r="A150" t="s" s="10">
        <v>292</v>
      </c>
      <c r="B150" t="s" s="11">
        <v>33</v>
      </c>
      <c r="C150" s="18">
        <v>300</v>
      </c>
      <c r="D150" s="18">
        <v>15</v>
      </c>
      <c r="E150" s="18">
        <v>25</v>
      </c>
      <c r="F150" t="s" s="19">
        <v>5</v>
      </c>
      <c r="G150" s="18">
        <v>2</v>
      </c>
      <c r="H150" t="s" s="19">
        <v>39</v>
      </c>
      <c r="I150" s="12"/>
      <c r="J150" t="s" s="19">
        <v>35</v>
      </c>
      <c r="K150" s="18">
        <f>(D150*6)+(E150*4)</f>
        <v>190</v>
      </c>
      <c r="L150" t="s" s="19">
        <v>35</v>
      </c>
      <c r="M150" s="12"/>
      <c r="N150" s="12"/>
      <c r="O150" t="s" s="19">
        <v>35</v>
      </c>
      <c r="P150" s="12"/>
    </row>
    <row r="151" ht="20.05" customHeight="1">
      <c r="A151" t="s" s="10">
        <v>293</v>
      </c>
      <c r="B151" t="s" s="11">
        <v>33</v>
      </c>
      <c r="C151" s="18">
        <v>500</v>
      </c>
      <c r="D151" s="18">
        <v>30</v>
      </c>
      <c r="E151" s="18">
        <v>30</v>
      </c>
      <c r="F151" t="s" s="19">
        <v>5</v>
      </c>
      <c r="G151" s="18">
        <v>2</v>
      </c>
      <c r="H151" t="s" s="19">
        <v>39</v>
      </c>
      <c r="I151" s="12"/>
      <c r="J151" t="s" s="19">
        <v>35</v>
      </c>
      <c r="K151" s="18">
        <f>(D151*6)+(E151*4)</f>
        <v>300</v>
      </c>
      <c r="L151" t="s" s="19">
        <v>35</v>
      </c>
      <c r="M151" s="12"/>
      <c r="N151" s="12"/>
      <c r="O151" s="12"/>
      <c r="P151" t="s" s="19">
        <v>35</v>
      </c>
    </row>
    <row r="152" ht="20.05" customHeight="1">
      <c r="A152" t="s" s="10">
        <v>294</v>
      </c>
      <c r="B152" t="s" s="11">
        <v>33</v>
      </c>
      <c r="C152" s="18">
        <v>400</v>
      </c>
      <c r="D152" s="18">
        <v>40</v>
      </c>
      <c r="E152" s="18">
        <v>35</v>
      </c>
      <c r="F152" t="s" s="19">
        <v>5</v>
      </c>
      <c r="G152" s="18">
        <v>2</v>
      </c>
      <c r="H152" t="s" s="19">
        <v>249</v>
      </c>
      <c r="I152" s="12"/>
      <c r="J152" t="s" s="19">
        <v>35</v>
      </c>
      <c r="K152" s="18">
        <f>(D152*6)+(E152*4)</f>
        <v>380</v>
      </c>
      <c r="L152" t="s" s="19">
        <v>35</v>
      </c>
      <c r="M152" s="12"/>
      <c r="N152" s="12"/>
      <c r="O152" t="s" s="19">
        <v>35</v>
      </c>
      <c r="P152" s="12"/>
    </row>
    <row r="153" ht="20.05" customHeight="1">
      <c r="A153" t="s" s="10">
        <v>295</v>
      </c>
      <c r="B153" t="s" s="11">
        <v>33</v>
      </c>
      <c r="C153" s="18">
        <v>300</v>
      </c>
      <c r="D153" s="18">
        <v>35</v>
      </c>
      <c r="E153" s="18">
        <v>5</v>
      </c>
      <c r="F153" t="s" s="19">
        <v>5</v>
      </c>
      <c r="G153" s="18">
        <v>2</v>
      </c>
      <c r="H153" t="s" s="19">
        <v>296</v>
      </c>
      <c r="I153" s="12"/>
      <c r="J153" t="s" s="19">
        <v>35</v>
      </c>
      <c r="K153" s="18">
        <f>(D153*6)+(E153*4)</f>
        <v>230</v>
      </c>
      <c r="L153" t="s" s="19">
        <v>35</v>
      </c>
      <c r="M153" s="12"/>
      <c r="N153" t="s" s="19">
        <v>35</v>
      </c>
      <c r="O153" s="12"/>
      <c r="P153" s="12"/>
    </row>
    <row r="154" ht="20.05" customHeight="1">
      <c r="A154" t="s" s="10">
        <v>297</v>
      </c>
      <c r="B154" t="s" s="11">
        <v>33</v>
      </c>
      <c r="C154" s="18">
        <v>300</v>
      </c>
      <c r="D154" s="18">
        <v>45</v>
      </c>
      <c r="E154" s="18">
        <v>5</v>
      </c>
      <c r="F154" t="s" s="19">
        <v>5</v>
      </c>
      <c r="G154" s="18">
        <v>2</v>
      </c>
      <c r="H154" t="s" s="19">
        <v>39</v>
      </c>
      <c r="I154" s="12"/>
      <c r="J154" t="s" s="19">
        <v>35</v>
      </c>
      <c r="K154" s="18">
        <f>(D154*6)+(E154*4)</f>
        <v>290</v>
      </c>
      <c r="L154" t="s" s="19">
        <v>35</v>
      </c>
      <c r="M154" s="12"/>
      <c r="N154" t="s" s="19">
        <v>35</v>
      </c>
      <c r="O154" s="12"/>
      <c r="P154" s="12"/>
    </row>
    <row r="155" ht="32.05" customHeight="1">
      <c r="A155" t="s" s="10">
        <v>298</v>
      </c>
      <c r="B155" t="s" s="11">
        <v>33</v>
      </c>
      <c r="C155" s="18">
        <v>450</v>
      </c>
      <c r="D155" s="18">
        <v>30</v>
      </c>
      <c r="E155" s="18">
        <v>30</v>
      </c>
      <c r="F155" t="s" s="19">
        <v>5</v>
      </c>
      <c r="G155" s="18">
        <v>2</v>
      </c>
      <c r="H155" t="s" s="19">
        <v>299</v>
      </c>
      <c r="I155" s="12"/>
      <c r="J155" t="s" s="19">
        <v>35</v>
      </c>
      <c r="K155" s="18">
        <f>(D155*6)+(E155*4)</f>
        <v>300</v>
      </c>
      <c r="L155" s="19"/>
      <c r="M155" s="12"/>
      <c r="N155" s="12"/>
      <c r="O155" s="19"/>
      <c r="P155" s="12"/>
    </row>
    <row r="156" ht="32.05" customHeight="1">
      <c r="A156" t="s" s="10">
        <v>300</v>
      </c>
      <c r="B156" t="s" s="11">
        <v>33</v>
      </c>
      <c r="C156" s="18">
        <v>500</v>
      </c>
      <c r="D156" s="18">
        <v>20</v>
      </c>
      <c r="E156" s="18">
        <v>50</v>
      </c>
      <c r="F156" t="s" s="19">
        <v>5</v>
      </c>
      <c r="G156" s="18">
        <v>2</v>
      </c>
      <c r="H156" t="s" s="19">
        <v>301</v>
      </c>
      <c r="I156" s="12"/>
      <c r="J156" t="s" s="19">
        <v>35</v>
      </c>
      <c r="K156" s="18">
        <f>(D156*6)+(E156*4)</f>
        <v>320</v>
      </c>
      <c r="L156" t="s" s="19">
        <v>35</v>
      </c>
      <c r="M156" s="12"/>
      <c r="N156" s="12"/>
      <c r="O156" t="s" s="19">
        <v>35</v>
      </c>
      <c r="P156" s="12"/>
    </row>
    <row r="157" ht="20.05" customHeight="1">
      <c r="A157" t="s" s="10">
        <v>302</v>
      </c>
      <c r="B157" t="s" s="11">
        <v>33</v>
      </c>
      <c r="C157" s="18">
        <v>200</v>
      </c>
      <c r="D157" s="18">
        <v>25</v>
      </c>
      <c r="E157" s="18">
        <v>15</v>
      </c>
      <c r="F157" t="s" s="19">
        <v>5</v>
      </c>
      <c r="G157" s="18">
        <v>2</v>
      </c>
      <c r="H157" t="s" s="19">
        <v>39</v>
      </c>
      <c r="I157" s="12"/>
      <c r="J157" t="s" s="19">
        <v>35</v>
      </c>
      <c r="K157" s="18">
        <f>(D157*6)+(E157*4)</f>
        <v>210</v>
      </c>
      <c r="L157" s="12"/>
      <c r="M157" s="12"/>
      <c r="N157" s="12"/>
      <c r="O157" s="12"/>
      <c r="P157" s="12"/>
    </row>
    <row r="158" ht="32.05" customHeight="1">
      <c r="A158" t="s" s="10">
        <v>303</v>
      </c>
      <c r="B158" t="s" s="11">
        <v>33</v>
      </c>
      <c r="C158" s="18">
        <v>250</v>
      </c>
      <c r="D158" s="18">
        <v>15</v>
      </c>
      <c r="E158" s="18">
        <v>30</v>
      </c>
      <c r="F158" t="s" s="19">
        <v>5</v>
      </c>
      <c r="G158" s="18">
        <v>2</v>
      </c>
      <c r="H158" t="s" s="19">
        <v>304</v>
      </c>
      <c r="I158" s="12"/>
      <c r="J158" t="s" s="19">
        <v>35</v>
      </c>
      <c r="K158" s="18">
        <f>(D158*6)+(E158*4)</f>
        <v>210</v>
      </c>
      <c r="L158" t="s" s="19">
        <v>35</v>
      </c>
      <c r="M158" s="12"/>
      <c r="N158" s="12"/>
      <c r="O158" t="s" s="19">
        <v>35</v>
      </c>
      <c r="P158" s="12"/>
    </row>
    <row r="159" ht="20.05" customHeight="1">
      <c r="A159" t="s" s="10">
        <v>305</v>
      </c>
      <c r="B159" t="s" s="11">
        <v>33</v>
      </c>
      <c r="C159" s="18">
        <v>250</v>
      </c>
      <c r="D159" s="18">
        <v>25</v>
      </c>
      <c r="E159" s="18">
        <v>25</v>
      </c>
      <c r="F159" t="s" s="19">
        <v>5</v>
      </c>
      <c r="G159" s="18">
        <v>2</v>
      </c>
      <c r="H159" t="s" s="19">
        <v>306</v>
      </c>
      <c r="I159" s="12"/>
      <c r="J159" t="s" s="19">
        <v>35</v>
      </c>
      <c r="K159" s="18">
        <f>(D159*6)+(E159*4)</f>
        <v>250</v>
      </c>
      <c r="L159" s="12"/>
      <c r="M159" s="12"/>
      <c r="N159" s="12"/>
      <c r="O159" s="12"/>
      <c r="P159" s="12"/>
    </row>
    <row r="160" ht="32.05" customHeight="1">
      <c r="A160" t="s" s="10">
        <v>307</v>
      </c>
      <c r="B160" t="s" s="11">
        <v>33</v>
      </c>
      <c r="C160" s="18">
        <v>400</v>
      </c>
      <c r="D160" s="18">
        <v>30</v>
      </c>
      <c r="E160" s="18">
        <v>10</v>
      </c>
      <c r="F160" t="s" s="19">
        <v>5</v>
      </c>
      <c r="G160" s="18">
        <v>2</v>
      </c>
      <c r="H160" t="s" s="19">
        <v>308</v>
      </c>
      <c r="I160" s="12"/>
      <c r="J160" t="s" s="19">
        <v>35</v>
      </c>
      <c r="K160" s="18">
        <f>(D160*6)+(E160*4)</f>
        <v>220</v>
      </c>
      <c r="L160" s="19"/>
      <c r="M160" s="12"/>
      <c r="N160" s="12"/>
      <c r="O160" s="12"/>
      <c r="P160" s="19"/>
    </row>
    <row r="161" ht="32.05" customHeight="1">
      <c r="A161" t="s" s="10">
        <v>309</v>
      </c>
      <c r="B161" t="s" s="11">
        <v>33</v>
      </c>
      <c r="C161" s="18">
        <v>250</v>
      </c>
      <c r="D161" s="18">
        <v>25</v>
      </c>
      <c r="E161" s="18">
        <v>15</v>
      </c>
      <c r="F161" t="s" s="19">
        <v>5</v>
      </c>
      <c r="G161" s="18">
        <v>2</v>
      </c>
      <c r="H161" t="s" s="19">
        <v>310</v>
      </c>
      <c r="I161" s="12"/>
      <c r="J161" t="s" s="19">
        <v>35</v>
      </c>
      <c r="K161" s="18">
        <f>(D161*6)+(E161*4)</f>
        <v>210</v>
      </c>
      <c r="L161" t="s" s="19">
        <v>35</v>
      </c>
      <c r="M161" s="12"/>
      <c r="N161" s="12"/>
      <c r="O161" s="12"/>
      <c r="P161" t="s" s="19">
        <v>35</v>
      </c>
    </row>
    <row r="162" ht="20.05" customHeight="1">
      <c r="A162" t="s" s="10">
        <v>311</v>
      </c>
      <c r="B162" t="s" s="11">
        <v>33</v>
      </c>
      <c r="C162" s="18">
        <v>180</v>
      </c>
      <c r="D162" s="18">
        <v>30</v>
      </c>
      <c r="E162" s="18">
        <v>0</v>
      </c>
      <c r="F162" t="s" s="19">
        <v>5</v>
      </c>
      <c r="G162" s="18">
        <v>2</v>
      </c>
      <c r="H162" t="s" s="19">
        <v>39</v>
      </c>
      <c r="I162" s="12"/>
      <c r="J162" t="s" s="19">
        <v>35</v>
      </c>
      <c r="K162" s="18">
        <f>(D162*6)+(E162*4)</f>
        <v>180</v>
      </c>
      <c r="L162" t="s" s="19">
        <v>35</v>
      </c>
      <c r="M162" s="12"/>
      <c r="N162" s="12"/>
      <c r="O162" t="s" s="19">
        <v>35</v>
      </c>
      <c r="P162" s="12"/>
    </row>
    <row r="163" ht="32.05" customHeight="1">
      <c r="A163" t="s" s="10">
        <v>312</v>
      </c>
      <c r="B163" t="s" s="11">
        <v>33</v>
      </c>
      <c r="C163" s="18">
        <v>320</v>
      </c>
      <c r="D163" s="18">
        <v>25</v>
      </c>
      <c r="E163" s="18">
        <v>30</v>
      </c>
      <c r="F163" t="s" s="19">
        <v>5</v>
      </c>
      <c r="G163" s="18">
        <v>2</v>
      </c>
      <c r="H163" t="s" s="19">
        <v>313</v>
      </c>
      <c r="I163" s="12"/>
      <c r="J163" t="s" s="19">
        <v>35</v>
      </c>
      <c r="K163" s="18">
        <f>(D163*6)+(E163*4)</f>
        <v>270</v>
      </c>
      <c r="L163" s="19"/>
      <c r="M163" s="12"/>
      <c r="N163" s="12"/>
      <c r="O163" s="19"/>
      <c r="P163" s="12"/>
    </row>
    <row r="164" ht="32.05" customHeight="1">
      <c r="A164" t="s" s="10">
        <v>314</v>
      </c>
      <c r="B164" t="s" s="11">
        <v>33</v>
      </c>
      <c r="C164" s="18">
        <v>400</v>
      </c>
      <c r="D164" s="18">
        <v>40</v>
      </c>
      <c r="E164" s="18">
        <v>25</v>
      </c>
      <c r="F164" t="s" s="19">
        <v>5</v>
      </c>
      <c r="G164" s="18">
        <v>2</v>
      </c>
      <c r="H164" t="s" s="19">
        <v>315</v>
      </c>
      <c r="I164" s="12"/>
      <c r="J164" t="s" s="19">
        <v>35</v>
      </c>
      <c r="K164" s="18">
        <f>(D164*6)+(E164*4)</f>
        <v>340</v>
      </c>
      <c r="L164" t="s" s="19">
        <v>35</v>
      </c>
      <c r="M164" s="12"/>
      <c r="N164" s="12"/>
      <c r="O164" t="s" s="19">
        <v>35</v>
      </c>
      <c r="P164" s="12"/>
    </row>
    <row r="165" ht="56.05" customHeight="1">
      <c r="A165" t="s" s="10">
        <v>316</v>
      </c>
      <c r="B165" t="s" s="11">
        <v>33</v>
      </c>
      <c r="C165" s="18">
        <v>350</v>
      </c>
      <c r="D165" s="18">
        <v>15</v>
      </c>
      <c r="E165" s="18">
        <v>20</v>
      </c>
      <c r="F165" t="s" s="19">
        <v>5</v>
      </c>
      <c r="G165" s="18">
        <v>2</v>
      </c>
      <c r="H165" t="s" s="19">
        <v>317</v>
      </c>
      <c r="I165" s="12"/>
      <c r="J165" t="s" s="19">
        <v>35</v>
      </c>
      <c r="K165" s="18">
        <f>(D165*6)+(E165*4)</f>
        <v>170</v>
      </c>
      <c r="L165" t="s" s="19">
        <v>35</v>
      </c>
      <c r="M165" s="12"/>
      <c r="N165" t="s" s="19">
        <v>35</v>
      </c>
      <c r="O165" s="12"/>
      <c r="P165" s="19"/>
    </row>
    <row r="166" ht="32.05" customHeight="1">
      <c r="A166" t="s" s="10">
        <v>318</v>
      </c>
      <c r="B166" t="s" s="11">
        <v>33</v>
      </c>
      <c r="C166" s="18">
        <v>420</v>
      </c>
      <c r="D166" s="18">
        <v>30</v>
      </c>
      <c r="E166" s="18">
        <v>20</v>
      </c>
      <c r="F166" t="s" s="19">
        <v>5</v>
      </c>
      <c r="G166" s="18">
        <v>2</v>
      </c>
      <c r="H166" t="s" s="19">
        <v>319</v>
      </c>
      <c r="I166" s="12"/>
      <c r="J166" t="s" s="19">
        <v>35</v>
      </c>
      <c r="K166" s="18">
        <f>(D166*6)+(E166*4)</f>
        <v>260</v>
      </c>
      <c r="L166" s="12"/>
      <c r="M166" s="12"/>
      <c r="N166" s="12"/>
      <c r="O166" s="12"/>
      <c r="P166" s="12"/>
    </row>
    <row r="167" ht="32.05" customHeight="1">
      <c r="A167" t="s" s="10">
        <v>320</v>
      </c>
      <c r="B167" t="s" s="11">
        <v>33</v>
      </c>
      <c r="C167" s="18">
        <v>300</v>
      </c>
      <c r="D167" s="18">
        <v>35</v>
      </c>
      <c r="E167" s="18">
        <v>0</v>
      </c>
      <c r="F167" t="s" s="19">
        <v>5</v>
      </c>
      <c r="G167" s="18">
        <v>2</v>
      </c>
      <c r="H167" t="s" s="19">
        <v>321</v>
      </c>
      <c r="I167" s="12"/>
      <c r="J167" t="s" s="19">
        <v>35</v>
      </c>
      <c r="K167" s="18">
        <f>(D167*6)+(E167*4)</f>
        <v>210</v>
      </c>
      <c r="L167" s="12"/>
      <c r="M167" s="12"/>
      <c r="N167" s="12"/>
      <c r="O167" s="12"/>
      <c r="P167" s="12"/>
    </row>
    <row r="168" ht="32.05" customHeight="1">
      <c r="A168" t="s" s="10">
        <v>322</v>
      </c>
      <c r="B168" t="s" s="11">
        <v>33</v>
      </c>
      <c r="C168" s="18">
        <v>280</v>
      </c>
      <c r="D168" s="18">
        <v>40</v>
      </c>
      <c r="E168" s="18">
        <v>10</v>
      </c>
      <c r="F168" t="s" s="19">
        <v>5</v>
      </c>
      <c r="G168" s="18">
        <v>2</v>
      </c>
      <c r="H168" t="s" s="19">
        <v>323</v>
      </c>
      <c r="I168" s="12"/>
      <c r="J168" t="s" s="19">
        <v>35</v>
      </c>
      <c r="K168" s="18">
        <f>(D168*6)+(E168*4)</f>
        <v>280</v>
      </c>
      <c r="L168" s="12"/>
      <c r="M168" s="12"/>
      <c r="N168" s="12"/>
      <c r="O168" s="12"/>
      <c r="P168" s="12"/>
    </row>
    <row r="169" ht="48.55" customHeight="1">
      <c r="A169" t="s" s="10">
        <v>324</v>
      </c>
      <c r="B169" t="s" s="11">
        <v>33</v>
      </c>
      <c r="C169" s="18">
        <v>150</v>
      </c>
      <c r="D169" s="18">
        <v>0</v>
      </c>
      <c r="E169" s="18">
        <v>0</v>
      </c>
      <c r="F169" t="s" s="19">
        <v>5</v>
      </c>
      <c r="G169" s="18">
        <v>2</v>
      </c>
      <c r="H169" t="s" s="19">
        <v>325</v>
      </c>
      <c r="I169" s="12"/>
      <c r="J169" t="s" s="19">
        <v>35</v>
      </c>
      <c r="K169" s="18">
        <f>(D169*6)+(E169*4)</f>
        <v>0</v>
      </c>
      <c r="L169" s="12"/>
      <c r="M169" s="12"/>
      <c r="N169" s="12"/>
      <c r="O169" s="12"/>
      <c r="P169" s="12"/>
    </row>
    <row r="170" ht="32.05" customHeight="1">
      <c r="A170" t="s" s="10">
        <v>326</v>
      </c>
      <c r="B170" t="s" s="11">
        <v>33</v>
      </c>
      <c r="C170" s="18">
        <v>180</v>
      </c>
      <c r="D170" s="18">
        <v>25</v>
      </c>
      <c r="E170" s="18">
        <v>0</v>
      </c>
      <c r="F170" t="s" s="19">
        <v>5</v>
      </c>
      <c r="G170" s="18">
        <v>2</v>
      </c>
      <c r="H170" t="s" s="19">
        <v>327</v>
      </c>
      <c r="I170" s="12"/>
      <c r="J170" t="s" s="19">
        <v>35</v>
      </c>
      <c r="K170" s="18">
        <f>(D170*6)+(E170*4)</f>
        <v>150</v>
      </c>
      <c r="L170" s="12"/>
      <c r="M170" s="12"/>
      <c r="N170" s="12"/>
      <c r="O170" s="12"/>
      <c r="P170" s="12"/>
    </row>
    <row r="171" ht="20.05" customHeight="1">
      <c r="A171" t="s" s="10">
        <v>328</v>
      </c>
      <c r="B171" t="s" s="11">
        <v>33</v>
      </c>
      <c r="C171" s="18">
        <v>500</v>
      </c>
      <c r="D171" s="18">
        <v>50</v>
      </c>
      <c r="E171" s="18">
        <v>50</v>
      </c>
      <c r="F171" t="s" s="19">
        <v>5</v>
      </c>
      <c r="G171" s="18">
        <v>3</v>
      </c>
      <c r="H171" t="s" s="19">
        <v>329</v>
      </c>
      <c r="I171" s="12"/>
      <c r="J171" t="s" s="19">
        <v>35</v>
      </c>
      <c r="K171" s="18">
        <f>(D171*6)+(E171*4)</f>
        <v>500</v>
      </c>
      <c r="L171" s="12"/>
      <c r="M171" s="12"/>
      <c r="N171" s="12"/>
      <c r="O171" s="12"/>
      <c r="P171" s="12"/>
    </row>
    <row r="172" ht="32.05" customHeight="1">
      <c r="A172" t="s" s="10">
        <v>330</v>
      </c>
      <c r="B172" t="s" s="11">
        <v>33</v>
      </c>
      <c r="C172" s="18">
        <v>600</v>
      </c>
      <c r="D172" s="18">
        <v>80</v>
      </c>
      <c r="E172" s="18">
        <v>40</v>
      </c>
      <c r="F172" t="s" s="19">
        <v>5</v>
      </c>
      <c r="G172" s="18">
        <v>3</v>
      </c>
      <c r="H172" t="s" s="19">
        <v>331</v>
      </c>
      <c r="I172" s="12"/>
      <c r="J172" t="s" s="19">
        <v>35</v>
      </c>
      <c r="K172" s="18">
        <f>(D172*6)+(E172*4)</f>
        <v>640</v>
      </c>
      <c r="L172" s="12"/>
      <c r="M172" s="12"/>
      <c r="N172" s="12"/>
      <c r="O172" s="12"/>
      <c r="P172" s="12"/>
    </row>
    <row r="173" ht="20.05" customHeight="1">
      <c r="A173" t="s" s="10">
        <v>332</v>
      </c>
      <c r="B173" t="s" s="11">
        <v>33</v>
      </c>
      <c r="C173" s="18">
        <v>550</v>
      </c>
      <c r="D173" s="18">
        <v>55</v>
      </c>
      <c r="E173" s="18">
        <v>40</v>
      </c>
      <c r="F173" t="s" s="19">
        <v>5</v>
      </c>
      <c r="G173" s="18">
        <v>3</v>
      </c>
      <c r="H173" t="s" s="19">
        <v>39</v>
      </c>
      <c r="I173" s="12"/>
      <c r="J173" t="s" s="19">
        <v>35</v>
      </c>
      <c r="K173" s="18">
        <f>(D173*6)+(E173*4)</f>
        <v>490</v>
      </c>
      <c r="L173" s="12"/>
      <c r="M173" s="12"/>
      <c r="N173" s="12"/>
      <c r="O173" s="12"/>
      <c r="P173" s="12"/>
    </row>
    <row r="174" ht="32.05" customHeight="1">
      <c r="A174" t="s" s="10">
        <v>333</v>
      </c>
      <c r="B174" t="s" s="11">
        <v>33</v>
      </c>
      <c r="C174" s="18">
        <v>960</v>
      </c>
      <c r="D174" s="18">
        <v>30</v>
      </c>
      <c r="E174" s="18">
        <v>90</v>
      </c>
      <c r="F174" t="s" s="19">
        <v>5</v>
      </c>
      <c r="G174" s="18">
        <v>3</v>
      </c>
      <c r="H174" t="s" s="19">
        <v>334</v>
      </c>
      <c r="I174" s="12"/>
      <c r="J174" t="s" s="19">
        <v>35</v>
      </c>
      <c r="K174" s="18">
        <f>(D174*6)+(E174*4)</f>
        <v>540</v>
      </c>
      <c r="L174" s="12"/>
      <c r="M174" s="12"/>
      <c r="N174" s="12"/>
      <c r="O174" s="12"/>
      <c r="P174" s="12"/>
    </row>
    <row r="175" ht="56.05" customHeight="1">
      <c r="A175" t="s" s="10">
        <v>335</v>
      </c>
      <c r="B175" t="s" s="11">
        <v>33</v>
      </c>
      <c r="C175" s="18">
        <v>800</v>
      </c>
      <c r="D175" s="18">
        <v>50</v>
      </c>
      <c r="E175" s="18">
        <v>50</v>
      </c>
      <c r="F175" t="s" s="19">
        <v>5</v>
      </c>
      <c r="G175" s="18">
        <v>3</v>
      </c>
      <c r="H175" t="s" s="19">
        <v>336</v>
      </c>
      <c r="I175" s="12"/>
      <c r="J175" t="s" s="19">
        <v>35</v>
      </c>
      <c r="K175" s="18">
        <f>(D175*6)+(E175*4)</f>
        <v>500</v>
      </c>
      <c r="L175" t="s" s="19">
        <v>35</v>
      </c>
      <c r="M175" s="12"/>
      <c r="N175" s="12"/>
      <c r="O175" s="12"/>
      <c r="P175" t="s" s="19">
        <v>35</v>
      </c>
    </row>
    <row r="176" ht="44.05" customHeight="1">
      <c r="A176" t="s" s="10">
        <v>337</v>
      </c>
      <c r="B176" t="s" s="11">
        <v>33</v>
      </c>
      <c r="C176" s="18">
        <v>350</v>
      </c>
      <c r="D176" s="18">
        <v>30</v>
      </c>
      <c r="E176" s="18">
        <v>30</v>
      </c>
      <c r="F176" t="s" s="19">
        <v>5</v>
      </c>
      <c r="G176" s="18">
        <v>2</v>
      </c>
      <c r="H176" t="s" s="19">
        <v>338</v>
      </c>
      <c r="I176" s="12"/>
      <c r="J176" t="s" s="19">
        <v>35</v>
      </c>
      <c r="K176" s="18">
        <f>(D176*6)+(E176*4)</f>
        <v>300</v>
      </c>
      <c r="L176" s="12"/>
      <c r="M176" s="12"/>
      <c r="N176" s="12"/>
      <c r="O176" s="12"/>
      <c r="P176" s="12"/>
    </row>
    <row r="177" ht="44.05" customHeight="1">
      <c r="A177" t="s" s="10">
        <v>339</v>
      </c>
      <c r="B177" t="s" s="11">
        <v>33</v>
      </c>
      <c r="C177" s="18">
        <v>500</v>
      </c>
      <c r="D177" s="18">
        <v>30</v>
      </c>
      <c r="E177" s="18">
        <v>80</v>
      </c>
      <c r="F177" t="s" s="19">
        <v>5</v>
      </c>
      <c r="G177" s="18">
        <v>3</v>
      </c>
      <c r="H177" t="s" s="19">
        <v>249</v>
      </c>
      <c r="I177" s="12"/>
      <c r="J177" t="s" s="19">
        <v>35</v>
      </c>
      <c r="K177" s="18">
        <f>(D177*6)+(E177*4)</f>
        <v>500</v>
      </c>
      <c r="L177" s="12"/>
      <c r="M177" s="12"/>
      <c r="N177" s="12"/>
      <c r="O177" s="12"/>
      <c r="P177" s="12"/>
    </row>
    <row r="178" ht="44.05" customHeight="1">
      <c r="A178" t="s" s="10">
        <v>340</v>
      </c>
      <c r="B178" t="s" s="11">
        <v>33</v>
      </c>
      <c r="C178" s="18">
        <v>900</v>
      </c>
      <c r="D178" s="18">
        <v>65</v>
      </c>
      <c r="E178" s="18">
        <v>60</v>
      </c>
      <c r="F178" t="s" s="19">
        <v>5</v>
      </c>
      <c r="G178" s="18">
        <v>3</v>
      </c>
      <c r="H178" t="s" s="19">
        <v>341</v>
      </c>
      <c r="I178" s="12"/>
      <c r="J178" t="s" s="19">
        <v>35</v>
      </c>
      <c r="K178" s="18">
        <f>(D178*6)+(E178*4)</f>
        <v>630</v>
      </c>
      <c r="L178" s="12"/>
      <c r="M178" s="12"/>
      <c r="N178" s="12"/>
      <c r="O178" s="12"/>
      <c r="P178" s="12"/>
    </row>
    <row r="179" ht="32.05" customHeight="1">
      <c r="A179" t="s" s="10">
        <v>342</v>
      </c>
      <c r="B179" t="s" s="11">
        <v>33</v>
      </c>
      <c r="C179" s="18">
        <v>700</v>
      </c>
      <c r="D179" s="18">
        <v>70</v>
      </c>
      <c r="E179" s="18">
        <v>50</v>
      </c>
      <c r="F179" t="s" s="19">
        <v>5</v>
      </c>
      <c r="G179" s="18">
        <v>3</v>
      </c>
      <c r="H179" t="s" s="19">
        <v>343</v>
      </c>
      <c r="I179" s="12"/>
      <c r="J179" t="s" s="19">
        <v>35</v>
      </c>
      <c r="K179" s="18">
        <f>(D179*6)+(E179*4)</f>
        <v>620</v>
      </c>
      <c r="L179" s="12"/>
      <c r="M179" s="12"/>
      <c r="N179" s="12"/>
      <c r="O179" s="12"/>
      <c r="P179" s="12"/>
    </row>
    <row r="180" ht="32.05" customHeight="1">
      <c r="A180" t="s" s="10">
        <v>344</v>
      </c>
      <c r="B180" t="s" s="11">
        <v>33</v>
      </c>
      <c r="C180" s="18">
        <v>400</v>
      </c>
      <c r="D180" s="18">
        <v>35</v>
      </c>
      <c r="E180" s="18">
        <v>35</v>
      </c>
      <c r="F180" t="s" s="19">
        <v>5</v>
      </c>
      <c r="G180" s="18">
        <v>3</v>
      </c>
      <c r="H180" t="s" s="19">
        <v>345</v>
      </c>
      <c r="I180" s="12"/>
      <c r="J180" t="s" s="19">
        <v>35</v>
      </c>
      <c r="K180" s="18">
        <v>550</v>
      </c>
      <c r="L180" s="12"/>
      <c r="M180" s="12"/>
      <c r="N180" s="12"/>
      <c r="O180" s="12"/>
      <c r="P180" s="12"/>
    </row>
    <row r="181" ht="32.05" customHeight="1">
      <c r="A181" t="s" s="10">
        <v>346</v>
      </c>
      <c r="B181" t="s" s="11">
        <v>33</v>
      </c>
      <c r="C181" s="18">
        <v>750</v>
      </c>
      <c r="D181" s="18">
        <v>80</v>
      </c>
      <c r="E181" s="18">
        <v>65</v>
      </c>
      <c r="F181" t="s" s="19">
        <v>5</v>
      </c>
      <c r="G181" s="18">
        <v>3</v>
      </c>
      <c r="H181" t="s" s="19">
        <v>347</v>
      </c>
      <c r="I181" s="12"/>
      <c r="J181" t="s" s="19">
        <v>35</v>
      </c>
      <c r="K181" s="18">
        <v>960</v>
      </c>
      <c r="L181" s="12"/>
      <c r="M181" s="12"/>
      <c r="N181" s="12"/>
      <c r="O181" s="12"/>
      <c r="P181" s="12"/>
    </row>
    <row r="182" ht="32.05" customHeight="1">
      <c r="A182" t="s" s="10">
        <v>348</v>
      </c>
      <c r="B182" t="s" s="11">
        <v>33</v>
      </c>
      <c r="C182" s="18">
        <v>850</v>
      </c>
      <c r="D182" s="18">
        <v>65</v>
      </c>
      <c r="E182" s="18">
        <v>65</v>
      </c>
      <c r="F182" t="s" s="19">
        <v>5</v>
      </c>
      <c r="G182" s="18">
        <v>3</v>
      </c>
      <c r="H182" t="s" s="19">
        <v>349</v>
      </c>
      <c r="I182" s="12"/>
      <c r="J182" t="s" s="19">
        <v>35</v>
      </c>
      <c r="K182" s="18">
        <f>(D182*6)+(E182*4)</f>
        <v>650</v>
      </c>
      <c r="L182" t="s" s="19">
        <v>35</v>
      </c>
      <c r="M182" s="12"/>
      <c r="N182" t="s" s="19">
        <v>35</v>
      </c>
      <c r="O182" s="12"/>
      <c r="P182" s="12"/>
    </row>
    <row r="183" ht="20.05" customHeight="1">
      <c r="A183" t="s" s="10">
        <v>350</v>
      </c>
      <c r="B183" t="s" s="11">
        <v>33</v>
      </c>
      <c r="C183" s="18">
        <v>450</v>
      </c>
      <c r="D183" s="18">
        <v>50</v>
      </c>
      <c r="E183" s="18">
        <v>35</v>
      </c>
      <c r="F183" t="s" s="19">
        <v>5</v>
      </c>
      <c r="G183" s="18">
        <v>3</v>
      </c>
      <c r="H183" t="s" s="19">
        <v>351</v>
      </c>
      <c r="I183" s="12"/>
      <c r="J183" t="s" s="19">
        <v>35</v>
      </c>
      <c r="K183" s="18">
        <f>(D183*6)+(E183*4)</f>
        <v>440</v>
      </c>
      <c r="L183" s="12"/>
      <c r="M183" s="12"/>
      <c r="N183" s="12"/>
      <c r="O183" s="12"/>
      <c r="P183" s="12"/>
    </row>
    <row r="184" ht="32.05" customHeight="1">
      <c r="A184" t="s" s="10">
        <v>352</v>
      </c>
      <c r="B184" t="s" s="11">
        <v>33</v>
      </c>
      <c r="C184" s="18">
        <v>600</v>
      </c>
      <c r="D184" s="18">
        <v>50</v>
      </c>
      <c r="E184" s="18">
        <v>30</v>
      </c>
      <c r="F184" t="s" s="19">
        <v>5</v>
      </c>
      <c r="G184" s="18">
        <v>3</v>
      </c>
      <c r="H184" t="s" s="19">
        <v>353</v>
      </c>
      <c r="I184" s="12"/>
      <c r="J184" t="s" s="19">
        <v>35</v>
      </c>
      <c r="K184" s="18">
        <f>(D184*6)+(E184*4)</f>
        <v>420</v>
      </c>
      <c r="L184" s="12"/>
      <c r="M184" s="12"/>
      <c r="N184" s="12"/>
      <c r="O184" s="12"/>
      <c r="P184" s="12"/>
    </row>
    <row r="185" ht="32.05" customHeight="1">
      <c r="A185" t="s" s="10">
        <v>354</v>
      </c>
      <c r="B185" t="s" s="11">
        <v>33</v>
      </c>
      <c r="C185" s="18">
        <v>450</v>
      </c>
      <c r="D185" s="18">
        <v>40</v>
      </c>
      <c r="E185" s="18">
        <v>30</v>
      </c>
      <c r="F185" t="s" s="19">
        <v>5</v>
      </c>
      <c r="G185" s="18">
        <v>3</v>
      </c>
      <c r="H185" t="s" s="19">
        <v>355</v>
      </c>
      <c r="I185" s="12"/>
      <c r="J185" t="s" s="19">
        <v>35</v>
      </c>
      <c r="K185" s="18">
        <f>(D185*6)+(E185*4)</f>
        <v>360</v>
      </c>
      <c r="L185" s="12"/>
      <c r="M185" s="12"/>
      <c r="N185" s="12"/>
      <c r="O185" s="12"/>
      <c r="P185" s="12"/>
    </row>
    <row r="186" ht="44.05" customHeight="1">
      <c r="A186" t="s" s="10">
        <v>356</v>
      </c>
      <c r="B186" t="s" s="11">
        <v>33</v>
      </c>
      <c r="C186" s="18">
        <v>600</v>
      </c>
      <c r="D186" s="18">
        <v>45</v>
      </c>
      <c r="E186" s="18">
        <v>45</v>
      </c>
      <c r="F186" t="s" s="19">
        <v>5</v>
      </c>
      <c r="G186" s="18">
        <v>4</v>
      </c>
      <c r="H186" t="s" s="19">
        <v>357</v>
      </c>
      <c r="I186" s="12"/>
      <c r="J186" t="s" s="19">
        <v>35</v>
      </c>
      <c r="K186" s="18">
        <f>(D186*6)+(E186*4)</f>
        <v>450</v>
      </c>
      <c r="L186" s="12"/>
      <c r="M186" s="12"/>
      <c r="N186" s="12"/>
      <c r="O186" s="12"/>
      <c r="P186" s="12"/>
    </row>
    <row r="187" ht="32.05" customHeight="1">
      <c r="A187" t="s" s="10">
        <v>358</v>
      </c>
      <c r="B187" t="s" s="11">
        <v>33</v>
      </c>
      <c r="C187" s="18">
        <v>900</v>
      </c>
      <c r="D187" s="18">
        <v>90</v>
      </c>
      <c r="E187" s="18">
        <v>65</v>
      </c>
      <c r="F187" t="s" s="19">
        <v>5</v>
      </c>
      <c r="G187" s="18">
        <v>4</v>
      </c>
      <c r="H187" t="s" s="19">
        <v>359</v>
      </c>
      <c r="I187" s="12"/>
      <c r="J187" t="s" s="19">
        <v>35</v>
      </c>
      <c r="K187" s="18">
        <f>(D187*6)+(E187*4)</f>
        <v>800</v>
      </c>
      <c r="L187" s="12"/>
      <c r="M187" s="12"/>
      <c r="N187" s="12"/>
      <c r="O187" s="12"/>
      <c r="P187" s="12"/>
    </row>
    <row r="188" ht="32.05" customHeight="1">
      <c r="A188" t="s" s="10">
        <v>360</v>
      </c>
      <c r="B188" t="s" s="11">
        <v>33</v>
      </c>
      <c r="C188" s="18">
        <v>800</v>
      </c>
      <c r="D188" s="18">
        <v>95</v>
      </c>
      <c r="E188" s="18">
        <v>70</v>
      </c>
      <c r="F188" t="s" s="19">
        <v>5</v>
      </c>
      <c r="G188" s="18">
        <v>4</v>
      </c>
      <c r="H188" t="s" s="19">
        <v>39</v>
      </c>
      <c r="I188" s="12"/>
      <c r="J188" t="s" s="19">
        <v>35</v>
      </c>
      <c r="K188" s="18">
        <f>(D188*6)+(E188*4)</f>
        <v>850</v>
      </c>
      <c r="L188" s="12"/>
      <c r="M188" s="12"/>
      <c r="N188" s="12"/>
      <c r="O188" s="12"/>
      <c r="P188" s="12"/>
    </row>
    <row r="189" ht="32.05" customHeight="1">
      <c r="A189" t="s" s="10">
        <v>361</v>
      </c>
      <c r="B189" t="s" s="11">
        <v>33</v>
      </c>
      <c r="C189" s="18">
        <v>1250</v>
      </c>
      <c r="D189" s="18">
        <v>80</v>
      </c>
      <c r="E189" s="18">
        <v>80</v>
      </c>
      <c r="F189" t="s" s="19">
        <v>5</v>
      </c>
      <c r="G189" s="18">
        <v>4</v>
      </c>
      <c r="H189" t="s" s="19">
        <v>362</v>
      </c>
      <c r="I189" s="12"/>
      <c r="J189" t="s" s="19">
        <v>35</v>
      </c>
      <c r="K189" s="18">
        <f>(D189*6)+(E189*4)</f>
        <v>800</v>
      </c>
      <c r="L189" s="12"/>
      <c r="M189" s="12"/>
      <c r="N189" s="12"/>
      <c r="O189" s="12"/>
      <c r="P189" s="12"/>
    </row>
    <row r="190" ht="44.05" customHeight="1">
      <c r="A190" t="s" s="10">
        <v>363</v>
      </c>
      <c r="B190" t="s" s="11">
        <v>33</v>
      </c>
      <c r="C190" s="18">
        <v>1500</v>
      </c>
      <c r="D190" s="18">
        <v>100</v>
      </c>
      <c r="E190" s="18">
        <v>60</v>
      </c>
      <c r="F190" t="s" s="19">
        <v>5</v>
      </c>
      <c r="G190" s="18">
        <v>4</v>
      </c>
      <c r="H190" t="s" s="19">
        <v>364</v>
      </c>
      <c r="I190" s="12"/>
      <c r="J190" t="s" s="19">
        <v>35</v>
      </c>
      <c r="K190" s="18">
        <f>(D190*6)+(E190*4)</f>
        <v>840</v>
      </c>
      <c r="L190" s="12"/>
      <c r="M190" s="12"/>
      <c r="N190" s="12"/>
      <c r="O190" s="12"/>
      <c r="P190" s="12"/>
    </row>
    <row r="191" ht="44.05" customHeight="1">
      <c r="A191" t="s" s="10">
        <v>365</v>
      </c>
      <c r="B191" t="s" s="11">
        <v>33</v>
      </c>
      <c r="C191" s="18">
        <v>1300</v>
      </c>
      <c r="D191" s="18">
        <v>70</v>
      </c>
      <c r="E191" s="18">
        <v>90</v>
      </c>
      <c r="F191" t="s" s="19">
        <v>5</v>
      </c>
      <c r="G191" s="18">
        <v>4</v>
      </c>
      <c r="H191" t="s" s="19">
        <v>366</v>
      </c>
      <c r="I191" s="12"/>
      <c r="J191" t="s" s="19">
        <v>35</v>
      </c>
      <c r="K191" s="18">
        <f>(D191*6)+(E191*4)</f>
        <v>780</v>
      </c>
      <c r="L191" s="12"/>
      <c r="M191" s="12"/>
      <c r="N191" s="12"/>
      <c r="O191" s="12"/>
      <c r="P191" s="12"/>
    </row>
    <row r="192" ht="20.05" customHeight="1">
      <c r="A192" t="s" s="10">
        <v>367</v>
      </c>
      <c r="B192" t="s" s="11">
        <v>33</v>
      </c>
      <c r="C192" s="18">
        <v>1200</v>
      </c>
      <c r="D192" s="18">
        <v>95</v>
      </c>
      <c r="E192" s="18">
        <v>80</v>
      </c>
      <c r="F192" t="s" s="19">
        <v>5</v>
      </c>
      <c r="G192" s="18">
        <v>4</v>
      </c>
      <c r="H192" t="s" s="19">
        <v>39</v>
      </c>
      <c r="I192" s="12"/>
      <c r="J192" t="s" s="19">
        <v>35</v>
      </c>
      <c r="K192" s="18">
        <f>(D192*6)+(E192*4)</f>
        <v>890</v>
      </c>
      <c r="L192" s="12"/>
      <c r="M192" s="12"/>
      <c r="N192" s="12"/>
      <c r="O192" s="12"/>
      <c r="P192" s="12"/>
    </row>
    <row r="193" ht="56.05" customHeight="1">
      <c r="A193" t="s" s="10">
        <v>368</v>
      </c>
      <c r="B193" t="s" s="11">
        <v>33</v>
      </c>
      <c r="C193" s="18">
        <v>900</v>
      </c>
      <c r="D193" s="18">
        <v>80</v>
      </c>
      <c r="E193" s="18">
        <v>75</v>
      </c>
      <c r="F193" t="s" s="19">
        <v>5</v>
      </c>
      <c r="G193" s="18">
        <v>5</v>
      </c>
      <c r="H193" t="s" s="19">
        <v>369</v>
      </c>
      <c r="I193" s="12"/>
      <c r="J193" t="s" s="19">
        <v>35</v>
      </c>
      <c r="K193" s="18">
        <f>(D193*6)+(E193*4)</f>
        <v>780</v>
      </c>
      <c r="L193" s="12"/>
      <c r="M193" s="12"/>
      <c r="N193" s="12"/>
      <c r="O193" s="12"/>
      <c r="P193" s="12"/>
    </row>
    <row r="194" ht="56.05" customHeight="1">
      <c r="A194" t="s" s="10">
        <v>370</v>
      </c>
      <c r="B194" t="s" s="11">
        <v>33</v>
      </c>
      <c r="C194" s="18">
        <v>500</v>
      </c>
      <c r="D194" s="18">
        <v>100</v>
      </c>
      <c r="E194" s="18">
        <v>80</v>
      </c>
      <c r="F194" t="s" s="19">
        <v>5</v>
      </c>
      <c r="G194" s="18">
        <v>5</v>
      </c>
      <c r="H194" t="s" s="19">
        <v>371</v>
      </c>
      <c r="I194" s="12"/>
      <c r="J194" t="s" s="19">
        <v>35</v>
      </c>
      <c r="K194" s="18">
        <f>(D194*6)+(E194*4)</f>
        <v>920</v>
      </c>
      <c r="L194" s="12"/>
      <c r="M194" s="12"/>
      <c r="N194" s="12"/>
      <c r="O194" s="12"/>
      <c r="P194" s="12"/>
    </row>
    <row r="195" ht="56.05" customHeight="1">
      <c r="A195" t="s" s="10">
        <v>372</v>
      </c>
      <c r="B195" t="s" s="11">
        <v>33</v>
      </c>
      <c r="C195" s="18">
        <v>1000</v>
      </c>
      <c r="D195" s="18">
        <v>90</v>
      </c>
      <c r="E195" s="18">
        <v>90</v>
      </c>
      <c r="F195" t="s" s="19">
        <v>5</v>
      </c>
      <c r="G195" s="18">
        <v>5</v>
      </c>
      <c r="H195" t="s" s="19">
        <v>373</v>
      </c>
      <c r="I195" s="12"/>
      <c r="J195" t="s" s="19">
        <v>35</v>
      </c>
      <c r="K195" s="18">
        <f>(D195*6)+(E195*4)</f>
        <v>900</v>
      </c>
      <c r="L195" s="12"/>
      <c r="M195" s="12"/>
      <c r="N195" s="12"/>
      <c r="O195" s="12"/>
      <c r="P195" s="12"/>
    </row>
    <row r="196" ht="56.05" customHeight="1">
      <c r="A196" t="s" s="10">
        <v>374</v>
      </c>
      <c r="B196" t="s" s="11">
        <v>33</v>
      </c>
      <c r="C196" s="18">
        <v>1700</v>
      </c>
      <c r="D196" s="18">
        <v>65</v>
      </c>
      <c r="E196" s="18">
        <v>65</v>
      </c>
      <c r="F196" t="s" s="19">
        <v>5</v>
      </c>
      <c r="G196" s="18">
        <v>5</v>
      </c>
      <c r="H196" t="s" s="19">
        <v>375</v>
      </c>
      <c r="I196" s="12"/>
      <c r="J196" t="s" s="19">
        <v>35</v>
      </c>
      <c r="K196" s="18">
        <f>(D196*6)+(E196*4)</f>
        <v>650</v>
      </c>
      <c r="L196" s="12"/>
      <c r="M196" s="12"/>
      <c r="N196" s="12"/>
      <c r="O196" s="12"/>
      <c r="P196" s="12"/>
    </row>
    <row r="197" ht="44.05" customHeight="1">
      <c r="A197" t="s" s="10">
        <v>376</v>
      </c>
      <c r="B197" t="s" s="11">
        <v>33</v>
      </c>
      <c r="C197" s="18">
        <v>1550</v>
      </c>
      <c r="D197" s="18">
        <v>135</v>
      </c>
      <c r="E197" s="18">
        <v>0</v>
      </c>
      <c r="F197" t="s" s="19">
        <v>5</v>
      </c>
      <c r="G197" s="18">
        <v>5</v>
      </c>
      <c r="H197" t="s" s="19">
        <v>377</v>
      </c>
      <c r="I197" s="12"/>
      <c r="J197" t="s" s="19">
        <v>35</v>
      </c>
      <c r="K197" s="18">
        <f>(D197*6)+(E197*4)</f>
        <v>810</v>
      </c>
      <c r="L197" t="s" s="19">
        <v>35</v>
      </c>
      <c r="M197" s="12"/>
      <c r="N197" s="12"/>
      <c r="O197" s="12"/>
      <c r="P197" s="12"/>
    </row>
    <row r="198" ht="32.05" customHeight="1">
      <c r="A198" t="s" s="10">
        <v>378</v>
      </c>
      <c r="B198" t="s" s="11">
        <v>33</v>
      </c>
      <c r="C198" s="18">
        <v>1600</v>
      </c>
      <c r="D198" s="18">
        <v>40</v>
      </c>
      <c r="E198" s="18">
        <v>40</v>
      </c>
      <c r="F198" t="s" s="19">
        <v>5</v>
      </c>
      <c r="G198" s="18">
        <v>5</v>
      </c>
      <c r="H198" t="s" s="19">
        <v>379</v>
      </c>
      <c r="I198" s="12"/>
      <c r="J198" t="s" s="19">
        <v>35</v>
      </c>
      <c r="K198" s="18">
        <f>(D198*6)+(E198*4)</f>
        <v>400</v>
      </c>
      <c r="L198" s="12"/>
      <c r="M198" s="12"/>
      <c r="N198" s="12"/>
      <c r="O198" s="12"/>
      <c r="P198" s="12"/>
    </row>
    <row r="199" ht="32.05" customHeight="1">
      <c r="A199" t="s" s="10">
        <v>380</v>
      </c>
      <c r="B199" t="s" s="11">
        <v>33</v>
      </c>
      <c r="C199" s="18">
        <v>1500</v>
      </c>
      <c r="D199" s="18">
        <v>90</v>
      </c>
      <c r="E199" s="18">
        <v>90</v>
      </c>
      <c r="F199" t="s" s="19">
        <v>3</v>
      </c>
      <c r="G199" s="18">
        <v>5</v>
      </c>
      <c r="H199" t="s" s="19">
        <v>381</v>
      </c>
      <c r="I199" s="12"/>
      <c r="J199" t="s" s="19">
        <v>35</v>
      </c>
      <c r="K199" s="18">
        <f>(D199*6)+(E199*4)</f>
        <v>900</v>
      </c>
      <c r="L199" s="12"/>
      <c r="M199" s="12"/>
      <c r="N199" s="12"/>
      <c r="O199" s="12"/>
      <c r="P199" s="12"/>
    </row>
    <row r="200" ht="20.05" customHeight="1">
      <c r="A200" t="s" s="10">
        <v>382</v>
      </c>
      <c r="B200" t="s" s="11">
        <v>33</v>
      </c>
      <c r="C200" s="18">
        <v>150</v>
      </c>
      <c r="D200" s="18">
        <v>10</v>
      </c>
      <c r="E200" s="18">
        <v>10</v>
      </c>
      <c r="F200" t="s" s="19">
        <v>9</v>
      </c>
      <c r="G200" s="18">
        <v>1</v>
      </c>
      <c r="H200" t="s" s="19">
        <v>153</v>
      </c>
      <c r="I200" s="12"/>
      <c r="J200" t="s" s="19">
        <v>35</v>
      </c>
      <c r="K200" s="18">
        <f>(D200*6)+(E200*4)</f>
        <v>100</v>
      </c>
      <c r="L200" s="12"/>
      <c r="M200" s="12"/>
      <c r="N200" s="12"/>
      <c r="O200" s="12"/>
      <c r="P200" s="12"/>
    </row>
    <row r="201" ht="56.05" customHeight="1">
      <c r="A201" t="s" s="10">
        <v>383</v>
      </c>
      <c r="B201" t="s" s="11">
        <v>33</v>
      </c>
      <c r="C201" s="18">
        <v>400</v>
      </c>
      <c r="D201" s="18">
        <v>15</v>
      </c>
      <c r="E201" s="18">
        <v>20</v>
      </c>
      <c r="F201" t="s" s="19">
        <v>9</v>
      </c>
      <c r="G201" s="18">
        <v>1</v>
      </c>
      <c r="H201" t="s" s="19">
        <v>384</v>
      </c>
      <c r="I201" s="12"/>
      <c r="J201" t="s" s="19">
        <v>35</v>
      </c>
      <c r="K201" s="18">
        <f>(D201*6)+(E201*4)</f>
        <v>170</v>
      </c>
      <c r="L201" t="s" s="19">
        <v>35</v>
      </c>
      <c r="M201" s="12"/>
      <c r="N201" s="12"/>
      <c r="O201" t="s" s="19">
        <v>35</v>
      </c>
      <c r="P201" s="12"/>
    </row>
    <row r="202" ht="20.05" customHeight="1">
      <c r="A202" t="s" s="10">
        <v>385</v>
      </c>
      <c r="B202" t="s" s="11">
        <v>33</v>
      </c>
      <c r="C202" s="18">
        <v>500</v>
      </c>
      <c r="D202" s="18">
        <v>20</v>
      </c>
      <c r="E202" s="18">
        <v>20</v>
      </c>
      <c r="F202" t="s" s="19">
        <v>9</v>
      </c>
      <c r="G202" s="18">
        <v>1</v>
      </c>
      <c r="H202" t="s" s="19">
        <v>39</v>
      </c>
      <c r="I202" s="12"/>
      <c r="J202" t="s" s="19">
        <v>35</v>
      </c>
      <c r="K202" s="18">
        <f>(D202*6)+(E202*4)</f>
        <v>200</v>
      </c>
      <c r="L202" s="12"/>
      <c r="M202" s="12"/>
      <c r="N202" s="12"/>
      <c r="O202" s="12"/>
      <c r="P202" s="12"/>
    </row>
    <row r="203" ht="20.05" customHeight="1">
      <c r="A203" t="s" s="10">
        <v>386</v>
      </c>
      <c r="B203" t="s" s="11">
        <v>33</v>
      </c>
      <c r="C203" s="18">
        <v>200</v>
      </c>
      <c r="D203" s="18">
        <v>20</v>
      </c>
      <c r="E203" s="18">
        <v>10</v>
      </c>
      <c r="F203" t="s" s="19">
        <v>9</v>
      </c>
      <c r="G203" s="18">
        <v>1</v>
      </c>
      <c r="H203" t="s" s="19">
        <v>387</v>
      </c>
      <c r="I203" s="12"/>
      <c r="J203" t="s" s="19">
        <v>35</v>
      </c>
      <c r="K203" s="18">
        <f>(D203*6)+(E203*4)</f>
        <v>160</v>
      </c>
      <c r="L203" s="12"/>
      <c r="M203" s="12"/>
      <c r="N203" s="12"/>
      <c r="O203" s="12"/>
      <c r="P203" s="12"/>
    </row>
    <row r="204" ht="20.05" customHeight="1">
      <c r="A204" t="s" s="10">
        <v>388</v>
      </c>
      <c r="B204" t="s" s="11">
        <v>33</v>
      </c>
      <c r="C204" s="18">
        <v>300</v>
      </c>
      <c r="D204" s="18">
        <v>10</v>
      </c>
      <c r="E204" s="18">
        <v>30</v>
      </c>
      <c r="F204" t="s" s="19">
        <v>9</v>
      </c>
      <c r="G204" s="18">
        <v>1</v>
      </c>
      <c r="H204" t="s" s="19">
        <v>39</v>
      </c>
      <c r="I204" s="12"/>
      <c r="J204" t="s" s="19">
        <v>35</v>
      </c>
      <c r="K204" s="18">
        <f>(D204*6)+(E204*4)</f>
        <v>180</v>
      </c>
      <c r="L204" s="12"/>
      <c r="M204" s="12"/>
      <c r="N204" s="12"/>
      <c r="O204" s="12"/>
      <c r="P204" s="12"/>
    </row>
    <row r="205" ht="56.05" customHeight="1">
      <c r="A205" t="s" s="10">
        <v>389</v>
      </c>
      <c r="B205" t="s" s="11">
        <v>33</v>
      </c>
      <c r="C205" s="18">
        <v>340</v>
      </c>
      <c r="D205" s="18">
        <v>25</v>
      </c>
      <c r="E205" s="18">
        <v>10</v>
      </c>
      <c r="F205" t="s" s="19">
        <v>9</v>
      </c>
      <c r="G205" s="18">
        <v>1</v>
      </c>
      <c r="H205" t="s" s="19">
        <v>390</v>
      </c>
      <c r="I205" s="12"/>
      <c r="J205" t="s" s="19">
        <v>35</v>
      </c>
      <c r="K205" s="18">
        <f>(D205*6)+(E205*4)</f>
        <v>190</v>
      </c>
      <c r="L205" s="12"/>
      <c r="M205" s="12"/>
      <c r="N205" s="12"/>
      <c r="O205" s="12"/>
      <c r="P205" s="12"/>
    </row>
    <row r="206" ht="56.05" customHeight="1">
      <c r="A206" t="s" s="10">
        <v>391</v>
      </c>
      <c r="B206" t="s" s="11">
        <v>33</v>
      </c>
      <c r="C206" s="18">
        <v>900</v>
      </c>
      <c r="D206" s="18">
        <v>65</v>
      </c>
      <c r="E206" s="18">
        <v>70</v>
      </c>
      <c r="F206" t="s" s="19">
        <v>11</v>
      </c>
      <c r="G206" s="18">
        <v>3</v>
      </c>
      <c r="H206" t="s" s="19">
        <v>392</v>
      </c>
      <c r="I206" s="12"/>
      <c r="J206" t="s" s="19">
        <v>35</v>
      </c>
      <c r="K206" s="18">
        <f>(D206*6)+(E206*4)</f>
        <v>670</v>
      </c>
      <c r="L206" s="12"/>
      <c r="M206" s="12"/>
      <c r="N206" s="12"/>
      <c r="O206" s="12"/>
      <c r="P206" s="12"/>
    </row>
    <row r="207" ht="44.05" customHeight="1">
      <c r="A207" t="s" s="10">
        <v>393</v>
      </c>
      <c r="B207" t="s" s="11">
        <v>33</v>
      </c>
      <c r="C207" s="18">
        <v>400</v>
      </c>
      <c r="D207" s="18">
        <v>10</v>
      </c>
      <c r="E207" s="18">
        <v>10</v>
      </c>
      <c r="F207" t="s" s="19">
        <v>9</v>
      </c>
      <c r="G207" s="18">
        <v>1</v>
      </c>
      <c r="H207" t="s" s="19">
        <v>394</v>
      </c>
      <c r="I207" s="12"/>
      <c r="J207" t="s" s="19">
        <v>35</v>
      </c>
      <c r="K207" s="18">
        <f>(D207*6)+(E207*4)</f>
        <v>100</v>
      </c>
      <c r="L207" t="s" s="19">
        <v>35</v>
      </c>
      <c r="M207" s="12"/>
      <c r="N207" t="s" s="19">
        <v>35</v>
      </c>
      <c r="O207" s="12"/>
      <c r="P207" s="12"/>
    </row>
    <row r="208" ht="20.05" customHeight="1">
      <c r="A208" t="s" s="10">
        <v>395</v>
      </c>
      <c r="B208" t="s" s="11">
        <v>33</v>
      </c>
      <c r="C208" s="18">
        <v>260</v>
      </c>
      <c r="D208" s="18">
        <v>30</v>
      </c>
      <c r="E208" s="18">
        <v>15</v>
      </c>
      <c r="F208" t="s" s="19">
        <v>9</v>
      </c>
      <c r="G208" s="18">
        <v>1</v>
      </c>
      <c r="H208" t="s" s="19">
        <v>39</v>
      </c>
      <c r="I208" s="12"/>
      <c r="J208" t="s" s="19">
        <v>35</v>
      </c>
      <c r="K208" s="18">
        <f>(D208*6)+(E208*4)</f>
        <v>240</v>
      </c>
      <c r="L208" t="s" s="19">
        <v>35</v>
      </c>
      <c r="M208" s="12"/>
      <c r="N208" s="19"/>
      <c r="O208" s="12"/>
      <c r="P208" t="s" s="19">
        <v>35</v>
      </c>
    </row>
    <row r="209" ht="32.05" customHeight="1">
      <c r="A209" t="s" s="10">
        <v>396</v>
      </c>
      <c r="B209" t="s" s="11">
        <v>33</v>
      </c>
      <c r="C209" s="18">
        <v>170</v>
      </c>
      <c r="D209" s="18">
        <v>10</v>
      </c>
      <c r="E209" s="18">
        <v>20</v>
      </c>
      <c r="F209" t="s" s="19">
        <v>9</v>
      </c>
      <c r="G209" s="18">
        <v>1</v>
      </c>
      <c r="H209" t="s" s="19">
        <v>397</v>
      </c>
      <c r="I209" s="12"/>
      <c r="J209" t="s" s="19">
        <v>35</v>
      </c>
      <c r="K209" s="18">
        <f>(D209*6)+(E209*4)</f>
        <v>140</v>
      </c>
      <c r="L209" t="s" s="19">
        <v>35</v>
      </c>
      <c r="M209" s="12"/>
      <c r="N209" t="s" s="19">
        <v>35</v>
      </c>
      <c r="O209" s="12"/>
      <c r="P209" s="19"/>
    </row>
    <row r="210" ht="44.05" customHeight="1">
      <c r="A210" t="s" s="10">
        <v>398</v>
      </c>
      <c r="B210" t="s" s="11">
        <v>33</v>
      </c>
      <c r="C210" s="18">
        <v>180</v>
      </c>
      <c r="D210" s="18">
        <v>15</v>
      </c>
      <c r="E210" s="18">
        <v>15</v>
      </c>
      <c r="F210" t="s" s="19">
        <v>9</v>
      </c>
      <c r="G210" s="18">
        <v>1</v>
      </c>
      <c r="H210" t="s" s="19">
        <v>399</v>
      </c>
      <c r="I210" s="12"/>
      <c r="J210" t="s" s="19">
        <v>35</v>
      </c>
      <c r="K210" s="18">
        <f>(D210*6)+(E210*4)</f>
        <v>150</v>
      </c>
      <c r="L210" t="s" s="19">
        <v>35</v>
      </c>
      <c r="M210" s="12"/>
      <c r="N210" s="12"/>
      <c r="O210" s="19"/>
      <c r="P210" s="12"/>
    </row>
    <row r="211" ht="32.05" customHeight="1">
      <c r="A211" t="s" s="10">
        <v>400</v>
      </c>
      <c r="B211" t="s" s="11">
        <v>33</v>
      </c>
      <c r="C211" s="18">
        <v>250</v>
      </c>
      <c r="D211" s="18">
        <v>20</v>
      </c>
      <c r="E211" s="18">
        <v>20</v>
      </c>
      <c r="F211" t="s" s="19">
        <v>9</v>
      </c>
      <c r="G211" s="18">
        <v>1</v>
      </c>
      <c r="H211" t="s" s="19">
        <v>401</v>
      </c>
      <c r="I211" s="12"/>
      <c r="J211" t="s" s="19">
        <v>35</v>
      </c>
      <c r="K211" s="18">
        <f>(D211*6)+(E211*4)</f>
        <v>200</v>
      </c>
      <c r="L211" t="s" s="19">
        <v>35</v>
      </c>
      <c r="M211" s="12"/>
      <c r="N211" t="s" s="19">
        <v>35</v>
      </c>
      <c r="O211" s="19"/>
      <c r="P211" s="12"/>
    </row>
    <row r="212" ht="44.05" customHeight="1">
      <c r="A212" t="s" s="10">
        <v>402</v>
      </c>
      <c r="B212" t="s" s="11">
        <v>33</v>
      </c>
      <c r="C212" s="18">
        <v>200</v>
      </c>
      <c r="D212" s="18">
        <v>10</v>
      </c>
      <c r="E212" s="18">
        <v>10</v>
      </c>
      <c r="F212" t="s" s="19">
        <v>9</v>
      </c>
      <c r="G212" s="18">
        <v>1</v>
      </c>
      <c r="H212" t="s" s="19">
        <v>403</v>
      </c>
      <c r="I212" s="12"/>
      <c r="J212" t="s" s="19">
        <v>35</v>
      </c>
      <c r="K212" s="18">
        <f>(D212*6)+(E212*4)</f>
        <v>100</v>
      </c>
      <c r="L212" t="s" s="19">
        <v>35</v>
      </c>
      <c r="M212" s="12"/>
      <c r="N212" s="12"/>
      <c r="O212" s="12"/>
      <c r="P212" t="s" s="19">
        <v>35</v>
      </c>
    </row>
    <row r="213" ht="56.05" customHeight="1">
      <c r="A213" t="s" s="10">
        <v>404</v>
      </c>
      <c r="B213" t="s" s="11">
        <v>33</v>
      </c>
      <c r="C213" s="18">
        <v>900</v>
      </c>
      <c r="D213" s="18">
        <v>35</v>
      </c>
      <c r="E213" s="18">
        <v>50</v>
      </c>
      <c r="F213" t="s" s="19">
        <v>3</v>
      </c>
      <c r="G213" s="18">
        <v>4</v>
      </c>
      <c r="H213" t="s" s="19">
        <v>405</v>
      </c>
      <c r="I213" s="12"/>
      <c r="J213" t="s" s="19">
        <v>35</v>
      </c>
      <c r="K213" s="18">
        <f>(D213*6)+(E213*4)</f>
        <v>410</v>
      </c>
      <c r="L213" s="12"/>
      <c r="M213" s="12"/>
      <c r="N213" s="12"/>
      <c r="O213" s="12"/>
      <c r="P213" s="12"/>
    </row>
    <row r="214" ht="32.05" customHeight="1">
      <c r="A214" t="s" s="10">
        <v>406</v>
      </c>
      <c r="B214" t="s" s="11">
        <v>33</v>
      </c>
      <c r="C214" s="18">
        <v>280</v>
      </c>
      <c r="D214" s="18">
        <v>25</v>
      </c>
      <c r="E214" s="18">
        <v>10</v>
      </c>
      <c r="F214" t="s" s="19">
        <v>9</v>
      </c>
      <c r="G214" s="18">
        <v>1</v>
      </c>
      <c r="H214" t="s" s="19">
        <v>401</v>
      </c>
      <c r="I214" s="12"/>
      <c r="J214" t="s" s="19">
        <v>35</v>
      </c>
      <c r="K214" s="18">
        <f>(D214*6)+(E214*4)</f>
        <v>190</v>
      </c>
      <c r="L214" t="s" s="19">
        <v>35</v>
      </c>
      <c r="M214" s="12"/>
      <c r="N214" s="12"/>
      <c r="O214" t="s" s="19">
        <v>35</v>
      </c>
      <c r="P214" s="12"/>
    </row>
    <row r="215" ht="32.05" customHeight="1">
      <c r="A215" t="s" s="10">
        <v>407</v>
      </c>
      <c r="B215" t="s" s="11">
        <v>33</v>
      </c>
      <c r="C215" s="18">
        <v>800</v>
      </c>
      <c r="D215" s="18">
        <v>40</v>
      </c>
      <c r="E215" s="18">
        <v>35</v>
      </c>
      <c r="F215" t="s" s="19">
        <v>15</v>
      </c>
      <c r="G215" s="18">
        <v>4</v>
      </c>
      <c r="H215" t="s" s="19">
        <v>408</v>
      </c>
      <c r="I215" s="12"/>
      <c r="J215" t="s" s="19">
        <v>35</v>
      </c>
      <c r="K215" s="18">
        <f>(D215*6)+(E215*4)</f>
        <v>380</v>
      </c>
      <c r="L215" t="s" s="19">
        <v>35</v>
      </c>
      <c r="M215" s="12"/>
      <c r="N215" s="12"/>
      <c r="O215" s="12"/>
      <c r="P215" t="s" s="19">
        <v>35</v>
      </c>
    </row>
    <row r="216" ht="32.05" customHeight="1">
      <c r="A216" t="s" s="10">
        <v>409</v>
      </c>
      <c r="B216" t="s" s="11">
        <v>33</v>
      </c>
      <c r="C216" s="18">
        <v>800</v>
      </c>
      <c r="D216" s="18">
        <v>20</v>
      </c>
      <c r="E216" s="18">
        <v>20</v>
      </c>
      <c r="F216" t="s" s="19">
        <v>9</v>
      </c>
      <c r="G216" s="18">
        <v>2</v>
      </c>
      <c r="H216" t="s" s="19">
        <v>410</v>
      </c>
      <c r="I216" s="12"/>
      <c r="J216" t="s" s="19">
        <v>35</v>
      </c>
      <c r="K216" s="18">
        <f>(D216*6)+(E216*4)</f>
        <v>200</v>
      </c>
      <c r="L216" s="12"/>
      <c r="M216" s="12"/>
      <c r="N216" s="12"/>
      <c r="O216" s="12"/>
      <c r="P216" s="12"/>
    </row>
    <row r="217" ht="32.05" customHeight="1">
      <c r="A217" t="s" s="10">
        <v>411</v>
      </c>
      <c r="B217" t="s" s="11">
        <v>33</v>
      </c>
      <c r="C217" s="18">
        <v>480</v>
      </c>
      <c r="D217" s="18">
        <v>50</v>
      </c>
      <c r="E217" s="18">
        <v>20</v>
      </c>
      <c r="F217" t="s" s="19">
        <v>9</v>
      </c>
      <c r="G217" s="18">
        <v>2</v>
      </c>
      <c r="H217" t="s" s="19">
        <v>401</v>
      </c>
      <c r="I217" s="12"/>
      <c r="J217" t="s" s="19">
        <v>35</v>
      </c>
      <c r="K217" s="18">
        <f>(D217*6)+(E217*4)</f>
        <v>380</v>
      </c>
      <c r="L217" t="s" s="19">
        <v>35</v>
      </c>
      <c r="M217" s="12"/>
      <c r="N217" s="12"/>
      <c r="O217" t="s" s="19">
        <v>35</v>
      </c>
      <c r="P217" s="12"/>
    </row>
    <row r="218" ht="32.05" customHeight="1">
      <c r="A218" t="s" s="10">
        <v>412</v>
      </c>
      <c r="B218" t="s" s="11">
        <v>33</v>
      </c>
      <c r="C218" s="18">
        <v>850</v>
      </c>
      <c r="D218" s="18">
        <v>20</v>
      </c>
      <c r="E218" s="18">
        <v>20</v>
      </c>
      <c r="F218" t="s" s="19">
        <v>9</v>
      </c>
      <c r="G218" s="18">
        <v>3</v>
      </c>
      <c r="H218" t="s" s="19">
        <v>413</v>
      </c>
      <c r="I218" s="12"/>
      <c r="J218" t="s" s="19">
        <v>35</v>
      </c>
      <c r="K218" s="18">
        <f>(D218*6)+(E218*4)</f>
        <v>200</v>
      </c>
      <c r="L218" t="s" s="19">
        <v>35</v>
      </c>
      <c r="M218" s="12"/>
      <c r="N218" s="12"/>
      <c r="O218" s="12"/>
      <c r="P218" t="s" s="19">
        <v>35</v>
      </c>
    </row>
    <row r="219" ht="32.05" customHeight="1">
      <c r="A219" t="s" s="10">
        <v>414</v>
      </c>
      <c r="B219" t="s" s="11">
        <v>33</v>
      </c>
      <c r="C219" s="18">
        <v>550</v>
      </c>
      <c r="D219" s="18">
        <v>35</v>
      </c>
      <c r="E219" s="18">
        <v>35</v>
      </c>
      <c r="F219" t="s" s="19">
        <v>9</v>
      </c>
      <c r="G219" s="18">
        <v>2</v>
      </c>
      <c r="H219" t="s" s="19">
        <v>401</v>
      </c>
      <c r="I219" s="12"/>
      <c r="J219" t="s" s="19">
        <v>35</v>
      </c>
      <c r="K219" s="18">
        <f>(D219*6)+(E219*4)</f>
        <v>350</v>
      </c>
      <c r="L219" t="s" s="19">
        <v>35</v>
      </c>
      <c r="M219" s="12"/>
      <c r="N219" s="12"/>
      <c r="O219" t="s" s="19">
        <v>35</v>
      </c>
      <c r="P219" s="12"/>
    </row>
    <row r="220" ht="80.05" customHeight="1">
      <c r="A220" t="s" s="10">
        <v>415</v>
      </c>
      <c r="B220" t="s" s="11">
        <v>33</v>
      </c>
      <c r="C220" s="18">
        <v>900</v>
      </c>
      <c r="D220" s="18">
        <v>15</v>
      </c>
      <c r="E220" s="18">
        <v>20</v>
      </c>
      <c r="F220" t="s" s="19">
        <v>9</v>
      </c>
      <c r="G220" s="18">
        <v>2</v>
      </c>
      <c r="H220" t="s" s="19">
        <v>416</v>
      </c>
      <c r="I220" s="12"/>
      <c r="J220" t="s" s="19">
        <v>35</v>
      </c>
      <c r="K220" s="18">
        <f>(D220*6)+(E220*4)</f>
        <v>170</v>
      </c>
      <c r="L220" s="12"/>
      <c r="M220" s="12"/>
      <c r="N220" s="12"/>
      <c r="O220" s="12"/>
      <c r="P220" s="12"/>
    </row>
    <row r="221" ht="32.05" customHeight="1">
      <c r="A221" t="s" s="10">
        <v>417</v>
      </c>
      <c r="B221" t="s" s="11">
        <v>33</v>
      </c>
      <c r="C221" s="18">
        <v>450</v>
      </c>
      <c r="D221" s="18">
        <v>40</v>
      </c>
      <c r="E221" s="18">
        <v>25</v>
      </c>
      <c r="F221" t="s" s="19">
        <v>9</v>
      </c>
      <c r="G221" s="18">
        <v>2</v>
      </c>
      <c r="H221" t="s" s="19">
        <v>418</v>
      </c>
      <c r="I221" s="12"/>
      <c r="J221" t="s" s="19">
        <v>35</v>
      </c>
      <c r="K221" s="18">
        <f>(D221*6)+(E221*4)</f>
        <v>340</v>
      </c>
      <c r="L221" t="s" s="19">
        <v>35</v>
      </c>
      <c r="M221" s="12"/>
      <c r="N221" s="12"/>
      <c r="O221" s="12"/>
      <c r="P221" t="s" s="19">
        <v>35</v>
      </c>
    </row>
    <row r="222" ht="32.05" customHeight="1">
      <c r="A222" t="s" s="10">
        <v>419</v>
      </c>
      <c r="B222" t="s" s="11">
        <v>33</v>
      </c>
      <c r="C222" s="18">
        <v>300</v>
      </c>
      <c r="D222" s="18">
        <v>30</v>
      </c>
      <c r="E222" s="18">
        <v>10</v>
      </c>
      <c r="F222" t="s" s="19">
        <v>9</v>
      </c>
      <c r="G222" s="18">
        <v>2</v>
      </c>
      <c r="H222" t="s" s="19">
        <v>420</v>
      </c>
      <c r="I222" s="12"/>
      <c r="J222" t="s" s="19">
        <v>35</v>
      </c>
      <c r="K222" s="18">
        <f>(D222*6)+(E222*4)</f>
        <v>220</v>
      </c>
      <c r="L222" s="12"/>
      <c r="M222" s="12"/>
      <c r="N222" s="12"/>
      <c r="O222" s="12"/>
      <c r="P222" s="12"/>
    </row>
    <row r="223" ht="20.05" customHeight="1">
      <c r="A223" t="s" s="10">
        <v>421</v>
      </c>
      <c r="B223" t="s" s="11">
        <v>33</v>
      </c>
      <c r="C223" s="18">
        <v>400</v>
      </c>
      <c r="D223" s="18">
        <v>25</v>
      </c>
      <c r="E223" s="18">
        <v>40</v>
      </c>
      <c r="F223" t="s" s="19">
        <v>9</v>
      </c>
      <c r="G223" s="18">
        <v>2</v>
      </c>
      <c r="H223" t="s" s="19">
        <v>422</v>
      </c>
      <c r="I223" s="12"/>
      <c r="J223" t="s" s="19">
        <v>35</v>
      </c>
      <c r="K223" s="18">
        <f>(D223*6)+(E223*4)</f>
        <v>310</v>
      </c>
      <c r="L223" t="s" s="19">
        <v>35</v>
      </c>
      <c r="M223" s="12"/>
      <c r="N223" s="12"/>
      <c r="O223" t="s" s="19">
        <v>35</v>
      </c>
      <c r="P223" s="12"/>
    </row>
    <row r="224" ht="44.05" customHeight="1">
      <c r="A224" t="s" s="10">
        <v>423</v>
      </c>
      <c r="B224" t="s" s="11">
        <v>33</v>
      </c>
      <c r="C224" s="18">
        <v>800</v>
      </c>
      <c r="D224" s="18">
        <v>60</v>
      </c>
      <c r="E224" s="18">
        <v>30</v>
      </c>
      <c r="F224" t="s" s="19">
        <v>9</v>
      </c>
      <c r="G224" s="18">
        <v>2</v>
      </c>
      <c r="H224" t="s" s="19">
        <v>424</v>
      </c>
      <c r="I224" s="12"/>
      <c r="J224" t="s" s="19">
        <v>35</v>
      </c>
      <c r="K224" s="18">
        <f>(D224*6)+(E224*4)</f>
        <v>480</v>
      </c>
      <c r="L224" t="s" s="19">
        <v>35</v>
      </c>
      <c r="M224" s="12"/>
      <c r="N224" s="12"/>
      <c r="O224" s="12"/>
      <c r="P224" t="s" s="19">
        <v>35</v>
      </c>
    </row>
    <row r="225" ht="32.05" customHeight="1">
      <c r="A225" t="s" s="10">
        <v>425</v>
      </c>
      <c r="B225" t="s" s="11">
        <v>33</v>
      </c>
      <c r="C225" s="18">
        <v>900</v>
      </c>
      <c r="D225" s="18">
        <v>75</v>
      </c>
      <c r="E225" s="18">
        <v>25</v>
      </c>
      <c r="F225" t="s" s="19">
        <v>9</v>
      </c>
      <c r="G225" s="18">
        <v>3</v>
      </c>
      <c r="H225" t="s" s="19">
        <v>401</v>
      </c>
      <c r="I225" s="12"/>
      <c r="J225" t="s" s="19">
        <v>35</v>
      </c>
      <c r="K225" s="18">
        <f>(D225*6)+(E225*4)</f>
        <v>550</v>
      </c>
      <c r="L225" t="s" s="19">
        <v>35</v>
      </c>
      <c r="M225" s="12"/>
      <c r="N225" s="12"/>
      <c r="O225" s="12"/>
      <c r="P225" t="s" s="19">
        <v>35</v>
      </c>
    </row>
    <row r="226" ht="44.05" customHeight="1">
      <c r="A226" t="s" s="10">
        <v>426</v>
      </c>
      <c r="B226" t="s" s="11">
        <v>33</v>
      </c>
      <c r="C226" s="18">
        <v>500</v>
      </c>
      <c r="D226" s="18">
        <v>70</v>
      </c>
      <c r="E226" s="18">
        <v>30</v>
      </c>
      <c r="F226" t="s" s="19">
        <v>9</v>
      </c>
      <c r="G226" s="18">
        <v>3</v>
      </c>
      <c r="H226" t="s" s="19">
        <v>427</v>
      </c>
      <c r="I226" s="12"/>
      <c r="J226" t="s" s="19">
        <v>35</v>
      </c>
      <c r="K226" s="18">
        <f>(D226*6)+(E226*4)</f>
        <v>540</v>
      </c>
      <c r="L226" s="12"/>
      <c r="M226" s="12"/>
      <c r="N226" s="12"/>
      <c r="O226" s="12"/>
      <c r="P226" s="12"/>
    </row>
    <row r="227" ht="44.05" customHeight="1">
      <c r="A227" t="s" s="10">
        <v>428</v>
      </c>
      <c r="B227" t="s" s="11">
        <v>33</v>
      </c>
      <c r="C227" s="18">
        <v>850</v>
      </c>
      <c r="D227" s="18">
        <v>70</v>
      </c>
      <c r="E227" s="18">
        <v>70</v>
      </c>
      <c r="F227" t="s" s="19">
        <v>9</v>
      </c>
      <c r="G227" s="18">
        <v>3</v>
      </c>
      <c r="H227" t="s" s="19">
        <v>429</v>
      </c>
      <c r="I227" s="12"/>
      <c r="J227" t="s" s="19">
        <v>35</v>
      </c>
      <c r="K227" s="18">
        <f>(D227*6)+(E227*4)</f>
        <v>700</v>
      </c>
      <c r="L227" s="12"/>
      <c r="M227" s="12"/>
      <c r="N227" s="12"/>
      <c r="O227" s="12"/>
      <c r="P227" s="12"/>
    </row>
    <row r="228" ht="20.05" customHeight="1">
      <c r="A228" t="s" s="10">
        <v>430</v>
      </c>
      <c r="B228" t="s" s="11">
        <v>33</v>
      </c>
      <c r="C228" s="18">
        <v>800</v>
      </c>
      <c r="D228" s="18">
        <v>50</v>
      </c>
      <c r="E228" s="18">
        <v>50</v>
      </c>
      <c r="F228" t="s" s="19">
        <v>9</v>
      </c>
      <c r="G228" s="18">
        <v>3</v>
      </c>
      <c r="H228" t="s" s="19">
        <v>431</v>
      </c>
      <c r="I228" s="12"/>
      <c r="J228" t="s" s="19">
        <v>35</v>
      </c>
      <c r="K228" s="18">
        <f>(D228*6)+(E228*4)</f>
        <v>500</v>
      </c>
      <c r="L228" s="12"/>
      <c r="M228" s="12"/>
      <c r="N228" s="12"/>
      <c r="O228" s="12"/>
      <c r="P228" s="12"/>
    </row>
    <row r="229" ht="32.05" customHeight="1">
      <c r="A229" t="s" s="10">
        <v>432</v>
      </c>
      <c r="B229" t="s" s="11">
        <v>33</v>
      </c>
      <c r="C229" s="18">
        <v>420</v>
      </c>
      <c r="D229" s="18">
        <v>45</v>
      </c>
      <c r="E229" s="18">
        <v>35</v>
      </c>
      <c r="F229" t="s" s="19">
        <v>9</v>
      </c>
      <c r="G229" s="18">
        <v>3</v>
      </c>
      <c r="H229" t="s" s="19">
        <v>39</v>
      </c>
      <c r="I229" s="12"/>
      <c r="J229" t="s" s="19">
        <v>35</v>
      </c>
      <c r="K229" s="18">
        <f>(D229*6)+(E229*4)</f>
        <v>410</v>
      </c>
      <c r="L229" t="s" s="19">
        <v>35</v>
      </c>
      <c r="M229" s="12"/>
      <c r="N229" s="12"/>
      <c r="O229" s="12"/>
      <c r="P229" s="12"/>
    </row>
    <row r="230" ht="32.05" customHeight="1">
      <c r="A230" t="s" s="10">
        <v>433</v>
      </c>
      <c r="B230" t="s" s="11">
        <v>33</v>
      </c>
      <c r="C230" s="18">
        <v>550</v>
      </c>
      <c r="D230" s="18">
        <v>20</v>
      </c>
      <c r="E230" s="18">
        <v>20</v>
      </c>
      <c r="F230" t="s" s="19">
        <v>9</v>
      </c>
      <c r="G230" s="18">
        <v>2</v>
      </c>
      <c r="H230" t="s" s="19">
        <v>434</v>
      </c>
      <c r="I230" s="12"/>
      <c r="J230" t="s" s="19">
        <v>35</v>
      </c>
      <c r="K230" s="18">
        <f>(D230*6)+(E230*4)</f>
        <v>200</v>
      </c>
      <c r="L230" s="12"/>
      <c r="M230" s="12"/>
      <c r="N230" s="12"/>
      <c r="O230" s="12"/>
      <c r="P230" s="12"/>
    </row>
    <row r="231" ht="32.05" customHeight="1">
      <c r="A231" t="s" s="10">
        <v>435</v>
      </c>
      <c r="B231" t="s" s="11">
        <v>33</v>
      </c>
      <c r="C231" s="18">
        <v>400</v>
      </c>
      <c r="D231" s="18">
        <v>35</v>
      </c>
      <c r="E231" s="18">
        <v>45</v>
      </c>
      <c r="F231" t="s" s="19">
        <v>9</v>
      </c>
      <c r="G231" s="18">
        <v>3</v>
      </c>
      <c r="H231" t="s" s="19">
        <v>436</v>
      </c>
      <c r="I231" s="12"/>
      <c r="J231" t="s" s="19">
        <v>35</v>
      </c>
      <c r="K231" s="18">
        <f>(D231*6)+(E231*4)</f>
        <v>390</v>
      </c>
      <c r="L231" s="12"/>
      <c r="M231" s="12"/>
      <c r="N231" s="12"/>
      <c r="O231" s="12"/>
      <c r="P231" s="12"/>
    </row>
    <row r="232" ht="32.05" customHeight="1">
      <c r="A232" t="s" s="10">
        <v>437</v>
      </c>
      <c r="B232" t="s" s="11">
        <v>33</v>
      </c>
      <c r="C232" s="18">
        <v>500</v>
      </c>
      <c r="D232" s="18">
        <v>25</v>
      </c>
      <c r="E232" s="18">
        <v>25</v>
      </c>
      <c r="F232" t="s" s="19">
        <v>9</v>
      </c>
      <c r="G232" s="18">
        <v>2</v>
      </c>
      <c r="H232" t="s" s="19">
        <v>438</v>
      </c>
      <c r="I232" s="12"/>
      <c r="J232" t="s" s="19">
        <v>35</v>
      </c>
      <c r="K232" s="18">
        <f>(D232*6)+(E232*4)</f>
        <v>250</v>
      </c>
      <c r="L232" s="12"/>
      <c r="M232" s="12"/>
      <c r="N232" s="12"/>
      <c r="O232" s="12"/>
      <c r="P232" s="12"/>
    </row>
    <row r="233" ht="32.05" customHeight="1">
      <c r="A233" t="s" s="10">
        <v>439</v>
      </c>
      <c r="B233" t="s" s="11">
        <v>33</v>
      </c>
      <c r="C233" s="18">
        <v>900</v>
      </c>
      <c r="D233" s="18">
        <v>50</v>
      </c>
      <c r="E233" s="18">
        <v>10</v>
      </c>
      <c r="F233" t="s" s="19">
        <v>9</v>
      </c>
      <c r="G233" s="18">
        <v>4</v>
      </c>
      <c r="H233" t="s" s="19">
        <v>440</v>
      </c>
      <c r="I233" s="12"/>
      <c r="J233" t="s" s="19">
        <v>35</v>
      </c>
      <c r="K233" s="18">
        <f>(D233*6)+(E233*4)</f>
        <v>340</v>
      </c>
      <c r="L233" s="12"/>
      <c r="M233" s="12"/>
      <c r="N233" s="12"/>
      <c r="O233" s="12"/>
      <c r="P233" s="12"/>
    </row>
    <row r="234" ht="44.05" customHeight="1">
      <c r="A234" t="s" s="10">
        <v>441</v>
      </c>
      <c r="B234" t="s" s="11">
        <v>33</v>
      </c>
      <c r="C234" s="18">
        <v>800</v>
      </c>
      <c r="D234" s="18">
        <v>30</v>
      </c>
      <c r="E234" s="18">
        <v>70</v>
      </c>
      <c r="F234" t="s" s="19">
        <v>9</v>
      </c>
      <c r="G234" s="18">
        <v>4</v>
      </c>
      <c r="H234" t="s" s="19">
        <v>442</v>
      </c>
      <c r="I234" s="12"/>
      <c r="J234" t="s" s="19">
        <v>35</v>
      </c>
      <c r="K234" s="18">
        <f>(D234*6)+(E234*4)</f>
        <v>460</v>
      </c>
      <c r="L234" s="19"/>
      <c r="M234" s="12"/>
      <c r="N234" s="12"/>
      <c r="O234" s="19"/>
      <c r="P234" s="12"/>
    </row>
    <row r="235" ht="44.05" customHeight="1">
      <c r="A235" t="s" s="10">
        <v>443</v>
      </c>
      <c r="B235" t="s" s="11">
        <v>33</v>
      </c>
      <c r="C235" s="18">
        <v>900</v>
      </c>
      <c r="D235" s="18">
        <v>85</v>
      </c>
      <c r="E235" s="18">
        <v>50</v>
      </c>
      <c r="F235" t="s" s="19">
        <v>9</v>
      </c>
      <c r="G235" s="18">
        <v>4</v>
      </c>
      <c r="H235" t="s" s="19">
        <v>444</v>
      </c>
      <c r="I235" s="12"/>
      <c r="J235" t="s" s="19">
        <v>35</v>
      </c>
      <c r="K235" s="18">
        <f>(D235*6)+(E235*4)</f>
        <v>710</v>
      </c>
      <c r="L235" t="s" s="19">
        <v>35</v>
      </c>
      <c r="M235" s="12"/>
      <c r="N235" s="12"/>
      <c r="O235" t="s" s="19">
        <v>35</v>
      </c>
      <c r="P235" s="12"/>
    </row>
    <row r="236" ht="44.05" customHeight="1">
      <c r="A236" t="s" s="10">
        <v>445</v>
      </c>
      <c r="B236" t="s" s="11">
        <v>33</v>
      </c>
      <c r="C236" s="18">
        <v>850</v>
      </c>
      <c r="D236" s="18">
        <v>60</v>
      </c>
      <c r="E236" s="18">
        <v>80</v>
      </c>
      <c r="F236" t="s" s="19">
        <v>9</v>
      </c>
      <c r="G236" s="18">
        <v>4</v>
      </c>
      <c r="H236" t="s" s="19">
        <v>446</v>
      </c>
      <c r="I236" s="12"/>
      <c r="J236" t="s" s="19">
        <v>35</v>
      </c>
      <c r="K236" s="18">
        <f>(D236*6)+(E236*4)</f>
        <v>680</v>
      </c>
      <c r="L236" s="12"/>
      <c r="M236" s="12"/>
      <c r="N236" s="12"/>
      <c r="O236" s="12"/>
      <c r="P236" s="12"/>
    </row>
    <row r="237" ht="44.05" customHeight="1">
      <c r="A237" t="s" s="10">
        <v>447</v>
      </c>
      <c r="B237" t="s" s="11">
        <v>33</v>
      </c>
      <c r="C237" s="18">
        <v>950</v>
      </c>
      <c r="D237" s="18">
        <v>75</v>
      </c>
      <c r="E237" s="18">
        <v>50</v>
      </c>
      <c r="F237" t="s" s="19">
        <v>9</v>
      </c>
      <c r="G237" s="18">
        <v>4</v>
      </c>
      <c r="H237" t="s" s="19">
        <v>448</v>
      </c>
      <c r="I237" s="12"/>
      <c r="J237" t="s" s="19">
        <v>35</v>
      </c>
      <c r="K237" s="18">
        <f>(D237*6)+(E237*4)</f>
        <v>650</v>
      </c>
      <c r="L237" s="12"/>
      <c r="M237" s="12"/>
      <c r="N237" s="12"/>
      <c r="O237" s="12"/>
      <c r="P237" s="12"/>
    </row>
    <row r="238" ht="44.05" customHeight="1">
      <c r="A238" t="s" s="10">
        <v>449</v>
      </c>
      <c r="B238" t="s" s="11">
        <v>33</v>
      </c>
      <c r="C238" s="18">
        <v>950</v>
      </c>
      <c r="D238" s="18">
        <v>20</v>
      </c>
      <c r="E238" s="18">
        <v>110</v>
      </c>
      <c r="F238" t="s" s="19">
        <v>9</v>
      </c>
      <c r="G238" s="18">
        <v>4</v>
      </c>
      <c r="H238" t="s" s="19">
        <v>450</v>
      </c>
      <c r="I238" s="12"/>
      <c r="J238" t="s" s="19">
        <v>35</v>
      </c>
      <c r="K238" s="18">
        <f>(D238*6)+(E238*4)</f>
        <v>560</v>
      </c>
      <c r="L238" s="12"/>
      <c r="M238" s="12"/>
      <c r="N238" s="12"/>
      <c r="O238" s="12"/>
      <c r="P238" s="12"/>
    </row>
    <row r="239" ht="44.05" customHeight="1">
      <c r="A239" t="s" s="10">
        <v>451</v>
      </c>
      <c r="B239" t="s" s="11">
        <v>33</v>
      </c>
      <c r="C239" s="18">
        <v>300</v>
      </c>
      <c r="D239" s="18">
        <v>25</v>
      </c>
      <c r="E239" s="18">
        <v>30</v>
      </c>
      <c r="F239" t="s" s="19">
        <v>15</v>
      </c>
      <c r="G239" s="18">
        <v>2</v>
      </c>
      <c r="H239" t="s" s="19">
        <v>452</v>
      </c>
      <c r="I239" s="12"/>
      <c r="J239" t="s" s="19">
        <v>35</v>
      </c>
      <c r="K239" s="18">
        <f>(D239*6)+(E239*4)</f>
        <v>270</v>
      </c>
      <c r="L239" s="12"/>
      <c r="M239" s="12"/>
      <c r="N239" s="12"/>
      <c r="O239" s="12"/>
      <c r="P239" s="12"/>
    </row>
    <row r="240" ht="44.05" customHeight="1">
      <c r="A240" t="s" s="10">
        <v>453</v>
      </c>
      <c r="B240" t="s" s="11">
        <v>33</v>
      </c>
      <c r="C240" s="18">
        <v>350</v>
      </c>
      <c r="D240" s="18">
        <v>30</v>
      </c>
      <c r="E240" s="18">
        <v>30</v>
      </c>
      <c r="F240" t="s" s="19">
        <v>9</v>
      </c>
      <c r="G240" s="18">
        <v>2</v>
      </c>
      <c r="H240" t="s" s="19">
        <v>454</v>
      </c>
      <c r="I240" s="12"/>
      <c r="J240" t="s" s="19">
        <v>35</v>
      </c>
      <c r="K240" s="18">
        <f>(D240*6)+(E240*4)</f>
        <v>300</v>
      </c>
      <c r="L240" s="12"/>
      <c r="M240" s="12"/>
      <c r="N240" s="12"/>
      <c r="O240" s="12"/>
      <c r="P240" s="12"/>
    </row>
    <row r="241" ht="38.7" customHeight="1">
      <c r="A241" t="s" s="10">
        <v>455</v>
      </c>
      <c r="B241" t="s" s="11">
        <v>33</v>
      </c>
      <c r="C241" s="18">
        <v>520</v>
      </c>
      <c r="D241" s="18">
        <v>40</v>
      </c>
      <c r="E241" s="18">
        <v>60</v>
      </c>
      <c r="F241" t="s" s="19">
        <v>9</v>
      </c>
      <c r="G241" s="18">
        <v>3</v>
      </c>
      <c r="H241" t="s" s="19">
        <v>456</v>
      </c>
      <c r="I241" s="12"/>
      <c r="J241" t="s" s="19">
        <v>35</v>
      </c>
      <c r="K241" s="18">
        <f>(D241*6)+(E241*4)</f>
        <v>480</v>
      </c>
      <c r="L241" s="12"/>
      <c r="M241" s="12"/>
      <c r="N241" s="12"/>
      <c r="O241" s="12"/>
      <c r="P241" s="12"/>
    </row>
    <row r="242" ht="44.05" customHeight="1">
      <c r="A242" t="s" s="10">
        <v>457</v>
      </c>
      <c r="B242" t="s" s="11">
        <v>33</v>
      </c>
      <c r="C242" s="18">
        <v>550</v>
      </c>
      <c r="D242" s="18">
        <v>50</v>
      </c>
      <c r="E242" s="18">
        <v>40</v>
      </c>
      <c r="F242" t="s" s="19">
        <v>7</v>
      </c>
      <c r="G242" s="18">
        <v>3</v>
      </c>
      <c r="H242" t="s" s="19">
        <v>458</v>
      </c>
      <c r="I242" s="12"/>
      <c r="J242" t="s" s="19">
        <v>35</v>
      </c>
      <c r="K242" s="18">
        <f>(D242*6)+(E242*4)</f>
        <v>460</v>
      </c>
      <c r="L242" s="12"/>
      <c r="M242" s="12"/>
      <c r="N242" s="12"/>
      <c r="O242" s="12"/>
      <c r="P242" s="12"/>
    </row>
    <row r="243" ht="32.05" customHeight="1">
      <c r="A243" t="s" s="10">
        <v>459</v>
      </c>
      <c r="B243" t="s" s="11">
        <v>33</v>
      </c>
      <c r="C243" s="18">
        <v>600</v>
      </c>
      <c r="D243" s="18">
        <v>55</v>
      </c>
      <c r="E243" s="18">
        <v>35</v>
      </c>
      <c r="F243" t="s" s="19">
        <v>15</v>
      </c>
      <c r="G243" s="18">
        <v>3</v>
      </c>
      <c r="H243" t="s" s="19">
        <v>460</v>
      </c>
      <c r="I243" s="12"/>
      <c r="J243" t="s" s="19">
        <v>35</v>
      </c>
      <c r="K243" s="18">
        <f>(D243*6)+(E243*4)</f>
        <v>470</v>
      </c>
      <c r="L243" s="12"/>
      <c r="M243" s="12"/>
      <c r="N243" s="12"/>
      <c r="O243" s="12"/>
      <c r="P243" s="12"/>
    </row>
    <row r="244" ht="44.05" customHeight="1">
      <c r="A244" t="s" s="10">
        <v>461</v>
      </c>
      <c r="B244" t="s" s="11">
        <v>33</v>
      </c>
      <c r="C244" s="18">
        <v>420</v>
      </c>
      <c r="D244" s="18">
        <v>40</v>
      </c>
      <c r="E244" s="18">
        <v>40</v>
      </c>
      <c r="F244" t="s" s="19">
        <v>13</v>
      </c>
      <c r="G244" s="18">
        <v>3</v>
      </c>
      <c r="H244" t="s" s="19">
        <v>462</v>
      </c>
      <c r="I244" s="12"/>
      <c r="J244" t="s" s="19">
        <v>35</v>
      </c>
      <c r="K244" s="18">
        <f>(D244*6)+(E244*4)</f>
        <v>400</v>
      </c>
      <c r="L244" s="12"/>
      <c r="M244" s="12"/>
      <c r="N244" s="12"/>
      <c r="O244" s="12"/>
      <c r="P244" s="12"/>
    </row>
    <row r="245" ht="20.05" customHeight="1">
      <c r="A245" t="s" s="10">
        <v>463</v>
      </c>
      <c r="B245" t="s" s="11">
        <v>33</v>
      </c>
      <c r="C245" s="18">
        <v>800</v>
      </c>
      <c r="D245" s="18">
        <v>55</v>
      </c>
      <c r="E245" s="18">
        <v>70</v>
      </c>
      <c r="F245" t="s" s="19">
        <v>9</v>
      </c>
      <c r="G245" s="18">
        <v>3</v>
      </c>
      <c r="H245" t="s" s="19">
        <v>39</v>
      </c>
      <c r="I245" s="12"/>
      <c r="J245" t="s" s="19">
        <v>35</v>
      </c>
      <c r="K245" s="18">
        <f>(D245*6)+(E245*4)</f>
        <v>610</v>
      </c>
      <c r="L245" s="12"/>
      <c r="M245" s="12"/>
      <c r="N245" s="12"/>
      <c r="O245" s="12"/>
      <c r="P245" s="12"/>
    </row>
    <row r="246" ht="20.05" customHeight="1">
      <c r="A246" t="s" s="10">
        <v>464</v>
      </c>
      <c r="B246" t="s" s="11">
        <v>33</v>
      </c>
      <c r="C246" s="18">
        <v>800</v>
      </c>
      <c r="D246" s="18">
        <v>65</v>
      </c>
      <c r="E246" s="18">
        <v>65</v>
      </c>
      <c r="F246" t="s" s="19">
        <v>9</v>
      </c>
      <c r="G246" s="18">
        <v>3</v>
      </c>
      <c r="H246" t="s" s="19">
        <v>39</v>
      </c>
      <c r="I246" s="12"/>
      <c r="J246" t="s" s="19">
        <v>35</v>
      </c>
      <c r="K246" s="18">
        <f>(D246*6)+(E246*4)</f>
        <v>650</v>
      </c>
      <c r="L246" s="12"/>
      <c r="M246" s="12"/>
      <c r="N246" s="12"/>
      <c r="O246" s="12"/>
      <c r="P246" s="12"/>
    </row>
    <row r="247" ht="20.05" customHeight="1">
      <c r="A247" t="s" s="10">
        <v>465</v>
      </c>
      <c r="B247" t="s" s="11">
        <v>33</v>
      </c>
      <c r="C247" s="18">
        <v>800</v>
      </c>
      <c r="D247" s="18">
        <v>60</v>
      </c>
      <c r="E247" s="18">
        <v>60</v>
      </c>
      <c r="F247" t="s" s="19">
        <v>9</v>
      </c>
      <c r="G247" s="18">
        <v>3</v>
      </c>
      <c r="H247" t="s" s="19">
        <v>39</v>
      </c>
      <c r="I247" s="12"/>
      <c r="J247" t="s" s="19">
        <v>35</v>
      </c>
      <c r="K247" s="18">
        <f>(D247*6)+(E247*4)</f>
        <v>600</v>
      </c>
      <c r="L247" s="12"/>
      <c r="M247" s="12"/>
      <c r="N247" s="12"/>
      <c r="O247" s="12"/>
      <c r="P247" s="12"/>
    </row>
    <row r="248" ht="44.05" customHeight="1">
      <c r="A248" t="s" s="10">
        <v>466</v>
      </c>
      <c r="B248" t="s" s="11">
        <v>33</v>
      </c>
      <c r="C248" s="18">
        <v>950</v>
      </c>
      <c r="D248" s="18">
        <v>75</v>
      </c>
      <c r="E248" s="18">
        <v>90</v>
      </c>
      <c r="F248" t="s" s="19">
        <v>9</v>
      </c>
      <c r="G248" s="18">
        <v>5</v>
      </c>
      <c r="H248" t="s" s="19">
        <v>467</v>
      </c>
      <c r="I248" s="12"/>
      <c r="J248" t="s" s="19">
        <v>35</v>
      </c>
      <c r="K248" s="18">
        <f>(D248*6)+(E248*4)</f>
        <v>810</v>
      </c>
      <c r="L248" s="12"/>
      <c r="M248" s="12"/>
      <c r="N248" s="12"/>
      <c r="O248" s="12"/>
      <c r="P248" s="12"/>
    </row>
    <row r="249" ht="20.05" customHeight="1">
      <c r="A249" t="s" s="10">
        <v>468</v>
      </c>
      <c r="B249" t="s" s="11">
        <v>33</v>
      </c>
      <c r="C249" s="18">
        <v>900</v>
      </c>
      <c r="D249" s="18">
        <v>90</v>
      </c>
      <c r="E249" s="18">
        <v>90</v>
      </c>
      <c r="F249" t="s" s="19">
        <v>9</v>
      </c>
      <c r="G249" s="18">
        <v>5</v>
      </c>
      <c r="H249" t="s" s="19">
        <v>276</v>
      </c>
      <c r="I249" s="12"/>
      <c r="J249" t="s" s="19">
        <v>35</v>
      </c>
      <c r="K249" s="18">
        <f>(D249*6)+(E249*4)</f>
        <v>900</v>
      </c>
      <c r="L249" s="12"/>
      <c r="M249" s="12"/>
      <c r="N249" s="12"/>
      <c r="O249" s="12"/>
      <c r="P249" s="12"/>
    </row>
    <row r="250" ht="20.05" customHeight="1">
      <c r="A250" t="s" s="10">
        <v>469</v>
      </c>
      <c r="B250" t="s" s="11">
        <v>33</v>
      </c>
      <c r="C250" s="18">
        <v>1200</v>
      </c>
      <c r="D250" s="18">
        <v>70</v>
      </c>
      <c r="E250" s="18">
        <v>130</v>
      </c>
      <c r="F250" t="s" s="19">
        <v>9</v>
      </c>
      <c r="G250" s="18">
        <v>5</v>
      </c>
      <c r="H250" t="s" s="19">
        <v>153</v>
      </c>
      <c r="I250" s="12"/>
      <c r="J250" t="s" s="19">
        <v>35</v>
      </c>
      <c r="K250" s="18">
        <f>(D250*6)+(E250*4)</f>
        <v>940</v>
      </c>
      <c r="L250" s="12"/>
      <c r="M250" s="12"/>
      <c r="N250" s="12"/>
      <c r="O250" s="12"/>
      <c r="P250" s="12"/>
    </row>
    <row r="251" ht="32.05" customHeight="1">
      <c r="A251" t="s" s="10">
        <v>470</v>
      </c>
      <c r="B251" t="s" s="11">
        <v>33</v>
      </c>
      <c r="C251" s="18">
        <v>1400</v>
      </c>
      <c r="D251" s="18">
        <v>125</v>
      </c>
      <c r="E251" s="18">
        <v>125</v>
      </c>
      <c r="F251" t="s" s="19">
        <v>9</v>
      </c>
      <c r="G251" s="18">
        <v>5</v>
      </c>
      <c r="H251" t="s" s="19">
        <v>471</v>
      </c>
      <c r="I251" s="12"/>
      <c r="J251" t="s" s="19">
        <v>35</v>
      </c>
      <c r="K251" s="18">
        <f>(D251*6)+(E251*4)</f>
        <v>1250</v>
      </c>
      <c r="L251" s="12"/>
      <c r="M251" s="12"/>
      <c r="N251" s="12"/>
      <c r="O251" s="12"/>
      <c r="P251" s="12"/>
    </row>
    <row r="252" ht="20.05" customHeight="1">
      <c r="A252" t="s" s="10">
        <v>472</v>
      </c>
      <c r="B252" t="s" s="11">
        <v>33</v>
      </c>
      <c r="C252" s="18">
        <v>1200</v>
      </c>
      <c r="D252" s="18">
        <v>75</v>
      </c>
      <c r="E252" s="18">
        <v>100</v>
      </c>
      <c r="F252" t="s" s="19">
        <v>9</v>
      </c>
      <c r="G252" s="18">
        <v>5</v>
      </c>
      <c r="H252" t="s" s="19">
        <v>473</v>
      </c>
      <c r="I252" s="12"/>
      <c r="J252" t="s" s="19">
        <v>35</v>
      </c>
      <c r="K252" s="18">
        <f>(D252*6)+(E252*4)</f>
        <v>850</v>
      </c>
      <c r="L252" s="12"/>
      <c r="M252" s="12"/>
      <c r="N252" s="12"/>
      <c r="O252" s="12"/>
      <c r="P252" s="12"/>
    </row>
    <row r="253" ht="20.05" customHeight="1">
      <c r="A253" t="s" s="10">
        <v>474</v>
      </c>
      <c r="B253" t="s" s="11">
        <v>33</v>
      </c>
      <c r="C253" s="18">
        <v>1000</v>
      </c>
      <c r="D253" s="18">
        <v>85</v>
      </c>
      <c r="E253" s="18">
        <v>105</v>
      </c>
      <c r="F253" t="s" s="19">
        <v>9</v>
      </c>
      <c r="G253" s="18">
        <v>5</v>
      </c>
      <c r="H253" t="s" s="19">
        <v>475</v>
      </c>
      <c r="I253" s="12"/>
      <c r="J253" t="s" s="19">
        <v>35</v>
      </c>
      <c r="K253" s="18">
        <f>(D253*6)+(E253*4)</f>
        <v>930</v>
      </c>
      <c r="L253" s="12"/>
      <c r="M253" s="12"/>
      <c r="N253" s="12"/>
      <c r="O253" s="12"/>
      <c r="P253" s="12"/>
    </row>
    <row r="254" ht="20.05" customHeight="1">
      <c r="A254" t="s" s="10">
        <v>476</v>
      </c>
      <c r="B254" t="s" s="11">
        <v>33</v>
      </c>
      <c r="C254" s="18">
        <v>200</v>
      </c>
      <c r="D254" s="18">
        <v>20</v>
      </c>
      <c r="E254" s="18">
        <v>15</v>
      </c>
      <c r="F254" t="s" s="19">
        <v>7</v>
      </c>
      <c r="G254" s="18">
        <v>1</v>
      </c>
      <c r="H254" t="s" s="19">
        <v>39</v>
      </c>
      <c r="I254" s="12"/>
      <c r="J254" t="s" s="19">
        <v>35</v>
      </c>
      <c r="K254" s="18">
        <f>(D254*6)+(E254*4)</f>
        <v>180</v>
      </c>
      <c r="L254" s="12"/>
      <c r="M254" s="12"/>
      <c r="N254" s="12"/>
      <c r="O254" s="12"/>
      <c r="P254" s="12"/>
    </row>
    <row r="255" ht="50.7" customHeight="1">
      <c r="A255" t="s" s="10">
        <v>477</v>
      </c>
      <c r="B255" t="s" s="11">
        <v>33</v>
      </c>
      <c r="C255" s="18">
        <v>400</v>
      </c>
      <c r="D255" s="18">
        <v>5</v>
      </c>
      <c r="E255" s="18">
        <v>20</v>
      </c>
      <c r="F255" t="s" s="19">
        <v>7</v>
      </c>
      <c r="G255" s="18">
        <v>1</v>
      </c>
      <c r="H255" t="s" s="19">
        <v>478</v>
      </c>
      <c r="I255" s="12"/>
      <c r="J255" t="s" s="19">
        <v>35</v>
      </c>
      <c r="K255" s="18">
        <f>(D255*6)+(E255*4)</f>
        <v>110</v>
      </c>
      <c r="L255" s="12"/>
      <c r="M255" s="12"/>
      <c r="N255" s="12"/>
      <c r="O255" s="12"/>
      <c r="P255" s="12"/>
    </row>
    <row r="256" ht="20.05" customHeight="1">
      <c r="A256" t="s" s="10">
        <v>479</v>
      </c>
      <c r="B256" t="s" s="11">
        <v>33</v>
      </c>
      <c r="C256" s="18">
        <v>160</v>
      </c>
      <c r="D256" s="18">
        <v>10</v>
      </c>
      <c r="E256" s="18">
        <v>25</v>
      </c>
      <c r="F256" t="s" s="19">
        <v>7</v>
      </c>
      <c r="G256" s="18">
        <v>1</v>
      </c>
      <c r="H256" t="s" s="19">
        <v>39</v>
      </c>
      <c r="I256" s="12"/>
      <c r="J256" t="s" s="19">
        <v>35</v>
      </c>
      <c r="K256" s="18">
        <f>(D256*6)+(E256*4)</f>
        <v>160</v>
      </c>
      <c r="L256" s="12"/>
      <c r="M256" s="12"/>
      <c r="N256" s="12"/>
      <c r="O256" s="12"/>
      <c r="P256" s="12"/>
    </row>
    <row r="257" ht="32.05" customHeight="1">
      <c r="A257" t="s" s="10">
        <v>480</v>
      </c>
      <c r="B257" t="s" s="11">
        <v>33</v>
      </c>
      <c r="C257" s="18">
        <v>250</v>
      </c>
      <c r="D257" s="18">
        <v>10</v>
      </c>
      <c r="E257" s="18">
        <v>15</v>
      </c>
      <c r="F257" t="s" s="19">
        <v>7</v>
      </c>
      <c r="G257" s="18">
        <v>1</v>
      </c>
      <c r="H257" t="s" s="19">
        <v>481</v>
      </c>
      <c r="I257" s="12"/>
      <c r="J257" t="s" s="19">
        <v>35</v>
      </c>
      <c r="K257" s="18">
        <f>(D257*6)+(E257*4)</f>
        <v>120</v>
      </c>
      <c r="L257" s="12"/>
      <c r="M257" s="12"/>
      <c r="N257" s="12"/>
      <c r="O257" s="12"/>
      <c r="P257" s="12"/>
    </row>
    <row r="258" ht="32.05" customHeight="1">
      <c r="A258" t="s" s="10">
        <v>482</v>
      </c>
      <c r="B258" t="s" s="11">
        <v>33</v>
      </c>
      <c r="C258" s="18">
        <v>200</v>
      </c>
      <c r="D258" s="18">
        <v>15</v>
      </c>
      <c r="E258" s="18">
        <v>15</v>
      </c>
      <c r="F258" t="s" s="19">
        <v>7</v>
      </c>
      <c r="G258" s="18">
        <v>1</v>
      </c>
      <c r="H258" t="s" s="19">
        <v>483</v>
      </c>
      <c r="I258" s="12"/>
      <c r="J258" t="s" s="19">
        <v>35</v>
      </c>
      <c r="K258" s="18">
        <f>(D258*6)+(E258*4)</f>
        <v>150</v>
      </c>
      <c r="L258" s="12"/>
      <c r="M258" s="12"/>
      <c r="N258" s="12"/>
      <c r="O258" s="12"/>
      <c r="P258" s="12"/>
    </row>
    <row r="259" ht="32" customHeight="1">
      <c r="A259" t="s" s="10">
        <v>484</v>
      </c>
      <c r="B259" t="s" s="11">
        <v>33</v>
      </c>
      <c r="C259" s="18">
        <v>200</v>
      </c>
      <c r="D259" s="18">
        <v>15</v>
      </c>
      <c r="E259" s="18">
        <v>30</v>
      </c>
      <c r="F259" t="s" s="19">
        <v>7</v>
      </c>
      <c r="G259" s="18">
        <v>1</v>
      </c>
      <c r="H259" t="s" s="19">
        <v>485</v>
      </c>
      <c r="I259" s="12"/>
      <c r="J259" t="s" s="19">
        <v>35</v>
      </c>
      <c r="K259" s="18">
        <f>(D259*6)+(E259*4)</f>
        <v>210</v>
      </c>
      <c r="L259" s="12"/>
      <c r="M259" s="12"/>
      <c r="N259" s="12"/>
      <c r="O259" s="12"/>
      <c r="P259" s="12"/>
    </row>
    <row r="260" ht="56.05" customHeight="1">
      <c r="A260" t="s" s="10">
        <v>486</v>
      </c>
      <c r="B260" t="s" s="11">
        <v>33</v>
      </c>
      <c r="C260" s="18">
        <v>500</v>
      </c>
      <c r="D260" s="18">
        <v>20</v>
      </c>
      <c r="E260" s="18">
        <v>10</v>
      </c>
      <c r="F260" t="s" s="19">
        <v>7</v>
      </c>
      <c r="G260" s="18">
        <v>1</v>
      </c>
      <c r="H260" t="s" s="19">
        <v>487</v>
      </c>
      <c r="I260" s="12"/>
      <c r="J260" t="s" s="19">
        <v>35</v>
      </c>
      <c r="K260" s="18">
        <f>(D260*6)+(E260*4)</f>
        <v>160</v>
      </c>
      <c r="L260" t="s" s="19">
        <v>35</v>
      </c>
      <c r="M260" s="12"/>
      <c r="N260" t="s" s="19">
        <v>35</v>
      </c>
      <c r="O260" s="12"/>
      <c r="P260" s="12"/>
    </row>
    <row r="261" ht="20.05" customHeight="1">
      <c r="A261" t="s" s="10">
        <v>488</v>
      </c>
      <c r="B261" t="s" s="11">
        <v>33</v>
      </c>
      <c r="C261" s="18">
        <v>400</v>
      </c>
      <c r="D261" s="18">
        <v>20</v>
      </c>
      <c r="E261" s="18">
        <v>20</v>
      </c>
      <c r="F261" t="s" s="19">
        <v>7</v>
      </c>
      <c r="G261" s="18">
        <v>1</v>
      </c>
      <c r="H261" t="s" s="19">
        <v>489</v>
      </c>
      <c r="I261" s="12"/>
      <c r="J261" t="s" s="19">
        <v>35</v>
      </c>
      <c r="K261" s="18">
        <f>(D261*6)+(E261*4)</f>
        <v>200</v>
      </c>
      <c r="L261" t="s" s="19">
        <v>35</v>
      </c>
      <c r="M261" s="12"/>
      <c r="N261" t="s" s="19">
        <v>35</v>
      </c>
      <c r="O261" s="12"/>
      <c r="P261" s="12"/>
    </row>
    <row r="262" ht="32.05" customHeight="1">
      <c r="A262" t="s" s="10">
        <v>490</v>
      </c>
      <c r="B262" t="s" s="11">
        <v>33</v>
      </c>
      <c r="C262" s="18">
        <v>240</v>
      </c>
      <c r="D262" s="18">
        <v>25</v>
      </c>
      <c r="E262" s="18">
        <v>10</v>
      </c>
      <c r="F262" t="s" s="19">
        <v>7</v>
      </c>
      <c r="G262" s="18">
        <v>1</v>
      </c>
      <c r="H262" t="s" s="19">
        <v>491</v>
      </c>
      <c r="I262" s="12"/>
      <c r="J262" t="s" s="19">
        <v>35</v>
      </c>
      <c r="K262" s="18">
        <f>(D262*6)+(E262*4)</f>
        <v>190</v>
      </c>
      <c r="L262" s="12"/>
      <c r="M262" s="12"/>
      <c r="N262" s="12"/>
      <c r="O262" s="12"/>
      <c r="P262" s="12"/>
    </row>
    <row r="263" ht="44.05" customHeight="1">
      <c r="A263" t="s" s="10">
        <v>492</v>
      </c>
      <c r="B263" t="s" s="11">
        <v>33</v>
      </c>
      <c r="C263" s="18">
        <v>500</v>
      </c>
      <c r="D263" s="18">
        <v>20</v>
      </c>
      <c r="E263" s="18">
        <v>15</v>
      </c>
      <c r="F263" t="s" s="19">
        <v>7</v>
      </c>
      <c r="G263" s="18">
        <v>1</v>
      </c>
      <c r="H263" t="s" s="19">
        <v>493</v>
      </c>
      <c r="I263" s="12"/>
      <c r="J263" t="s" s="19">
        <v>35</v>
      </c>
      <c r="K263" s="18">
        <f>(D263*6)+(E263*4)</f>
        <v>180</v>
      </c>
      <c r="L263" s="12"/>
      <c r="M263" s="12"/>
      <c r="N263" s="12"/>
      <c r="O263" s="12"/>
      <c r="P263" s="12"/>
    </row>
    <row r="264" ht="32.05" customHeight="1">
      <c r="A264" t="s" s="10">
        <v>494</v>
      </c>
      <c r="B264" t="s" s="11">
        <v>33</v>
      </c>
      <c r="C264" s="18">
        <v>260</v>
      </c>
      <c r="D264" s="18">
        <v>25</v>
      </c>
      <c r="E264" s="18">
        <v>15</v>
      </c>
      <c r="F264" t="s" s="19">
        <v>7</v>
      </c>
      <c r="G264" s="18">
        <v>1</v>
      </c>
      <c r="H264" t="s" s="19">
        <v>39</v>
      </c>
      <c r="I264" s="12"/>
      <c r="J264" t="s" s="19">
        <v>35</v>
      </c>
      <c r="K264" s="18">
        <f>(D264*6)+(E264*4)</f>
        <v>210</v>
      </c>
      <c r="L264" s="12"/>
      <c r="M264" s="12"/>
      <c r="N264" s="12"/>
      <c r="O264" s="12"/>
      <c r="P264" s="12"/>
    </row>
    <row r="265" ht="56.05" customHeight="1">
      <c r="A265" t="s" s="10">
        <v>495</v>
      </c>
      <c r="B265" t="s" s="11">
        <v>33</v>
      </c>
      <c r="C265" s="18">
        <v>300</v>
      </c>
      <c r="D265" s="18">
        <v>20</v>
      </c>
      <c r="E265" s="18">
        <v>20</v>
      </c>
      <c r="F265" t="s" s="19">
        <v>7</v>
      </c>
      <c r="G265" s="18">
        <v>1</v>
      </c>
      <c r="H265" t="s" s="19">
        <v>496</v>
      </c>
      <c r="I265" s="12"/>
      <c r="J265" t="s" s="19">
        <v>35</v>
      </c>
      <c r="K265" s="18">
        <f>(D265*6)+(E265*4)</f>
        <v>200</v>
      </c>
      <c r="L265" s="12"/>
      <c r="M265" s="12"/>
      <c r="N265" s="12"/>
      <c r="O265" s="12"/>
      <c r="P265" s="12"/>
    </row>
    <row r="266" ht="44.05" customHeight="1">
      <c r="A266" t="s" s="10">
        <v>497</v>
      </c>
      <c r="B266" t="s" s="11">
        <v>33</v>
      </c>
      <c r="C266" s="18">
        <v>200</v>
      </c>
      <c r="D266" s="18">
        <v>10</v>
      </c>
      <c r="E266" s="18">
        <v>10</v>
      </c>
      <c r="F266" t="s" s="19">
        <v>7</v>
      </c>
      <c r="G266" s="18">
        <v>1</v>
      </c>
      <c r="H266" t="s" s="19">
        <v>498</v>
      </c>
      <c r="I266" s="12"/>
      <c r="J266" t="s" s="19">
        <v>35</v>
      </c>
      <c r="K266" s="18">
        <f>(D266*6)+(E266*4)</f>
        <v>100</v>
      </c>
      <c r="L266" s="12"/>
      <c r="M266" s="12"/>
      <c r="N266" s="12"/>
      <c r="O266" s="12"/>
      <c r="P266" s="12"/>
    </row>
    <row r="267" ht="20.05" customHeight="1">
      <c r="A267" t="s" s="10">
        <v>499</v>
      </c>
      <c r="B267" t="s" s="11">
        <v>33</v>
      </c>
      <c r="C267" s="18">
        <v>120</v>
      </c>
      <c r="D267" s="18">
        <v>15</v>
      </c>
      <c r="E267" s="18">
        <v>15</v>
      </c>
      <c r="F267" t="s" s="19">
        <v>7</v>
      </c>
      <c r="G267" s="18">
        <v>1</v>
      </c>
      <c r="H267" t="s" s="19">
        <v>500</v>
      </c>
      <c r="I267" s="12"/>
      <c r="J267" t="s" s="19">
        <v>35</v>
      </c>
      <c r="K267" s="18">
        <f>(D267*6)+(E267*4)</f>
        <v>150</v>
      </c>
      <c r="L267" s="12"/>
      <c r="M267" s="12"/>
      <c r="N267" s="12"/>
      <c r="O267" s="12"/>
      <c r="P267" s="12"/>
    </row>
    <row r="268" ht="44.05" customHeight="1">
      <c r="A268" t="s" s="10">
        <v>501</v>
      </c>
      <c r="B268" t="s" s="11">
        <v>33</v>
      </c>
      <c r="C268" s="18">
        <v>200</v>
      </c>
      <c r="D268" s="18">
        <v>0</v>
      </c>
      <c r="E268" s="18">
        <v>30</v>
      </c>
      <c r="F268" t="s" s="19">
        <v>7</v>
      </c>
      <c r="G268" s="18">
        <v>1</v>
      </c>
      <c r="H268" t="s" s="19">
        <v>403</v>
      </c>
      <c r="I268" s="12"/>
      <c r="J268" t="s" s="19">
        <v>35</v>
      </c>
      <c r="K268" s="18">
        <f>(D268*6)+(E268*4)</f>
        <v>120</v>
      </c>
      <c r="L268" t="s" s="19">
        <v>35</v>
      </c>
      <c r="M268" s="12"/>
      <c r="N268" t="s" s="19">
        <v>35</v>
      </c>
      <c r="O268" s="12"/>
      <c r="P268" s="12"/>
    </row>
    <row r="269" ht="20.05" customHeight="1">
      <c r="A269" t="s" s="10">
        <v>502</v>
      </c>
      <c r="B269" t="s" s="11">
        <v>33</v>
      </c>
      <c r="C269" s="18">
        <v>200</v>
      </c>
      <c r="D269" s="18">
        <v>20</v>
      </c>
      <c r="E269" s="18">
        <v>15</v>
      </c>
      <c r="F269" t="s" s="19">
        <v>7</v>
      </c>
      <c r="G269" s="18">
        <v>1</v>
      </c>
      <c r="H269" t="s" s="19">
        <v>503</v>
      </c>
      <c r="I269" s="12"/>
      <c r="J269" t="s" s="19">
        <v>35</v>
      </c>
      <c r="K269" s="18">
        <f>(D269*6)+(E269*4)</f>
        <v>180</v>
      </c>
      <c r="L269" s="12"/>
      <c r="M269" s="12"/>
      <c r="N269" s="12"/>
      <c r="O269" s="12"/>
      <c r="P269" s="12"/>
    </row>
    <row r="270" ht="20.05" customHeight="1">
      <c r="A270" t="s" s="10">
        <v>504</v>
      </c>
      <c r="B270" t="s" s="11">
        <v>33</v>
      </c>
      <c r="C270" s="18">
        <v>220</v>
      </c>
      <c r="D270" s="18">
        <v>20</v>
      </c>
      <c r="E270" s="18">
        <v>20</v>
      </c>
      <c r="F270" t="s" s="19">
        <v>7</v>
      </c>
      <c r="G270" s="18">
        <v>1</v>
      </c>
      <c r="H270" t="s" s="19">
        <v>505</v>
      </c>
      <c r="I270" s="12"/>
      <c r="J270" t="s" s="19">
        <v>35</v>
      </c>
      <c r="K270" s="18">
        <f>(D270*6)+(E270*4)</f>
        <v>200</v>
      </c>
      <c r="L270" s="12"/>
      <c r="M270" s="12"/>
      <c r="N270" s="12"/>
      <c r="O270" s="12"/>
      <c r="P270" s="12"/>
    </row>
    <row r="271" ht="20.05" customHeight="1">
      <c r="A271" t="s" s="10">
        <v>506</v>
      </c>
      <c r="B271" t="s" s="11">
        <v>33</v>
      </c>
      <c r="C271" s="18">
        <v>240</v>
      </c>
      <c r="D271" s="18">
        <v>20</v>
      </c>
      <c r="E271" s="18">
        <v>15</v>
      </c>
      <c r="F271" t="s" s="19">
        <v>7</v>
      </c>
      <c r="G271" s="18">
        <v>1</v>
      </c>
      <c r="H271" t="s" s="19">
        <v>507</v>
      </c>
      <c r="I271" s="12"/>
      <c r="J271" t="s" s="19">
        <v>35</v>
      </c>
      <c r="K271" s="18">
        <f>(D271*6)+(E271*4)</f>
        <v>180</v>
      </c>
      <c r="L271" s="12"/>
      <c r="M271" s="12"/>
      <c r="N271" s="12"/>
      <c r="O271" s="12"/>
      <c r="P271" s="12"/>
    </row>
    <row r="272" ht="44.05" customHeight="1">
      <c r="A272" t="s" s="10">
        <v>508</v>
      </c>
      <c r="B272" t="s" s="11">
        <v>33</v>
      </c>
      <c r="C272" s="18">
        <v>380</v>
      </c>
      <c r="D272" s="18">
        <v>30</v>
      </c>
      <c r="E272" s="18">
        <v>20</v>
      </c>
      <c r="F272" t="s" s="19">
        <v>7</v>
      </c>
      <c r="G272" s="18">
        <v>2</v>
      </c>
      <c r="H272" t="s" s="19">
        <v>509</v>
      </c>
      <c r="I272" s="12"/>
      <c r="J272" t="s" s="19">
        <v>35</v>
      </c>
      <c r="K272" s="18">
        <f>(D272*6)+(E272*4)</f>
        <v>260</v>
      </c>
      <c r="L272" s="12"/>
      <c r="M272" s="12"/>
      <c r="N272" s="12"/>
      <c r="O272" s="12"/>
      <c r="P272" s="12"/>
    </row>
    <row r="273" ht="56.05" customHeight="1">
      <c r="A273" t="s" s="10">
        <v>510</v>
      </c>
      <c r="B273" t="s" s="11">
        <v>33</v>
      </c>
      <c r="C273" s="18">
        <v>600</v>
      </c>
      <c r="D273" s="18">
        <v>35</v>
      </c>
      <c r="E273" s="18">
        <v>15</v>
      </c>
      <c r="F273" t="s" s="19">
        <v>7</v>
      </c>
      <c r="G273" s="18">
        <v>2</v>
      </c>
      <c r="H273" t="s" s="19">
        <v>511</v>
      </c>
      <c r="I273" s="12"/>
      <c r="J273" t="s" s="19">
        <v>35</v>
      </c>
      <c r="K273" s="18">
        <f>(D273*6)+(E273*4)</f>
        <v>270</v>
      </c>
      <c r="L273" s="12"/>
      <c r="M273" s="12"/>
      <c r="N273" s="12"/>
      <c r="O273" s="12"/>
      <c r="P273" s="12"/>
    </row>
    <row r="274" ht="20.05" customHeight="1">
      <c r="A274" t="s" s="10">
        <v>512</v>
      </c>
      <c r="B274" t="s" s="11">
        <v>33</v>
      </c>
      <c r="C274" s="18">
        <v>300</v>
      </c>
      <c r="D274" s="18">
        <v>40</v>
      </c>
      <c r="E274" s="18">
        <v>0</v>
      </c>
      <c r="F274" t="s" s="19">
        <v>7</v>
      </c>
      <c r="G274" s="18">
        <v>2</v>
      </c>
      <c r="H274" t="s" s="19">
        <v>39</v>
      </c>
      <c r="I274" s="12"/>
      <c r="J274" t="s" s="19">
        <v>35</v>
      </c>
      <c r="K274" s="18">
        <f>(D274*6)+(E274*4)</f>
        <v>240</v>
      </c>
      <c r="L274" s="12"/>
      <c r="M274" s="12"/>
      <c r="N274" s="12"/>
      <c r="O274" s="12"/>
      <c r="P274" s="12"/>
    </row>
    <row r="275" ht="32.05" customHeight="1">
      <c r="A275" t="s" s="10">
        <v>513</v>
      </c>
      <c r="B275" t="s" s="11">
        <v>33</v>
      </c>
      <c r="C275" s="18">
        <v>280</v>
      </c>
      <c r="D275" s="18">
        <v>0</v>
      </c>
      <c r="E275" s="18">
        <v>30</v>
      </c>
      <c r="F275" t="s" s="19">
        <v>7</v>
      </c>
      <c r="G275" s="18">
        <v>2</v>
      </c>
      <c r="H275" t="s" s="19">
        <v>514</v>
      </c>
      <c r="I275" s="12"/>
      <c r="J275" t="s" s="19">
        <v>35</v>
      </c>
      <c r="K275" s="18">
        <f>(D275*6)+(E275*4)</f>
        <v>120</v>
      </c>
      <c r="L275" s="12"/>
      <c r="M275" s="12"/>
      <c r="N275" s="12"/>
      <c r="O275" s="12"/>
      <c r="P275" s="12"/>
    </row>
    <row r="276" ht="44.05" customHeight="1">
      <c r="A276" t="s" s="10">
        <v>515</v>
      </c>
      <c r="B276" t="s" s="11">
        <v>33</v>
      </c>
      <c r="C276" s="18">
        <v>400</v>
      </c>
      <c r="D276" s="18">
        <v>15</v>
      </c>
      <c r="E276" s="18">
        <v>15</v>
      </c>
      <c r="F276" t="s" s="19">
        <v>7</v>
      </c>
      <c r="G276" s="18">
        <v>2</v>
      </c>
      <c r="H276" t="s" s="19">
        <v>516</v>
      </c>
      <c r="I276" s="12"/>
      <c r="J276" t="s" s="19">
        <v>35</v>
      </c>
      <c r="K276" s="18">
        <f>(D276*6)+(E276*4)</f>
        <v>150</v>
      </c>
      <c r="L276" t="s" s="19">
        <v>35</v>
      </c>
      <c r="M276" s="12"/>
      <c r="N276" s="12"/>
      <c r="O276" t="s" s="19">
        <v>35</v>
      </c>
      <c r="P276" s="12"/>
    </row>
    <row r="277" ht="44.05" customHeight="1">
      <c r="A277" t="s" s="10">
        <v>517</v>
      </c>
      <c r="B277" t="s" s="11">
        <v>33</v>
      </c>
      <c r="C277" s="18">
        <v>400</v>
      </c>
      <c r="D277" s="18">
        <v>25</v>
      </c>
      <c r="E277" s="18">
        <v>25</v>
      </c>
      <c r="F277" t="s" s="19">
        <v>7</v>
      </c>
      <c r="G277" s="18">
        <v>2</v>
      </c>
      <c r="H277" t="s" s="19">
        <v>518</v>
      </c>
      <c r="I277" s="12"/>
      <c r="J277" t="s" s="19">
        <v>35</v>
      </c>
      <c r="K277" s="18">
        <f>(D277*6)+(E277*4)</f>
        <v>250</v>
      </c>
      <c r="L277" s="12"/>
      <c r="M277" s="12"/>
      <c r="N277" s="12"/>
      <c r="O277" s="12"/>
      <c r="P277" s="12"/>
    </row>
    <row r="278" ht="20.05" customHeight="1">
      <c r="A278" t="s" s="10">
        <v>519</v>
      </c>
      <c r="B278" t="s" s="11">
        <v>33</v>
      </c>
      <c r="C278" s="18">
        <v>350</v>
      </c>
      <c r="D278" s="18">
        <v>35</v>
      </c>
      <c r="E278" s="18">
        <v>30</v>
      </c>
      <c r="F278" t="s" s="19">
        <v>7</v>
      </c>
      <c r="G278" s="18">
        <v>2</v>
      </c>
      <c r="H278" t="s" s="19">
        <v>39</v>
      </c>
      <c r="I278" s="12"/>
      <c r="J278" t="s" s="19">
        <v>35</v>
      </c>
      <c r="K278" s="18">
        <f>(D278*6)+(E278*4)</f>
        <v>330</v>
      </c>
      <c r="L278" s="12"/>
      <c r="M278" s="12"/>
      <c r="N278" s="12"/>
      <c r="O278" s="12"/>
      <c r="P278" s="12"/>
    </row>
    <row r="279" ht="20.05" customHeight="1">
      <c r="A279" t="s" s="10">
        <v>520</v>
      </c>
      <c r="B279" t="s" s="11">
        <v>33</v>
      </c>
      <c r="C279" s="18">
        <v>350</v>
      </c>
      <c r="D279" s="18">
        <v>20</v>
      </c>
      <c r="E279" s="18">
        <v>35</v>
      </c>
      <c r="F279" t="s" s="19">
        <v>7</v>
      </c>
      <c r="G279" s="18">
        <v>2</v>
      </c>
      <c r="H279" t="s" s="19">
        <v>521</v>
      </c>
      <c r="I279" s="12"/>
      <c r="J279" t="s" s="19">
        <v>35</v>
      </c>
      <c r="K279" s="18">
        <f>(D279*6)+(E279*4)</f>
        <v>260</v>
      </c>
      <c r="L279" s="12"/>
      <c r="M279" s="12"/>
      <c r="N279" s="12"/>
      <c r="O279" s="12"/>
      <c r="P279" s="12"/>
    </row>
    <row r="280" ht="26.7" customHeight="1">
      <c r="A280" t="s" s="10">
        <v>522</v>
      </c>
      <c r="B280" t="s" s="11">
        <v>33</v>
      </c>
      <c r="C280" s="18">
        <v>400</v>
      </c>
      <c r="D280" s="18">
        <v>25</v>
      </c>
      <c r="E280" s="18">
        <v>35</v>
      </c>
      <c r="F280" t="s" s="19">
        <v>7</v>
      </c>
      <c r="G280" s="18">
        <v>2</v>
      </c>
      <c r="H280" t="s" s="19">
        <v>523</v>
      </c>
      <c r="I280" s="12"/>
      <c r="J280" t="s" s="19">
        <v>35</v>
      </c>
      <c r="K280" s="18">
        <f>(D280*6)+(E280*4)</f>
        <v>290</v>
      </c>
      <c r="L280" s="12"/>
      <c r="M280" s="12"/>
      <c r="N280" s="12"/>
      <c r="O280" s="12"/>
      <c r="P280" s="12"/>
    </row>
    <row r="281" ht="20.05" customHeight="1">
      <c r="A281" t="s" s="10">
        <v>524</v>
      </c>
      <c r="B281" t="s" s="11">
        <v>33</v>
      </c>
      <c r="C281" s="18">
        <v>380</v>
      </c>
      <c r="D281" s="18">
        <v>35</v>
      </c>
      <c r="E281" s="18">
        <v>20</v>
      </c>
      <c r="F281" t="s" s="19">
        <v>7</v>
      </c>
      <c r="G281" s="18">
        <v>2</v>
      </c>
      <c r="H281" t="s" s="19">
        <v>39</v>
      </c>
      <c r="I281" s="12"/>
      <c r="J281" t="s" s="19">
        <v>35</v>
      </c>
      <c r="K281" s="18">
        <f>(D281*6)+(E281*4)</f>
        <v>290</v>
      </c>
      <c r="L281" t="s" s="19">
        <v>35</v>
      </c>
      <c r="M281" s="12"/>
      <c r="N281" t="s" s="19">
        <v>35</v>
      </c>
      <c r="O281" s="12"/>
      <c r="P281" s="12"/>
    </row>
    <row r="282" ht="20.05" customHeight="1">
      <c r="A282" t="s" s="10">
        <v>525</v>
      </c>
      <c r="B282" t="s" s="11">
        <v>33</v>
      </c>
      <c r="C282" s="18">
        <v>380</v>
      </c>
      <c r="D282" s="18">
        <v>25</v>
      </c>
      <c r="E282" s="18">
        <v>35</v>
      </c>
      <c r="F282" t="s" s="19">
        <v>7</v>
      </c>
      <c r="G282" s="18">
        <v>2</v>
      </c>
      <c r="H282" t="s" s="19">
        <v>39</v>
      </c>
      <c r="I282" s="12"/>
      <c r="J282" t="s" s="19">
        <v>35</v>
      </c>
      <c r="K282" s="18">
        <f>(D282*6)+(E282*4)</f>
        <v>290</v>
      </c>
      <c r="L282" t="s" s="19">
        <v>35</v>
      </c>
      <c r="M282" s="12"/>
      <c r="N282" t="s" s="19">
        <v>35</v>
      </c>
      <c r="O282" s="12"/>
      <c r="P282" s="12"/>
    </row>
    <row r="283" ht="20.05" customHeight="1">
      <c r="A283" t="s" s="10">
        <v>526</v>
      </c>
      <c r="B283" t="s" s="11">
        <v>33</v>
      </c>
      <c r="C283" s="18">
        <v>380</v>
      </c>
      <c r="D283" s="18">
        <v>30</v>
      </c>
      <c r="E283" s="18">
        <v>30</v>
      </c>
      <c r="F283" t="s" s="19">
        <v>7</v>
      </c>
      <c r="G283" s="18">
        <v>2</v>
      </c>
      <c r="H283" t="s" s="19">
        <v>39</v>
      </c>
      <c r="I283" s="12"/>
      <c r="J283" t="s" s="19">
        <v>35</v>
      </c>
      <c r="K283" s="18">
        <f>(D283*6)+(E283*4)</f>
        <v>300</v>
      </c>
      <c r="L283" t="s" s="19">
        <v>35</v>
      </c>
      <c r="M283" s="12"/>
      <c r="N283" t="s" s="19">
        <v>35</v>
      </c>
      <c r="O283" s="12"/>
      <c r="P283" s="12"/>
    </row>
    <row r="284" ht="20.05" customHeight="1">
      <c r="A284" t="s" s="10">
        <v>527</v>
      </c>
      <c r="B284" t="s" s="11">
        <v>33</v>
      </c>
      <c r="C284" s="18">
        <v>380</v>
      </c>
      <c r="D284" s="18">
        <v>20</v>
      </c>
      <c r="E284" s="18">
        <v>40</v>
      </c>
      <c r="F284" t="s" s="19">
        <v>7</v>
      </c>
      <c r="G284" s="18">
        <v>2</v>
      </c>
      <c r="H284" t="s" s="19">
        <v>39</v>
      </c>
      <c r="I284" s="12"/>
      <c r="J284" t="s" s="19">
        <v>35</v>
      </c>
      <c r="K284" s="18">
        <f>(D284*6)+(E284*4)</f>
        <v>280</v>
      </c>
      <c r="L284" t="s" s="19">
        <v>35</v>
      </c>
      <c r="M284" s="12"/>
      <c r="N284" t="s" s="19">
        <v>35</v>
      </c>
      <c r="O284" s="12"/>
      <c r="P284" s="12"/>
    </row>
    <row r="285" ht="20.05" customHeight="1">
      <c r="A285" t="s" s="10">
        <v>528</v>
      </c>
      <c r="B285" t="s" s="11">
        <v>33</v>
      </c>
      <c r="C285" s="18">
        <v>700</v>
      </c>
      <c r="D285" s="18">
        <v>70</v>
      </c>
      <c r="E285" s="18">
        <v>55</v>
      </c>
      <c r="F285" t="s" s="19">
        <v>7</v>
      </c>
      <c r="G285" s="18">
        <v>3</v>
      </c>
      <c r="H285" t="s" s="19">
        <v>529</v>
      </c>
      <c r="I285" s="12"/>
      <c r="J285" t="s" s="19">
        <v>35</v>
      </c>
      <c r="K285" s="18">
        <f>(D285*6)+(E285*4)</f>
        <v>640</v>
      </c>
      <c r="L285" s="12"/>
      <c r="M285" s="12"/>
      <c r="N285" s="12"/>
      <c r="O285" s="12"/>
      <c r="P285" s="12"/>
    </row>
    <row r="286" ht="32.05" customHeight="1">
      <c r="A286" t="s" s="10">
        <v>530</v>
      </c>
      <c r="B286" t="s" s="11">
        <v>33</v>
      </c>
      <c r="C286" s="18">
        <v>750</v>
      </c>
      <c r="D286" s="18">
        <v>40</v>
      </c>
      <c r="E286" s="18">
        <v>65</v>
      </c>
      <c r="F286" t="s" s="19">
        <v>7</v>
      </c>
      <c r="G286" s="18">
        <v>3</v>
      </c>
      <c r="H286" t="s" s="19">
        <v>531</v>
      </c>
      <c r="I286" s="12"/>
      <c r="J286" t="s" s="19">
        <v>35</v>
      </c>
      <c r="K286" s="18">
        <f>(D286*6)+(E286*4)</f>
        <v>500</v>
      </c>
      <c r="L286" s="12"/>
      <c r="M286" s="12"/>
      <c r="N286" s="12"/>
      <c r="O286" s="12"/>
      <c r="P286" s="12"/>
    </row>
    <row r="287" ht="44.05" customHeight="1">
      <c r="A287" t="s" s="10">
        <v>532</v>
      </c>
      <c r="B287" t="s" s="11">
        <v>33</v>
      </c>
      <c r="C287" s="18">
        <v>800</v>
      </c>
      <c r="D287" s="18">
        <v>35</v>
      </c>
      <c r="E287" s="18">
        <v>35</v>
      </c>
      <c r="F287" t="s" s="19">
        <v>7</v>
      </c>
      <c r="G287" s="18">
        <v>3</v>
      </c>
      <c r="H287" t="s" s="19">
        <v>533</v>
      </c>
      <c r="I287" s="12"/>
      <c r="J287" t="s" s="19">
        <v>35</v>
      </c>
      <c r="K287" s="18">
        <f>(D287*6)+(E287*4)</f>
        <v>350</v>
      </c>
      <c r="L287" t="s" s="19">
        <v>35</v>
      </c>
      <c r="M287" s="12"/>
      <c r="N287" s="12"/>
      <c r="O287" s="12"/>
      <c r="P287" t="s" s="19">
        <v>35</v>
      </c>
    </row>
    <row r="288" ht="20.05" customHeight="1">
      <c r="A288" t="s" s="10">
        <v>534</v>
      </c>
      <c r="B288" t="s" s="11">
        <v>33</v>
      </c>
      <c r="C288" s="18">
        <v>700</v>
      </c>
      <c r="D288" s="18">
        <v>20</v>
      </c>
      <c r="E288" s="18">
        <v>50</v>
      </c>
      <c r="F288" t="s" s="19">
        <v>7</v>
      </c>
      <c r="G288" s="18">
        <v>3</v>
      </c>
      <c r="H288" t="s" s="19">
        <v>535</v>
      </c>
      <c r="I288" s="12"/>
      <c r="J288" t="s" s="19">
        <v>35</v>
      </c>
      <c r="K288" s="18">
        <f>(D288*6)+(E288*4)</f>
        <v>320</v>
      </c>
      <c r="L288" t="s" s="19">
        <v>35</v>
      </c>
      <c r="M288" s="12"/>
      <c r="N288" t="s" s="19">
        <v>35</v>
      </c>
      <c r="O288" s="12"/>
      <c r="P288" s="12"/>
    </row>
    <row r="289" ht="32.05" customHeight="1">
      <c r="A289" t="s" s="10">
        <v>536</v>
      </c>
      <c r="B289" t="s" s="11">
        <v>33</v>
      </c>
      <c r="C289" s="18">
        <v>750</v>
      </c>
      <c r="D289" s="18">
        <v>50</v>
      </c>
      <c r="E289" s="18">
        <v>45</v>
      </c>
      <c r="F289" t="s" s="19">
        <v>7</v>
      </c>
      <c r="G289" s="18">
        <v>3</v>
      </c>
      <c r="H289" t="s" s="19">
        <v>537</v>
      </c>
      <c r="I289" s="12"/>
      <c r="J289" t="s" s="19">
        <v>35</v>
      </c>
      <c r="K289" s="18">
        <f>(D289*6)+(E289*4)</f>
        <v>480</v>
      </c>
      <c r="L289" t="s" s="19">
        <v>35</v>
      </c>
      <c r="M289" s="12"/>
      <c r="N289" s="12"/>
      <c r="O289" t="s" s="19">
        <v>35</v>
      </c>
      <c r="P289" s="12"/>
    </row>
    <row r="290" ht="20.05" customHeight="1">
      <c r="A290" t="s" s="10">
        <v>538</v>
      </c>
      <c r="B290" t="s" s="11">
        <v>33</v>
      </c>
      <c r="C290" s="18">
        <v>500</v>
      </c>
      <c r="D290" s="18">
        <v>20</v>
      </c>
      <c r="E290" s="18">
        <v>40</v>
      </c>
      <c r="F290" t="s" s="19">
        <v>7</v>
      </c>
      <c r="G290" s="18">
        <v>3</v>
      </c>
      <c r="H290" t="s" s="19">
        <v>539</v>
      </c>
      <c r="I290" s="12"/>
      <c r="J290" t="s" s="19">
        <v>35</v>
      </c>
      <c r="K290" s="18">
        <f>(D290*6)+(E290*4)</f>
        <v>280</v>
      </c>
      <c r="L290" s="12"/>
      <c r="M290" s="12"/>
      <c r="N290" s="12"/>
      <c r="O290" s="12"/>
      <c r="P290" s="12"/>
    </row>
    <row r="291" ht="32.05" customHeight="1">
      <c r="A291" t="s" s="10">
        <v>540</v>
      </c>
      <c r="B291" t="s" s="11">
        <v>33</v>
      </c>
      <c r="C291" s="18">
        <v>850</v>
      </c>
      <c r="D291" s="18">
        <v>60</v>
      </c>
      <c r="E291" s="18">
        <v>55</v>
      </c>
      <c r="F291" t="s" s="19">
        <v>7</v>
      </c>
      <c r="G291" s="18">
        <v>3</v>
      </c>
      <c r="H291" t="s" s="19">
        <v>541</v>
      </c>
      <c r="I291" s="12"/>
      <c r="J291" t="s" s="19">
        <v>35</v>
      </c>
      <c r="K291" s="18">
        <f>(D291*6)+(E291*4)</f>
        <v>580</v>
      </c>
      <c r="L291" s="12"/>
      <c r="M291" s="12"/>
      <c r="N291" s="12"/>
      <c r="O291" s="12"/>
      <c r="P291" s="12"/>
    </row>
    <row r="292" ht="20.05" customHeight="1">
      <c r="A292" t="s" s="10">
        <v>542</v>
      </c>
      <c r="B292" t="s" s="11">
        <v>33</v>
      </c>
      <c r="C292" s="18">
        <v>800</v>
      </c>
      <c r="D292" s="18">
        <v>45</v>
      </c>
      <c r="E292" s="18">
        <v>55</v>
      </c>
      <c r="F292" t="s" s="19">
        <v>7</v>
      </c>
      <c r="G292" s="18">
        <v>3</v>
      </c>
      <c r="H292" t="s" s="19">
        <v>543</v>
      </c>
      <c r="I292" s="12"/>
      <c r="J292" t="s" s="19">
        <v>35</v>
      </c>
      <c r="K292" s="18">
        <f>(D292*6)+(E292*4)</f>
        <v>490</v>
      </c>
      <c r="L292" t="s" s="19">
        <v>35</v>
      </c>
      <c r="M292" s="12"/>
      <c r="N292" s="12"/>
      <c r="O292" t="s" s="19">
        <v>35</v>
      </c>
      <c r="P292" s="12"/>
    </row>
    <row r="293" ht="20.05" customHeight="1">
      <c r="A293" t="s" s="10">
        <v>544</v>
      </c>
      <c r="B293" t="s" s="11">
        <v>33</v>
      </c>
      <c r="C293" s="18">
        <v>550</v>
      </c>
      <c r="D293" s="18">
        <v>65</v>
      </c>
      <c r="E293" s="18">
        <v>40</v>
      </c>
      <c r="F293" t="s" s="19">
        <v>7</v>
      </c>
      <c r="G293" s="18">
        <v>3</v>
      </c>
      <c r="H293" t="s" s="19">
        <v>39</v>
      </c>
      <c r="I293" s="12"/>
      <c r="J293" t="s" s="19">
        <v>35</v>
      </c>
      <c r="K293" s="18">
        <f>(D293*6)+(E293*4)</f>
        <v>550</v>
      </c>
      <c r="L293" t="s" s="19">
        <v>35</v>
      </c>
      <c r="M293" s="12"/>
      <c r="N293" t="s" s="19">
        <v>35</v>
      </c>
      <c r="O293" s="12"/>
      <c r="P293" s="12"/>
    </row>
    <row r="294" ht="44.05" customHeight="1">
      <c r="A294" t="s" s="10">
        <v>545</v>
      </c>
      <c r="B294" t="s" s="11">
        <v>33</v>
      </c>
      <c r="C294" s="18">
        <v>900</v>
      </c>
      <c r="D294" s="18">
        <v>50</v>
      </c>
      <c r="E294" s="18">
        <v>20</v>
      </c>
      <c r="F294" t="s" s="19">
        <v>7</v>
      </c>
      <c r="G294" s="18">
        <v>4</v>
      </c>
      <c r="H294" t="s" s="19">
        <v>546</v>
      </c>
      <c r="I294" s="12"/>
      <c r="J294" t="s" s="19">
        <v>35</v>
      </c>
      <c r="K294" s="18">
        <f>(D294*6)+(E294*4)</f>
        <v>380</v>
      </c>
      <c r="L294" s="12"/>
      <c r="M294" s="12"/>
      <c r="N294" s="12"/>
      <c r="O294" s="12"/>
      <c r="P294" s="12"/>
    </row>
    <row r="295" ht="20.05" customHeight="1">
      <c r="A295" t="s" s="10">
        <v>547</v>
      </c>
      <c r="B295" t="s" s="11">
        <v>33</v>
      </c>
      <c r="C295" s="18">
        <v>900</v>
      </c>
      <c r="D295" s="18">
        <v>75</v>
      </c>
      <c r="E295" s="18">
        <v>75</v>
      </c>
      <c r="F295" t="s" s="19">
        <v>7</v>
      </c>
      <c r="G295" s="18">
        <v>4</v>
      </c>
      <c r="H295" t="s" s="19">
        <v>39</v>
      </c>
      <c r="I295" s="12"/>
      <c r="J295" t="s" s="19">
        <v>35</v>
      </c>
      <c r="K295" s="18">
        <f>(D295*6)+(E295*4)</f>
        <v>750</v>
      </c>
      <c r="L295" s="12"/>
      <c r="M295" s="12"/>
      <c r="N295" s="12"/>
      <c r="O295" s="12"/>
      <c r="P295" s="12"/>
    </row>
    <row r="296" ht="68.05" customHeight="1">
      <c r="A296" t="s" s="10">
        <v>548</v>
      </c>
      <c r="B296" t="s" s="11">
        <v>33</v>
      </c>
      <c r="C296" s="18">
        <v>820</v>
      </c>
      <c r="D296" s="18">
        <v>55</v>
      </c>
      <c r="E296" s="18">
        <v>85</v>
      </c>
      <c r="F296" t="s" s="19">
        <v>7</v>
      </c>
      <c r="G296" s="18">
        <v>4</v>
      </c>
      <c r="H296" t="s" s="19">
        <v>549</v>
      </c>
      <c r="I296" s="12"/>
      <c r="J296" t="s" s="19">
        <v>35</v>
      </c>
      <c r="K296" s="18">
        <f>(D296*6)+(E296*4)</f>
        <v>670</v>
      </c>
      <c r="L296" s="12"/>
      <c r="M296" s="12"/>
      <c r="N296" s="12"/>
      <c r="O296" s="12"/>
      <c r="P296" s="12"/>
    </row>
    <row r="297" ht="56.05" customHeight="1">
      <c r="A297" t="s" s="10">
        <v>550</v>
      </c>
      <c r="B297" t="s" s="11">
        <v>33</v>
      </c>
      <c r="C297" s="18">
        <v>960</v>
      </c>
      <c r="D297" s="18">
        <v>50</v>
      </c>
      <c r="E297" s="18">
        <v>60</v>
      </c>
      <c r="F297" t="s" s="19">
        <v>7</v>
      </c>
      <c r="G297" s="18">
        <v>4</v>
      </c>
      <c r="H297" t="s" s="19">
        <v>551</v>
      </c>
      <c r="I297" s="12"/>
      <c r="J297" t="s" s="19">
        <v>35</v>
      </c>
      <c r="K297" s="18">
        <f>(D297*6)+(E297*4)</f>
        <v>540</v>
      </c>
      <c r="L297" s="12"/>
      <c r="M297" s="12"/>
      <c r="N297" s="12"/>
      <c r="O297" s="12"/>
      <c r="P297" s="12"/>
    </row>
    <row r="298" ht="56.4" customHeight="1">
      <c r="A298" t="s" s="10">
        <v>552</v>
      </c>
      <c r="B298" t="s" s="11">
        <v>33</v>
      </c>
      <c r="C298" s="18">
        <v>600</v>
      </c>
      <c r="D298" s="18">
        <v>0</v>
      </c>
      <c r="E298" s="18">
        <v>40</v>
      </c>
      <c r="F298" t="s" s="19">
        <v>7</v>
      </c>
      <c r="G298" s="18">
        <v>4</v>
      </c>
      <c r="H298" t="s" s="19">
        <v>553</v>
      </c>
      <c r="I298" s="12"/>
      <c r="J298" t="s" s="19">
        <v>35</v>
      </c>
      <c r="K298" s="18">
        <f>(D298*6)+(E298*4)</f>
        <v>160</v>
      </c>
      <c r="L298" s="12"/>
      <c r="M298" s="12"/>
      <c r="N298" s="12"/>
      <c r="O298" s="12"/>
      <c r="P298" s="12"/>
    </row>
    <row r="299" ht="32.05" customHeight="1">
      <c r="A299" t="s" s="10">
        <v>554</v>
      </c>
      <c r="B299" t="s" s="11">
        <v>33</v>
      </c>
      <c r="C299" s="18">
        <v>1200</v>
      </c>
      <c r="D299" s="18">
        <v>25</v>
      </c>
      <c r="E299" s="18">
        <v>80</v>
      </c>
      <c r="F299" t="s" s="19">
        <v>7</v>
      </c>
      <c r="G299" s="18">
        <v>4</v>
      </c>
      <c r="H299" t="s" s="19">
        <v>555</v>
      </c>
      <c r="I299" s="12"/>
      <c r="J299" t="s" s="19">
        <v>35</v>
      </c>
      <c r="K299" s="18">
        <f>(D299*6)+(E299*4)</f>
        <v>470</v>
      </c>
      <c r="L299" s="12"/>
      <c r="M299" s="12"/>
      <c r="N299" s="12"/>
      <c r="O299" s="12"/>
      <c r="P299" s="12"/>
    </row>
    <row r="300" ht="32.05" customHeight="1">
      <c r="A300" t="s" s="10">
        <v>556</v>
      </c>
      <c r="B300" t="s" s="11">
        <v>33</v>
      </c>
      <c r="C300" s="18">
        <v>1200</v>
      </c>
      <c r="D300" s="18">
        <v>125</v>
      </c>
      <c r="E300" s="18">
        <v>110</v>
      </c>
      <c r="F300" t="s" s="19">
        <v>7</v>
      </c>
      <c r="G300" s="18">
        <v>5</v>
      </c>
      <c r="H300" t="s" s="19">
        <v>557</v>
      </c>
      <c r="I300" s="12"/>
      <c r="J300" t="s" s="19">
        <v>35</v>
      </c>
      <c r="K300" s="18">
        <f>(D300*6)+(E300*4)</f>
        <v>1190</v>
      </c>
      <c r="L300" s="12"/>
      <c r="M300" s="12"/>
      <c r="N300" s="12"/>
      <c r="O300" s="12"/>
      <c r="P300" s="12"/>
    </row>
    <row r="301" ht="32.05" customHeight="1">
      <c r="A301" t="s" s="10">
        <v>558</v>
      </c>
      <c r="B301" t="s" s="11">
        <v>33</v>
      </c>
      <c r="C301" s="18">
        <v>1600</v>
      </c>
      <c r="D301" s="18">
        <v>200</v>
      </c>
      <c r="E301" s="18">
        <v>95</v>
      </c>
      <c r="F301" t="s" s="19">
        <v>7</v>
      </c>
      <c r="G301" s="18">
        <v>5</v>
      </c>
      <c r="H301" t="s" s="19">
        <v>559</v>
      </c>
      <c r="I301" s="12"/>
      <c r="J301" t="s" s="19">
        <v>35</v>
      </c>
      <c r="K301" s="18">
        <f>(D301*6)+(E301*4)</f>
        <v>1580</v>
      </c>
      <c r="L301" s="12"/>
      <c r="M301" s="12"/>
      <c r="N301" s="12"/>
      <c r="O301" s="12"/>
      <c r="P301" s="12"/>
    </row>
    <row r="302" ht="32.05" customHeight="1">
      <c r="A302" t="s" s="10">
        <v>560</v>
      </c>
      <c r="B302" t="s" s="11">
        <v>33</v>
      </c>
      <c r="C302" s="18">
        <v>1500</v>
      </c>
      <c r="D302" s="18">
        <v>85</v>
      </c>
      <c r="E302" s="18">
        <v>90</v>
      </c>
      <c r="F302" t="s" s="19">
        <v>7</v>
      </c>
      <c r="G302" s="18">
        <v>5</v>
      </c>
      <c r="H302" t="s" s="19">
        <v>561</v>
      </c>
      <c r="I302" s="12"/>
      <c r="J302" t="s" s="19">
        <v>35</v>
      </c>
      <c r="K302" s="18">
        <f>(D302*6)+(E302*4)</f>
        <v>870</v>
      </c>
      <c r="L302" s="12"/>
      <c r="M302" s="12"/>
      <c r="N302" s="12"/>
      <c r="O302" s="12"/>
      <c r="P302" s="12"/>
    </row>
    <row r="303" ht="44.05" customHeight="1">
      <c r="A303" t="s" s="10">
        <v>562</v>
      </c>
      <c r="B303" t="s" s="11">
        <v>33</v>
      </c>
      <c r="C303" s="18">
        <v>2000</v>
      </c>
      <c r="D303" s="18">
        <v>150</v>
      </c>
      <c r="E303" s="18">
        <v>150</v>
      </c>
      <c r="F303" t="s" s="19">
        <v>7</v>
      </c>
      <c r="G303" s="18">
        <v>5</v>
      </c>
      <c r="H303" t="s" s="19">
        <v>563</v>
      </c>
      <c r="I303" s="12"/>
      <c r="J303" t="s" s="19">
        <v>35</v>
      </c>
      <c r="K303" s="18">
        <f>(D303*6)+(E303*4)</f>
        <v>1500</v>
      </c>
      <c r="L303" s="12"/>
      <c r="M303" s="12"/>
      <c r="N303" s="12"/>
      <c r="O303" s="12"/>
      <c r="P303" s="12"/>
    </row>
    <row r="304" ht="20.05" customHeight="1">
      <c r="A304" t="s" s="10">
        <v>564</v>
      </c>
      <c r="B304" t="s" s="11">
        <v>33</v>
      </c>
      <c r="C304" s="18">
        <v>1500</v>
      </c>
      <c r="D304" s="18">
        <v>100</v>
      </c>
      <c r="E304" s="18">
        <v>70</v>
      </c>
      <c r="F304" t="s" s="19">
        <v>7</v>
      </c>
      <c r="G304" s="18">
        <v>5</v>
      </c>
      <c r="H304" t="s" s="19">
        <v>565</v>
      </c>
      <c r="I304" s="12"/>
      <c r="J304" t="s" s="19">
        <v>35</v>
      </c>
      <c r="K304" s="18">
        <f>(D304*6)+(E304*4)</f>
        <v>880</v>
      </c>
      <c r="L304" t="s" s="19">
        <v>35</v>
      </c>
      <c r="M304" s="12"/>
      <c r="N304" s="12"/>
      <c r="O304" s="12"/>
      <c r="P304" t="s" s="19">
        <v>35</v>
      </c>
    </row>
    <row r="305" ht="20.05" customHeight="1">
      <c r="A305" t="s" s="10">
        <v>566</v>
      </c>
      <c r="B305" t="s" s="11">
        <v>33</v>
      </c>
      <c r="C305" s="18">
        <v>150</v>
      </c>
      <c r="D305" s="18">
        <v>10</v>
      </c>
      <c r="E305" s="18">
        <v>15</v>
      </c>
      <c r="F305" t="s" s="19">
        <v>11</v>
      </c>
      <c r="G305" s="18">
        <v>1</v>
      </c>
      <c r="H305" t="s" s="19">
        <v>567</v>
      </c>
      <c r="I305" s="12"/>
      <c r="J305" t="s" s="19">
        <v>35</v>
      </c>
      <c r="K305" s="18">
        <f>(D305*6)+(E305*4)</f>
        <v>120</v>
      </c>
      <c r="L305" t="s" s="19">
        <v>35</v>
      </c>
      <c r="M305" s="12"/>
      <c r="N305" s="12"/>
      <c r="O305" t="s" s="19">
        <v>35</v>
      </c>
      <c r="P305" s="12"/>
    </row>
    <row r="306" ht="20.05" customHeight="1">
      <c r="A306" t="s" s="10">
        <v>568</v>
      </c>
      <c r="B306" t="s" s="11">
        <v>33</v>
      </c>
      <c r="C306" s="18">
        <v>120</v>
      </c>
      <c r="D306" s="18">
        <v>25</v>
      </c>
      <c r="E306" s="18">
        <v>0</v>
      </c>
      <c r="F306" t="s" s="19">
        <v>11</v>
      </c>
      <c r="G306" s="18">
        <v>1</v>
      </c>
      <c r="H306" t="s" s="19">
        <v>39</v>
      </c>
      <c r="I306" s="12"/>
      <c r="J306" t="s" s="19">
        <v>35</v>
      </c>
      <c r="K306" s="18">
        <f>(D306*6)+(E306*4)</f>
        <v>150</v>
      </c>
      <c r="L306" s="12"/>
      <c r="M306" s="12"/>
      <c r="N306" s="12"/>
      <c r="O306" s="12"/>
      <c r="P306" s="12"/>
    </row>
    <row r="307" ht="20.05" customHeight="1">
      <c r="A307" t="s" s="10">
        <v>569</v>
      </c>
      <c r="B307" t="s" s="11">
        <v>33</v>
      </c>
      <c r="C307" s="18">
        <v>180</v>
      </c>
      <c r="D307" s="18">
        <v>15</v>
      </c>
      <c r="E307" s="18">
        <v>10</v>
      </c>
      <c r="F307" t="s" s="19">
        <v>11</v>
      </c>
      <c r="G307" s="18">
        <v>1</v>
      </c>
      <c r="H307" t="s" s="19">
        <v>570</v>
      </c>
      <c r="I307" s="12"/>
      <c r="J307" t="s" s="19">
        <v>35</v>
      </c>
      <c r="K307" s="18">
        <f>(D307*6)+(E307*4)</f>
        <v>130</v>
      </c>
      <c r="L307" t="s" s="19">
        <v>35</v>
      </c>
      <c r="M307" s="12"/>
      <c r="N307" s="12"/>
      <c r="O307" t="s" s="19">
        <v>35</v>
      </c>
      <c r="P307" s="12"/>
    </row>
    <row r="308" ht="20.05" customHeight="1">
      <c r="A308" t="s" s="10">
        <v>571</v>
      </c>
      <c r="B308" t="s" s="11">
        <v>33</v>
      </c>
      <c r="C308" s="18">
        <v>200</v>
      </c>
      <c r="D308" s="18">
        <v>20</v>
      </c>
      <c r="E308" s="18">
        <v>25</v>
      </c>
      <c r="F308" t="s" s="19">
        <v>11</v>
      </c>
      <c r="G308" s="18">
        <v>1</v>
      </c>
      <c r="H308" t="s" s="19">
        <v>39</v>
      </c>
      <c r="I308" s="12"/>
      <c r="J308" t="s" s="19">
        <v>35</v>
      </c>
      <c r="K308" s="18">
        <f>(D308*6)+(E308*4)</f>
        <v>220</v>
      </c>
      <c r="L308" s="12"/>
      <c r="M308" s="12"/>
      <c r="N308" s="12"/>
      <c r="O308" s="12"/>
      <c r="P308" s="12"/>
    </row>
    <row r="309" ht="44.05" customHeight="1">
      <c r="A309" t="s" s="10">
        <v>572</v>
      </c>
      <c r="B309" t="s" s="11">
        <v>33</v>
      </c>
      <c r="C309" s="18">
        <v>200</v>
      </c>
      <c r="D309" s="18">
        <v>10</v>
      </c>
      <c r="E309" s="18">
        <v>30</v>
      </c>
      <c r="F309" t="s" s="19">
        <v>11</v>
      </c>
      <c r="G309" s="18">
        <v>1</v>
      </c>
      <c r="H309" t="s" s="19">
        <v>573</v>
      </c>
      <c r="I309" s="12"/>
      <c r="J309" t="s" s="19">
        <v>35</v>
      </c>
      <c r="K309" s="18">
        <f>(D309*6)+(E309*4)</f>
        <v>180</v>
      </c>
      <c r="L309" t="s" s="19">
        <v>35</v>
      </c>
      <c r="M309" s="12"/>
      <c r="N309" s="12"/>
      <c r="O309" s="12"/>
      <c r="P309" t="s" s="19">
        <v>35</v>
      </c>
    </row>
    <row r="310" ht="20.05" customHeight="1">
      <c r="A310" t="s" s="10">
        <v>574</v>
      </c>
      <c r="B310" t="s" s="11">
        <v>33</v>
      </c>
      <c r="C310" s="18">
        <v>150</v>
      </c>
      <c r="D310" s="18">
        <v>0</v>
      </c>
      <c r="E310" s="18">
        <v>25</v>
      </c>
      <c r="F310" t="s" s="19">
        <v>11</v>
      </c>
      <c r="G310" s="18">
        <v>1</v>
      </c>
      <c r="H310" t="s" s="19">
        <v>575</v>
      </c>
      <c r="I310" s="12"/>
      <c r="J310" t="s" s="19">
        <v>35</v>
      </c>
      <c r="K310" s="18">
        <f>(D310*6)+(E310*4)</f>
        <v>100</v>
      </c>
      <c r="L310" s="12"/>
      <c r="M310" s="12"/>
      <c r="N310" s="12"/>
      <c r="O310" s="12"/>
      <c r="P310" s="12"/>
    </row>
    <row r="311" ht="20.05" customHeight="1">
      <c r="A311" t="s" s="10">
        <v>576</v>
      </c>
      <c r="B311" t="s" s="11">
        <v>33</v>
      </c>
      <c r="C311" s="18">
        <v>320</v>
      </c>
      <c r="D311" s="18">
        <v>20</v>
      </c>
      <c r="E311" s="18">
        <v>20</v>
      </c>
      <c r="F311" t="s" s="19">
        <v>11</v>
      </c>
      <c r="G311" s="18">
        <v>1</v>
      </c>
      <c r="H311" t="s" s="19">
        <v>577</v>
      </c>
      <c r="I311" s="12"/>
      <c r="J311" t="s" s="19">
        <v>35</v>
      </c>
      <c r="K311" s="18">
        <f>(D311*6)+(E311*4)</f>
        <v>200</v>
      </c>
      <c r="L311" t="s" s="19">
        <v>35</v>
      </c>
      <c r="M311" s="12"/>
      <c r="N311" s="19"/>
      <c r="O311" s="12"/>
      <c r="P311" s="12"/>
    </row>
    <row r="312" ht="20.05" customHeight="1">
      <c r="A312" t="s" s="10">
        <v>578</v>
      </c>
      <c r="B312" t="s" s="11">
        <v>33</v>
      </c>
      <c r="C312" s="18">
        <v>180</v>
      </c>
      <c r="D312" s="18">
        <v>10</v>
      </c>
      <c r="E312" s="18">
        <v>20</v>
      </c>
      <c r="F312" t="s" s="19">
        <v>11</v>
      </c>
      <c r="G312" s="18">
        <v>1</v>
      </c>
      <c r="H312" t="s" s="19">
        <v>579</v>
      </c>
      <c r="I312" s="12"/>
      <c r="J312" t="s" s="19">
        <v>35</v>
      </c>
      <c r="K312" s="18">
        <f>(D312*6)+(E312*4)</f>
        <v>140</v>
      </c>
      <c r="L312" s="12"/>
      <c r="M312" s="12"/>
      <c r="N312" s="12"/>
      <c r="O312" s="12"/>
      <c r="P312" s="12"/>
    </row>
    <row r="313" ht="32.05" customHeight="1">
      <c r="A313" t="s" s="10">
        <v>580</v>
      </c>
      <c r="B313" t="s" s="11">
        <v>33</v>
      </c>
      <c r="C313" s="18">
        <v>200</v>
      </c>
      <c r="D313" s="18">
        <v>0</v>
      </c>
      <c r="E313" s="18">
        <v>30</v>
      </c>
      <c r="F313" t="s" s="19">
        <v>11</v>
      </c>
      <c r="G313" s="18">
        <v>1</v>
      </c>
      <c r="H313" t="s" s="19">
        <v>581</v>
      </c>
      <c r="I313" s="12"/>
      <c r="J313" t="s" s="19">
        <v>35</v>
      </c>
      <c r="K313" s="18">
        <f>(D313*6)+(E313*4)</f>
        <v>120</v>
      </c>
      <c r="L313" s="12"/>
      <c r="M313" s="12"/>
      <c r="N313" s="12"/>
      <c r="O313" s="12"/>
      <c r="P313" s="12"/>
    </row>
    <row r="314" ht="32.6" customHeight="1">
      <c r="A314" t="s" s="10">
        <v>582</v>
      </c>
      <c r="B314" t="s" s="11">
        <v>33</v>
      </c>
      <c r="C314" s="18">
        <v>160</v>
      </c>
      <c r="D314" s="18">
        <v>20</v>
      </c>
      <c r="E314" s="18">
        <v>5</v>
      </c>
      <c r="F314" t="s" s="19">
        <v>11</v>
      </c>
      <c r="G314" s="18">
        <v>1</v>
      </c>
      <c r="H314" t="s" s="19">
        <v>583</v>
      </c>
      <c r="I314" s="12"/>
      <c r="J314" t="s" s="19">
        <v>35</v>
      </c>
      <c r="K314" s="18">
        <f>(D314*6)+(E314*4)</f>
        <v>140</v>
      </c>
      <c r="L314" t="s" s="19">
        <v>35</v>
      </c>
      <c r="M314" s="12"/>
      <c r="N314" s="12"/>
      <c r="O314" t="s" s="19">
        <v>35</v>
      </c>
      <c r="P314" s="12"/>
    </row>
    <row r="315" ht="20.05" customHeight="1">
      <c r="A315" t="s" s="10">
        <v>584</v>
      </c>
      <c r="B315" t="s" s="11">
        <v>33</v>
      </c>
      <c r="C315" s="18">
        <v>220</v>
      </c>
      <c r="D315" s="18">
        <v>20</v>
      </c>
      <c r="E315" s="18">
        <v>15</v>
      </c>
      <c r="F315" t="s" s="19">
        <v>11</v>
      </c>
      <c r="G315" s="18">
        <v>1</v>
      </c>
      <c r="H315" t="s" s="19">
        <v>585</v>
      </c>
      <c r="I315" s="12"/>
      <c r="J315" t="s" s="19">
        <v>35</v>
      </c>
      <c r="K315" s="18">
        <f>(D315*6)+(E315*4)</f>
        <v>180</v>
      </c>
      <c r="L315" t="s" s="19">
        <v>35</v>
      </c>
      <c r="M315" s="12"/>
      <c r="N315" s="12"/>
      <c r="O315" s="12"/>
      <c r="P315" t="s" s="19">
        <v>35</v>
      </c>
    </row>
    <row r="316" ht="50.7" customHeight="1">
      <c r="A316" t="s" s="10">
        <v>586</v>
      </c>
      <c r="B316" t="s" s="11">
        <v>33</v>
      </c>
      <c r="C316" s="18">
        <v>200</v>
      </c>
      <c r="D316" s="18">
        <v>10</v>
      </c>
      <c r="E316" s="18">
        <v>25</v>
      </c>
      <c r="F316" t="s" s="19">
        <v>11</v>
      </c>
      <c r="G316" s="18">
        <v>1</v>
      </c>
      <c r="H316" t="s" s="19">
        <v>587</v>
      </c>
      <c r="I316" s="12"/>
      <c r="J316" t="s" s="19">
        <v>35</v>
      </c>
      <c r="K316" s="18">
        <f>(D316*6)+(E316*4)</f>
        <v>160</v>
      </c>
      <c r="L316" t="s" s="19">
        <v>35</v>
      </c>
      <c r="M316" s="12"/>
      <c r="N316" s="12"/>
      <c r="O316" t="s" s="19">
        <v>35</v>
      </c>
      <c r="P316" s="12"/>
    </row>
    <row r="317" ht="44.05" customHeight="1">
      <c r="A317" t="s" s="10">
        <v>588</v>
      </c>
      <c r="B317" t="s" s="11">
        <v>33</v>
      </c>
      <c r="C317" s="18">
        <v>100</v>
      </c>
      <c r="D317" s="18">
        <v>0</v>
      </c>
      <c r="E317" s="18">
        <v>0</v>
      </c>
      <c r="F317" t="s" s="19">
        <v>11</v>
      </c>
      <c r="G317" s="18">
        <v>1</v>
      </c>
      <c r="H317" t="s" s="19">
        <v>589</v>
      </c>
      <c r="I317" s="12"/>
      <c r="J317" t="s" s="19">
        <v>35</v>
      </c>
      <c r="K317" s="18">
        <f>(D317*6)+(E317*4)</f>
        <v>0</v>
      </c>
      <c r="L317" s="12"/>
      <c r="M317" s="12"/>
      <c r="N317" s="12"/>
      <c r="O317" s="12"/>
      <c r="P317" s="12"/>
    </row>
    <row r="318" ht="20.05" customHeight="1">
      <c r="A318" t="s" s="10">
        <v>590</v>
      </c>
      <c r="B318" t="s" s="11">
        <v>33</v>
      </c>
      <c r="C318" s="18">
        <v>170</v>
      </c>
      <c r="D318" s="18">
        <v>15</v>
      </c>
      <c r="E318" s="18">
        <v>15</v>
      </c>
      <c r="F318" t="s" s="19">
        <v>11</v>
      </c>
      <c r="G318" s="18">
        <v>1</v>
      </c>
      <c r="H318" t="s" s="19">
        <v>591</v>
      </c>
      <c r="I318" s="12"/>
      <c r="J318" t="s" s="19">
        <v>35</v>
      </c>
      <c r="K318" s="18">
        <f>(D318*6)+(E318*4)</f>
        <v>150</v>
      </c>
      <c r="L318" t="s" s="19">
        <v>35</v>
      </c>
      <c r="M318" s="12"/>
      <c r="N318" s="12"/>
      <c r="O318" t="s" s="19">
        <v>35</v>
      </c>
      <c r="P318" s="12"/>
    </row>
    <row r="319" ht="20.05" customHeight="1">
      <c r="A319" t="s" s="10">
        <v>592</v>
      </c>
      <c r="B319" t="s" s="11">
        <v>33</v>
      </c>
      <c r="C319" s="18">
        <v>170</v>
      </c>
      <c r="D319" s="18">
        <v>25</v>
      </c>
      <c r="E319" s="18">
        <v>5</v>
      </c>
      <c r="F319" t="s" s="19">
        <v>11</v>
      </c>
      <c r="G319" s="18">
        <v>1</v>
      </c>
      <c r="H319" t="s" s="19">
        <v>39</v>
      </c>
      <c r="I319" s="12"/>
      <c r="J319" t="s" s="19">
        <v>35</v>
      </c>
      <c r="K319" s="18">
        <f>(D319*6)+(E319*4)</f>
        <v>170</v>
      </c>
      <c r="L319" s="12"/>
      <c r="M319" s="12"/>
      <c r="N319" s="12"/>
      <c r="O319" s="12"/>
      <c r="P319" s="12"/>
    </row>
    <row r="320" ht="44.05" customHeight="1">
      <c r="A320" t="s" s="10">
        <v>593</v>
      </c>
      <c r="B320" t="s" s="11">
        <v>33</v>
      </c>
      <c r="C320" s="18">
        <v>350</v>
      </c>
      <c r="D320" s="18">
        <v>0</v>
      </c>
      <c r="E320" s="18">
        <v>20</v>
      </c>
      <c r="F320" t="s" s="19">
        <v>11</v>
      </c>
      <c r="G320" s="18">
        <v>2</v>
      </c>
      <c r="H320" t="s" s="19">
        <v>594</v>
      </c>
      <c r="I320" s="12"/>
      <c r="J320" t="s" s="19">
        <v>35</v>
      </c>
      <c r="K320" s="18">
        <f>(D320*6)+(E320*4)</f>
        <v>80</v>
      </c>
      <c r="L320" s="12"/>
      <c r="M320" s="12"/>
      <c r="N320" s="12"/>
      <c r="O320" s="12"/>
      <c r="P320" s="12"/>
    </row>
    <row r="321" ht="44.05" customHeight="1">
      <c r="A321" t="s" s="10">
        <v>595</v>
      </c>
      <c r="B321" t="s" s="11">
        <v>33</v>
      </c>
      <c r="C321" s="18">
        <v>300</v>
      </c>
      <c r="D321" s="18">
        <v>25</v>
      </c>
      <c r="E321" s="18">
        <v>20</v>
      </c>
      <c r="F321" t="s" s="19">
        <v>11</v>
      </c>
      <c r="G321" s="18">
        <v>2</v>
      </c>
      <c r="H321" t="s" s="19">
        <v>596</v>
      </c>
      <c r="I321" s="12"/>
      <c r="J321" t="s" s="19">
        <v>35</v>
      </c>
      <c r="K321" s="18">
        <f>(D321*6)+(E321*4)</f>
        <v>230</v>
      </c>
      <c r="L321" s="12"/>
      <c r="M321" s="12"/>
      <c r="N321" s="12"/>
      <c r="O321" s="12"/>
      <c r="P321" s="12"/>
    </row>
    <row r="322" ht="32.05" customHeight="1">
      <c r="A322" t="s" s="10">
        <v>597</v>
      </c>
      <c r="B322" t="s" s="11">
        <v>33</v>
      </c>
      <c r="C322" s="18">
        <v>280</v>
      </c>
      <c r="D322" s="18">
        <v>30</v>
      </c>
      <c r="E322" s="18">
        <v>25</v>
      </c>
      <c r="F322" t="s" s="19">
        <v>11</v>
      </c>
      <c r="G322" s="18">
        <v>2</v>
      </c>
      <c r="H322" t="s" s="19">
        <v>39</v>
      </c>
      <c r="I322" s="12"/>
      <c r="J322" t="s" s="19">
        <v>35</v>
      </c>
      <c r="K322" s="18">
        <f>(D322*6)+(E322*4)</f>
        <v>280</v>
      </c>
      <c r="L322" s="12"/>
      <c r="M322" s="12"/>
      <c r="N322" s="12"/>
      <c r="O322" s="12"/>
      <c r="P322" s="12"/>
    </row>
    <row r="323" ht="20.05" customHeight="1">
      <c r="A323" t="s" s="10">
        <v>598</v>
      </c>
      <c r="B323" t="s" s="11">
        <v>33</v>
      </c>
      <c r="C323" s="18">
        <v>350</v>
      </c>
      <c r="D323" s="18">
        <v>35</v>
      </c>
      <c r="E323" s="18">
        <v>30</v>
      </c>
      <c r="F323" t="s" s="19">
        <v>11</v>
      </c>
      <c r="G323" s="18">
        <v>2</v>
      </c>
      <c r="H323" t="s" s="19">
        <v>39</v>
      </c>
      <c r="I323" s="12"/>
      <c r="J323" t="s" s="19">
        <v>35</v>
      </c>
      <c r="K323" s="18">
        <f>(D323*6)+(E323*4)</f>
        <v>330</v>
      </c>
      <c r="L323" t="s" s="19">
        <v>35</v>
      </c>
      <c r="M323" s="12"/>
      <c r="N323" s="12"/>
      <c r="O323" s="12"/>
      <c r="P323" t="s" s="19">
        <v>35</v>
      </c>
    </row>
    <row r="324" ht="32.05" customHeight="1">
      <c r="A324" t="s" s="10">
        <v>599</v>
      </c>
      <c r="B324" t="s" s="11">
        <v>33</v>
      </c>
      <c r="C324" s="18">
        <v>420</v>
      </c>
      <c r="D324" s="18">
        <v>0</v>
      </c>
      <c r="E324" s="18">
        <v>50</v>
      </c>
      <c r="F324" t="s" s="19">
        <v>11</v>
      </c>
      <c r="G324" s="18">
        <v>2</v>
      </c>
      <c r="H324" t="s" s="19">
        <v>600</v>
      </c>
      <c r="I324" s="12"/>
      <c r="J324" t="s" s="19">
        <v>35</v>
      </c>
      <c r="K324" s="18">
        <f>(D324*6)+(E324*4)</f>
        <v>200</v>
      </c>
      <c r="L324" t="s" s="19">
        <v>35</v>
      </c>
      <c r="M324" s="12"/>
      <c r="N324" s="12"/>
      <c r="O324" t="s" s="19">
        <v>35</v>
      </c>
      <c r="P324" s="19"/>
    </row>
    <row r="325" ht="32.05" customHeight="1">
      <c r="A325" t="s" s="10">
        <v>601</v>
      </c>
      <c r="B325" t="s" s="11">
        <v>33</v>
      </c>
      <c r="C325" s="18">
        <v>200</v>
      </c>
      <c r="D325" s="18">
        <v>5</v>
      </c>
      <c r="E325" s="18">
        <v>35</v>
      </c>
      <c r="F325" t="s" s="19">
        <v>11</v>
      </c>
      <c r="G325" s="18">
        <v>2</v>
      </c>
      <c r="H325" t="s" s="19">
        <v>602</v>
      </c>
      <c r="I325" s="12"/>
      <c r="J325" t="s" s="19">
        <v>35</v>
      </c>
      <c r="K325" s="18">
        <f>(D325*6)+(E325*4)</f>
        <v>170</v>
      </c>
      <c r="L325" s="12"/>
      <c r="M325" s="12"/>
      <c r="N325" s="12"/>
      <c r="O325" s="12"/>
      <c r="P325" s="12"/>
    </row>
    <row r="326" ht="44.05" customHeight="1">
      <c r="A326" t="s" s="10">
        <v>603</v>
      </c>
      <c r="B326" t="s" s="11">
        <v>33</v>
      </c>
      <c r="C326" s="18">
        <v>450</v>
      </c>
      <c r="D326" s="18">
        <v>40</v>
      </c>
      <c r="E326" s="18">
        <v>30</v>
      </c>
      <c r="F326" t="s" s="19">
        <v>11</v>
      </c>
      <c r="G326" s="18">
        <v>2</v>
      </c>
      <c r="H326" t="s" s="19">
        <v>604</v>
      </c>
      <c r="I326" s="12"/>
      <c r="J326" t="s" s="19">
        <v>35</v>
      </c>
      <c r="K326" s="18">
        <f>(D326*6)+(E326*4)</f>
        <v>360</v>
      </c>
      <c r="L326" t="s" s="19">
        <v>35</v>
      </c>
      <c r="M326" s="12"/>
      <c r="N326" s="12"/>
      <c r="O326" t="s" s="19">
        <v>35</v>
      </c>
      <c r="P326" s="12"/>
    </row>
    <row r="327" ht="20.05" customHeight="1">
      <c r="A327" t="s" s="10">
        <v>605</v>
      </c>
      <c r="B327" t="s" s="11">
        <v>33</v>
      </c>
      <c r="C327" s="18">
        <v>350</v>
      </c>
      <c r="D327" s="18">
        <v>25</v>
      </c>
      <c r="E327" s="18">
        <v>25</v>
      </c>
      <c r="F327" t="s" s="19">
        <v>11</v>
      </c>
      <c r="G327" s="18">
        <v>2</v>
      </c>
      <c r="H327" t="s" s="19">
        <v>606</v>
      </c>
      <c r="I327" s="12"/>
      <c r="J327" t="s" s="19">
        <v>35</v>
      </c>
      <c r="K327" s="18">
        <f>(D327*6)+(E327*4)</f>
        <v>250</v>
      </c>
      <c r="L327" s="12"/>
      <c r="M327" s="12"/>
      <c r="N327" s="12"/>
      <c r="O327" s="12"/>
      <c r="P327" s="12"/>
    </row>
    <row r="328" ht="20.05" customHeight="1">
      <c r="A328" t="s" s="10">
        <v>607</v>
      </c>
      <c r="B328" t="s" s="11">
        <v>33</v>
      </c>
      <c r="C328" s="18">
        <v>100</v>
      </c>
      <c r="D328" s="18">
        <v>10</v>
      </c>
      <c r="E328" s="18">
        <v>15</v>
      </c>
      <c r="F328" t="s" s="19">
        <v>11</v>
      </c>
      <c r="G328" s="18">
        <v>2</v>
      </c>
      <c r="H328" t="s" s="19">
        <v>39</v>
      </c>
      <c r="I328" s="12"/>
      <c r="J328" t="s" s="19">
        <v>35</v>
      </c>
      <c r="K328" s="18">
        <f>(D328*6)+(E328*4)</f>
        <v>120</v>
      </c>
      <c r="L328" s="12"/>
      <c r="M328" s="12"/>
      <c r="N328" s="12"/>
      <c r="O328" s="12"/>
      <c r="P328" s="12"/>
    </row>
    <row r="329" ht="56.05" customHeight="1">
      <c r="A329" t="s" s="10">
        <v>608</v>
      </c>
      <c r="B329" t="s" s="11">
        <v>33</v>
      </c>
      <c r="C329" s="18">
        <v>900</v>
      </c>
      <c r="D329" s="18">
        <v>45</v>
      </c>
      <c r="E329" s="18">
        <v>85</v>
      </c>
      <c r="F329" t="s" s="19">
        <v>11</v>
      </c>
      <c r="G329" s="18">
        <v>3</v>
      </c>
      <c r="H329" t="s" s="19">
        <v>609</v>
      </c>
      <c r="I329" s="12"/>
      <c r="J329" t="s" s="19">
        <v>35</v>
      </c>
      <c r="K329" s="18">
        <f>(D329*6)+(E329*4)</f>
        <v>610</v>
      </c>
      <c r="L329" t="s" s="19">
        <v>35</v>
      </c>
      <c r="M329" s="12"/>
      <c r="N329" s="12"/>
      <c r="O329" t="s" s="19">
        <v>35</v>
      </c>
      <c r="P329" s="19"/>
    </row>
    <row r="330" ht="20.05" customHeight="1">
      <c r="A330" t="s" s="10">
        <v>610</v>
      </c>
      <c r="B330" t="s" s="11">
        <v>33</v>
      </c>
      <c r="C330" s="18">
        <v>800</v>
      </c>
      <c r="D330" s="18">
        <v>50</v>
      </c>
      <c r="E330" s="18">
        <v>55</v>
      </c>
      <c r="F330" t="s" s="19">
        <v>11</v>
      </c>
      <c r="G330" s="18">
        <v>3</v>
      </c>
      <c r="H330" t="s" s="19">
        <v>611</v>
      </c>
      <c r="I330" s="12"/>
      <c r="J330" t="s" s="19">
        <v>35</v>
      </c>
      <c r="K330" s="18">
        <f>(D330*6)+(E330*4)</f>
        <v>520</v>
      </c>
      <c r="L330" t="s" s="19">
        <v>35</v>
      </c>
      <c r="M330" s="12"/>
      <c r="N330" s="12"/>
      <c r="O330" t="s" s="19">
        <v>35</v>
      </c>
      <c r="P330" s="12"/>
    </row>
    <row r="331" ht="20.05" customHeight="1">
      <c r="A331" t="s" s="10">
        <v>612</v>
      </c>
      <c r="B331" t="s" s="11">
        <v>33</v>
      </c>
      <c r="C331" s="18">
        <v>550</v>
      </c>
      <c r="D331" s="18">
        <v>65</v>
      </c>
      <c r="E331" s="18">
        <v>40</v>
      </c>
      <c r="F331" t="s" s="19">
        <v>11</v>
      </c>
      <c r="G331" s="18">
        <v>3</v>
      </c>
      <c r="H331" t="s" s="19">
        <v>39</v>
      </c>
      <c r="I331" s="12"/>
      <c r="J331" t="s" s="19">
        <v>35</v>
      </c>
      <c r="K331" s="18">
        <f>(D331*6)+(E331*4)</f>
        <v>550</v>
      </c>
      <c r="L331" t="s" s="19">
        <v>35</v>
      </c>
      <c r="M331" s="12"/>
      <c r="N331" s="12"/>
      <c r="O331" t="s" s="19">
        <v>35</v>
      </c>
      <c r="P331" s="12"/>
    </row>
    <row r="332" ht="20.05" customHeight="1">
      <c r="A332" t="s" s="10">
        <v>613</v>
      </c>
      <c r="B332" t="s" s="11">
        <v>33</v>
      </c>
      <c r="C332" s="18">
        <v>800</v>
      </c>
      <c r="D332" s="18">
        <v>70</v>
      </c>
      <c r="E332" s="18">
        <v>25</v>
      </c>
      <c r="F332" t="s" s="19">
        <v>11</v>
      </c>
      <c r="G332" s="18">
        <v>3</v>
      </c>
      <c r="H332" t="s" s="19">
        <v>614</v>
      </c>
      <c r="I332" s="12"/>
      <c r="J332" t="s" s="19">
        <v>35</v>
      </c>
      <c r="K332" s="18">
        <f>(D332*6)+(E332*4)</f>
        <v>520</v>
      </c>
      <c r="L332" s="12"/>
      <c r="M332" s="12"/>
      <c r="N332" s="12"/>
      <c r="O332" s="12"/>
      <c r="P332" s="12"/>
    </row>
    <row r="333" ht="44.05" customHeight="1">
      <c r="A333" t="s" s="10">
        <v>615</v>
      </c>
      <c r="B333" t="s" s="11">
        <v>33</v>
      </c>
      <c r="C333" s="18">
        <v>900</v>
      </c>
      <c r="D333" s="18">
        <v>80</v>
      </c>
      <c r="E333" s="18">
        <v>45</v>
      </c>
      <c r="F333" t="s" s="19">
        <v>11</v>
      </c>
      <c r="G333" s="18">
        <v>3</v>
      </c>
      <c r="H333" t="s" s="19">
        <v>616</v>
      </c>
      <c r="I333" s="12"/>
      <c r="J333" t="s" s="19">
        <v>35</v>
      </c>
      <c r="K333" s="18">
        <f>(D333*6)+(E333*4)</f>
        <v>660</v>
      </c>
      <c r="L333" s="12"/>
      <c r="M333" s="12"/>
      <c r="N333" s="12"/>
      <c r="O333" s="12"/>
      <c r="P333" s="12"/>
    </row>
    <row r="334" ht="20.05" customHeight="1">
      <c r="A334" t="s" s="10">
        <v>617</v>
      </c>
      <c r="B334" t="s" s="11">
        <v>33</v>
      </c>
      <c r="C334" s="18">
        <v>600</v>
      </c>
      <c r="D334" s="18">
        <v>60</v>
      </c>
      <c r="E334" s="18">
        <v>60</v>
      </c>
      <c r="F334" t="s" s="19">
        <v>11</v>
      </c>
      <c r="G334" s="18">
        <v>3</v>
      </c>
      <c r="H334" t="s" s="19">
        <v>39</v>
      </c>
      <c r="I334" s="12"/>
      <c r="J334" t="s" s="19">
        <v>35</v>
      </c>
      <c r="K334" s="18">
        <f>(D334*6)+(E334*4)</f>
        <v>600</v>
      </c>
      <c r="L334" s="12"/>
      <c r="M334" s="12"/>
      <c r="N334" s="12"/>
      <c r="O334" s="12"/>
      <c r="P334" s="12"/>
    </row>
    <row r="335" ht="20.05" customHeight="1">
      <c r="A335" t="s" s="10">
        <v>618</v>
      </c>
      <c r="B335" t="s" s="11">
        <v>33</v>
      </c>
      <c r="C335" s="18">
        <v>400</v>
      </c>
      <c r="D335" s="18">
        <v>0</v>
      </c>
      <c r="E335" s="18">
        <v>90</v>
      </c>
      <c r="F335" t="s" s="19">
        <v>11</v>
      </c>
      <c r="G335" s="18">
        <v>3</v>
      </c>
      <c r="H335" t="s" s="19">
        <v>619</v>
      </c>
      <c r="I335" s="12"/>
      <c r="J335" t="s" s="19">
        <v>35</v>
      </c>
      <c r="K335" s="18">
        <f>(D335*6)+(E335*4)</f>
        <v>360</v>
      </c>
      <c r="L335" s="12"/>
      <c r="M335" s="12"/>
      <c r="N335" s="12"/>
      <c r="O335" s="12"/>
      <c r="P335" s="12"/>
    </row>
    <row r="336" ht="20.05" customHeight="1">
      <c r="A336" t="s" s="10">
        <v>620</v>
      </c>
      <c r="B336" t="s" s="11">
        <v>33</v>
      </c>
      <c r="C336" s="18">
        <v>500</v>
      </c>
      <c r="D336" s="18">
        <v>40</v>
      </c>
      <c r="E336" s="18">
        <v>40</v>
      </c>
      <c r="F336" t="s" s="19">
        <v>11</v>
      </c>
      <c r="G336" s="18">
        <v>2</v>
      </c>
      <c r="H336" t="s" s="19">
        <v>621</v>
      </c>
      <c r="I336" s="12"/>
      <c r="J336" t="s" s="19">
        <v>35</v>
      </c>
      <c r="K336" s="18">
        <f>(D336*6)+(E336*4)</f>
        <v>400</v>
      </c>
      <c r="L336" s="12"/>
      <c r="M336" s="12"/>
      <c r="N336" s="12"/>
      <c r="O336" s="12"/>
      <c r="P336" s="12"/>
    </row>
    <row r="337" ht="32.05" customHeight="1">
      <c r="A337" t="s" s="10">
        <v>622</v>
      </c>
      <c r="B337" t="s" s="11">
        <v>33</v>
      </c>
      <c r="C337" s="18">
        <v>700</v>
      </c>
      <c r="D337" s="18">
        <v>75</v>
      </c>
      <c r="E337" s="18">
        <v>60</v>
      </c>
      <c r="F337" t="s" s="19">
        <v>11</v>
      </c>
      <c r="G337" s="18">
        <v>4</v>
      </c>
      <c r="H337" t="s" s="19">
        <v>623</v>
      </c>
      <c r="I337" s="12"/>
      <c r="J337" t="s" s="19">
        <v>35</v>
      </c>
      <c r="K337" s="18">
        <f>(D337*6)+(E337*4)</f>
        <v>690</v>
      </c>
      <c r="L337" s="12"/>
      <c r="M337" s="12"/>
      <c r="N337" s="12"/>
      <c r="O337" s="12"/>
      <c r="P337" s="12"/>
    </row>
    <row r="338" ht="56.05" customHeight="1">
      <c r="A338" t="s" s="10">
        <v>624</v>
      </c>
      <c r="B338" t="s" s="11">
        <v>33</v>
      </c>
      <c r="C338" s="18">
        <v>850</v>
      </c>
      <c r="D338" s="18">
        <v>80</v>
      </c>
      <c r="E338" s="18">
        <v>50</v>
      </c>
      <c r="F338" t="s" s="19">
        <v>11</v>
      </c>
      <c r="G338" s="18">
        <v>4</v>
      </c>
      <c r="H338" t="s" s="19">
        <v>625</v>
      </c>
      <c r="I338" s="12"/>
      <c r="J338" t="s" s="19">
        <v>35</v>
      </c>
      <c r="K338" s="18">
        <f>(D338*6)+(E338*4)</f>
        <v>680</v>
      </c>
      <c r="L338" s="12"/>
      <c r="M338" s="12"/>
      <c r="N338" s="12"/>
      <c r="O338" s="12"/>
      <c r="P338" s="12"/>
    </row>
    <row r="339" ht="20.05" customHeight="1">
      <c r="A339" t="s" s="10">
        <v>626</v>
      </c>
      <c r="B339" t="s" s="11">
        <v>33</v>
      </c>
      <c r="C339" s="18">
        <v>680</v>
      </c>
      <c r="D339" s="18">
        <v>65</v>
      </c>
      <c r="E339" s="18">
        <v>50</v>
      </c>
      <c r="F339" t="s" s="19">
        <v>11</v>
      </c>
      <c r="G339" s="18">
        <v>4</v>
      </c>
      <c r="H339" t="s" s="19">
        <v>627</v>
      </c>
      <c r="I339" s="12"/>
      <c r="J339" t="s" s="19">
        <v>35</v>
      </c>
      <c r="K339" s="18">
        <f>(D339*6)+(E339*4)</f>
        <v>590</v>
      </c>
      <c r="L339" s="12"/>
      <c r="M339" s="12"/>
      <c r="N339" s="12"/>
      <c r="O339" s="12"/>
      <c r="P339" s="12"/>
    </row>
    <row r="340" ht="44.05" customHeight="1">
      <c r="A340" t="s" s="10">
        <v>628</v>
      </c>
      <c r="B340" t="s" s="11">
        <v>33</v>
      </c>
      <c r="C340" s="18">
        <v>800</v>
      </c>
      <c r="D340" s="18">
        <v>45</v>
      </c>
      <c r="E340" s="18">
        <v>65</v>
      </c>
      <c r="F340" t="s" s="19">
        <v>11</v>
      </c>
      <c r="G340" s="18">
        <v>4</v>
      </c>
      <c r="H340" t="s" s="19">
        <v>629</v>
      </c>
      <c r="I340" s="12"/>
      <c r="J340" t="s" s="19">
        <v>35</v>
      </c>
      <c r="K340" s="18">
        <f>(D340*6)+(E340*4)</f>
        <v>530</v>
      </c>
      <c r="L340" t="s" s="19">
        <v>35</v>
      </c>
      <c r="M340" s="12"/>
      <c r="N340" s="12"/>
      <c r="O340" t="s" s="19">
        <v>35</v>
      </c>
      <c r="P340" s="12"/>
    </row>
    <row r="341" ht="32.05" customHeight="1">
      <c r="A341" t="s" s="10">
        <v>630</v>
      </c>
      <c r="B341" t="s" s="11">
        <v>33</v>
      </c>
      <c r="C341" s="18">
        <v>650</v>
      </c>
      <c r="D341" s="18">
        <v>60</v>
      </c>
      <c r="E341" s="18">
        <v>40</v>
      </c>
      <c r="F341" t="s" s="19">
        <v>11</v>
      </c>
      <c r="G341" s="18">
        <v>4</v>
      </c>
      <c r="H341" t="s" s="19">
        <v>631</v>
      </c>
      <c r="I341" s="12"/>
      <c r="J341" t="s" s="19">
        <v>35</v>
      </c>
      <c r="K341" s="18">
        <f>(D341*6)+(E341*4)</f>
        <v>520</v>
      </c>
      <c r="L341" s="12"/>
      <c r="M341" s="12"/>
      <c r="N341" s="12"/>
      <c r="O341" s="12"/>
      <c r="P341" s="12"/>
    </row>
    <row r="342" ht="32.05" customHeight="1">
      <c r="A342" t="s" s="10">
        <v>632</v>
      </c>
      <c r="B342" t="s" s="11">
        <v>33</v>
      </c>
      <c r="C342" s="18">
        <v>860</v>
      </c>
      <c r="D342" s="18">
        <v>80</v>
      </c>
      <c r="E342" s="18">
        <v>15</v>
      </c>
      <c r="F342" t="s" s="19">
        <v>11</v>
      </c>
      <c r="G342" s="18">
        <v>4</v>
      </c>
      <c r="H342" t="s" s="19">
        <v>633</v>
      </c>
      <c r="I342" s="12"/>
      <c r="J342" t="s" s="19">
        <v>35</v>
      </c>
      <c r="K342" s="18">
        <f>(D342*6)+(E342*4)</f>
        <v>540</v>
      </c>
      <c r="L342" s="12"/>
      <c r="M342" s="12"/>
      <c r="N342" s="12"/>
      <c r="O342" s="12"/>
      <c r="P342" s="12"/>
    </row>
    <row r="343" ht="20.05" customHeight="1">
      <c r="A343" t="s" s="10">
        <v>634</v>
      </c>
      <c r="B343" t="s" s="11">
        <v>33</v>
      </c>
      <c r="C343" s="18">
        <v>1400</v>
      </c>
      <c r="D343" s="18">
        <v>105</v>
      </c>
      <c r="E343" s="18">
        <v>90</v>
      </c>
      <c r="F343" t="s" s="19">
        <v>11</v>
      </c>
      <c r="G343" s="18">
        <v>5</v>
      </c>
      <c r="H343" t="s" s="19">
        <v>635</v>
      </c>
      <c r="I343" s="12"/>
      <c r="J343" t="s" s="19">
        <v>35</v>
      </c>
      <c r="K343" s="18">
        <f>(D343*6)+(E343*4)</f>
        <v>990</v>
      </c>
      <c r="L343" s="12"/>
      <c r="M343" s="12"/>
      <c r="N343" s="12"/>
      <c r="O343" s="12"/>
      <c r="P343" s="12"/>
    </row>
    <row r="344" ht="32.05" customHeight="1">
      <c r="A344" t="s" s="10">
        <v>636</v>
      </c>
      <c r="B344" t="s" s="11">
        <v>33</v>
      </c>
      <c r="C344" s="18">
        <v>1000</v>
      </c>
      <c r="D344" s="18">
        <v>80</v>
      </c>
      <c r="E344" s="18">
        <v>80</v>
      </c>
      <c r="F344" t="s" s="19">
        <v>11</v>
      </c>
      <c r="G344" s="18">
        <v>5</v>
      </c>
      <c r="H344" t="s" s="19">
        <v>637</v>
      </c>
      <c r="I344" s="12"/>
      <c r="J344" t="s" s="19">
        <v>35</v>
      </c>
      <c r="K344" s="18">
        <f>(D344*6)+(E344*4)</f>
        <v>800</v>
      </c>
      <c r="L344" s="12"/>
      <c r="M344" s="12"/>
      <c r="N344" s="12"/>
      <c r="O344" s="12"/>
      <c r="P344" s="12"/>
    </row>
    <row r="345" ht="56.05" customHeight="1">
      <c r="A345" t="s" s="10">
        <v>638</v>
      </c>
      <c r="B345" t="s" s="11">
        <v>33</v>
      </c>
      <c r="C345" s="18">
        <v>920</v>
      </c>
      <c r="D345" s="18">
        <v>25</v>
      </c>
      <c r="E345" s="18">
        <v>150</v>
      </c>
      <c r="F345" t="s" s="19">
        <v>11</v>
      </c>
      <c r="G345" s="18">
        <v>5</v>
      </c>
      <c r="H345" t="s" s="19">
        <v>639</v>
      </c>
      <c r="I345" s="12"/>
      <c r="J345" t="s" s="19">
        <v>35</v>
      </c>
      <c r="K345" s="18">
        <f>(D345*6)+(E345*4)</f>
        <v>750</v>
      </c>
      <c r="L345" s="12"/>
      <c r="M345" s="12"/>
      <c r="N345" s="12"/>
      <c r="O345" s="12"/>
      <c r="P345" s="12"/>
    </row>
    <row r="346" ht="32.05" customHeight="1">
      <c r="A346" t="s" s="10">
        <v>640</v>
      </c>
      <c r="B346" t="s" s="11">
        <v>33</v>
      </c>
      <c r="C346" s="18">
        <v>1200</v>
      </c>
      <c r="D346" s="18">
        <v>150</v>
      </c>
      <c r="E346" s="18">
        <v>75</v>
      </c>
      <c r="F346" t="s" s="19">
        <v>11</v>
      </c>
      <c r="G346" s="18">
        <v>5</v>
      </c>
      <c r="H346" t="s" s="19">
        <v>641</v>
      </c>
      <c r="I346" s="12"/>
      <c r="J346" t="s" s="19">
        <v>35</v>
      </c>
      <c r="K346" s="18">
        <f>(D346*6)+(E346*4)</f>
        <v>1200</v>
      </c>
      <c r="L346" s="12"/>
      <c r="M346" s="12"/>
      <c r="N346" s="12"/>
      <c r="O346" s="12"/>
      <c r="P346" s="12"/>
    </row>
    <row r="347" ht="20.05" customHeight="1">
      <c r="A347" t="s" s="10">
        <v>642</v>
      </c>
      <c r="B347" t="s" s="11">
        <v>33</v>
      </c>
      <c r="C347" s="18">
        <v>950</v>
      </c>
      <c r="D347" s="18">
        <v>40</v>
      </c>
      <c r="E347" s="18">
        <v>50</v>
      </c>
      <c r="F347" t="s" s="19">
        <v>11</v>
      </c>
      <c r="G347" s="18">
        <v>5</v>
      </c>
      <c r="H347" t="s" s="19">
        <v>643</v>
      </c>
      <c r="I347" s="12"/>
      <c r="J347" t="s" s="19">
        <v>35</v>
      </c>
      <c r="K347" s="18">
        <f>(D347*6)+(E347*4)</f>
        <v>440</v>
      </c>
      <c r="L347" s="12"/>
      <c r="M347" s="12"/>
      <c r="N347" s="12"/>
      <c r="O347" s="12"/>
      <c r="P347" s="12"/>
    </row>
    <row r="348" ht="32.05" customHeight="1">
      <c r="A348" t="s" s="10">
        <v>644</v>
      </c>
      <c r="B348" t="s" s="11">
        <v>33</v>
      </c>
      <c r="C348" s="18">
        <v>1500</v>
      </c>
      <c r="D348" s="18">
        <v>125</v>
      </c>
      <c r="E348" s="18">
        <v>100</v>
      </c>
      <c r="F348" t="s" s="19">
        <v>11</v>
      </c>
      <c r="G348" s="18">
        <v>5</v>
      </c>
      <c r="H348" t="s" s="19">
        <v>39</v>
      </c>
      <c r="I348" s="12"/>
      <c r="J348" t="s" s="19">
        <v>35</v>
      </c>
      <c r="K348" s="18">
        <f>(D348*6)+(E348*4)</f>
        <v>1150</v>
      </c>
      <c r="L348" s="12"/>
      <c r="M348" s="12"/>
      <c r="N348" s="12"/>
      <c r="O348" s="12"/>
      <c r="P348" s="12"/>
    </row>
    <row r="349" ht="32.05" customHeight="1">
      <c r="A349" t="s" s="10">
        <v>645</v>
      </c>
      <c r="B349" t="s" s="11">
        <v>33</v>
      </c>
      <c r="C349" s="18">
        <v>200</v>
      </c>
      <c r="D349" s="18">
        <v>25</v>
      </c>
      <c r="E349" s="18">
        <v>25</v>
      </c>
      <c r="F349" t="s" s="19">
        <v>13</v>
      </c>
      <c r="G349" s="18">
        <v>1</v>
      </c>
      <c r="H349" t="s" s="19">
        <v>646</v>
      </c>
      <c r="I349" s="12"/>
      <c r="J349" t="s" s="19">
        <v>35</v>
      </c>
      <c r="K349" s="18">
        <f>(D349*6)+(E349*4)</f>
        <v>250</v>
      </c>
      <c r="L349" t="s" s="19">
        <v>35</v>
      </c>
      <c r="M349" s="12"/>
      <c r="N349" s="12"/>
      <c r="O349" t="s" s="19">
        <v>35</v>
      </c>
      <c r="P349" s="12"/>
    </row>
    <row r="350" ht="32.05" customHeight="1">
      <c r="A350" t="s" s="10">
        <v>647</v>
      </c>
      <c r="B350" t="s" s="11">
        <v>33</v>
      </c>
      <c r="C350" s="18">
        <v>250</v>
      </c>
      <c r="D350" s="18">
        <v>20</v>
      </c>
      <c r="E350" s="18">
        <v>10</v>
      </c>
      <c r="F350" t="s" s="19">
        <v>13</v>
      </c>
      <c r="G350" s="18">
        <v>1</v>
      </c>
      <c r="H350" t="s" s="19">
        <v>648</v>
      </c>
      <c r="I350" s="12"/>
      <c r="J350" t="s" s="19">
        <v>35</v>
      </c>
      <c r="K350" s="18">
        <f>(D350*6)+(E350*4)</f>
        <v>160</v>
      </c>
      <c r="L350" t="s" s="19">
        <v>35</v>
      </c>
      <c r="M350" s="12"/>
      <c r="N350" t="s" s="19">
        <v>35</v>
      </c>
      <c r="O350" s="12"/>
      <c r="P350" s="12"/>
    </row>
    <row r="351" ht="32.05" customHeight="1">
      <c r="A351" t="s" s="10">
        <v>649</v>
      </c>
      <c r="B351" t="s" s="11">
        <v>33</v>
      </c>
      <c r="C351" s="18">
        <v>200</v>
      </c>
      <c r="D351" s="18">
        <v>20</v>
      </c>
      <c r="E351" s="18">
        <v>10</v>
      </c>
      <c r="F351" t="s" s="19">
        <v>13</v>
      </c>
      <c r="G351" s="18">
        <v>1</v>
      </c>
      <c r="H351" t="s" s="19">
        <v>650</v>
      </c>
      <c r="I351" s="12"/>
      <c r="J351" t="s" s="19">
        <v>35</v>
      </c>
      <c r="K351" s="18">
        <f>(D351*6)+(E351*4)</f>
        <v>160</v>
      </c>
      <c r="L351" t="s" s="19">
        <v>35</v>
      </c>
      <c r="M351" s="12"/>
      <c r="N351" s="12"/>
      <c r="O351" s="12"/>
      <c r="P351" t="s" s="19">
        <v>35</v>
      </c>
    </row>
    <row r="352" ht="32.05" customHeight="1">
      <c r="A352" t="s" s="10">
        <v>651</v>
      </c>
      <c r="B352" t="s" s="11">
        <v>33</v>
      </c>
      <c r="C352" s="18">
        <v>200</v>
      </c>
      <c r="D352" s="18">
        <v>15</v>
      </c>
      <c r="E352" s="18">
        <v>20</v>
      </c>
      <c r="F352" t="s" s="19">
        <v>13</v>
      </c>
      <c r="G352" s="18">
        <v>1</v>
      </c>
      <c r="H352" t="s" s="19">
        <v>652</v>
      </c>
      <c r="I352" s="12"/>
      <c r="J352" t="s" s="19">
        <v>35</v>
      </c>
      <c r="K352" s="18">
        <f>(D352*6)+(E352*4)</f>
        <v>170</v>
      </c>
      <c r="L352" t="s" s="19">
        <v>35</v>
      </c>
      <c r="M352" s="12"/>
      <c r="N352" s="12"/>
      <c r="O352" s="12"/>
      <c r="P352" t="s" s="19">
        <v>35</v>
      </c>
    </row>
    <row r="353" ht="20.05" customHeight="1">
      <c r="A353" t="s" s="10">
        <v>653</v>
      </c>
      <c r="B353" t="s" s="11">
        <v>33</v>
      </c>
      <c r="C353" s="18">
        <v>120</v>
      </c>
      <c r="D353" s="18">
        <v>20</v>
      </c>
      <c r="E353" s="18">
        <v>0</v>
      </c>
      <c r="F353" t="s" s="19">
        <v>13</v>
      </c>
      <c r="G353" s="18">
        <v>1</v>
      </c>
      <c r="H353" t="s" s="19">
        <v>654</v>
      </c>
      <c r="I353" s="12"/>
      <c r="J353" t="s" s="19">
        <v>35</v>
      </c>
      <c r="K353" s="18">
        <f>(D353*6)+(E353*4)</f>
        <v>120</v>
      </c>
      <c r="L353" s="12"/>
      <c r="M353" s="12"/>
      <c r="N353" s="12"/>
      <c r="O353" s="12"/>
      <c r="P353" s="12"/>
    </row>
    <row r="354" ht="20.05" customHeight="1">
      <c r="A354" t="s" s="10">
        <v>655</v>
      </c>
      <c r="B354" t="s" s="11">
        <v>33</v>
      </c>
      <c r="C354" s="18">
        <v>50</v>
      </c>
      <c r="D354" s="18">
        <v>10</v>
      </c>
      <c r="E354" s="18">
        <v>10</v>
      </c>
      <c r="F354" t="s" s="19">
        <v>13</v>
      </c>
      <c r="G354" s="18">
        <v>1</v>
      </c>
      <c r="H354" t="s" s="19">
        <v>656</v>
      </c>
      <c r="I354" s="12"/>
      <c r="J354" t="s" s="19">
        <v>35</v>
      </c>
      <c r="K354" s="18">
        <f>(D354*6)+(E354*4)</f>
        <v>100</v>
      </c>
      <c r="L354" s="12"/>
      <c r="M354" s="12"/>
      <c r="N354" s="12"/>
      <c r="O354" s="12"/>
      <c r="P354" s="12"/>
    </row>
    <row r="355" ht="20.05" customHeight="1">
      <c r="A355" t="s" s="10">
        <v>657</v>
      </c>
      <c r="B355" t="s" s="11">
        <v>33</v>
      </c>
      <c r="C355" s="18">
        <v>200</v>
      </c>
      <c r="D355" s="18">
        <v>15</v>
      </c>
      <c r="E355" s="18">
        <v>25</v>
      </c>
      <c r="F355" t="s" s="19">
        <v>13</v>
      </c>
      <c r="G355" s="18">
        <v>1</v>
      </c>
      <c r="H355" t="s" s="19">
        <v>39</v>
      </c>
      <c r="I355" s="12"/>
      <c r="J355" t="s" s="19">
        <v>35</v>
      </c>
      <c r="K355" s="18">
        <f>(D355*6)+(E355*4)</f>
        <v>190</v>
      </c>
      <c r="L355" s="12"/>
      <c r="M355" s="12"/>
      <c r="N355" s="12"/>
      <c r="O355" s="12"/>
      <c r="P355" s="12"/>
    </row>
    <row r="356" ht="20.05" customHeight="1">
      <c r="A356" t="s" s="10">
        <v>658</v>
      </c>
      <c r="B356" t="s" s="11">
        <v>33</v>
      </c>
      <c r="C356" s="18">
        <v>300</v>
      </c>
      <c r="D356" s="18">
        <v>25</v>
      </c>
      <c r="E356" s="18">
        <v>20</v>
      </c>
      <c r="F356" t="s" s="19">
        <v>13</v>
      </c>
      <c r="G356" s="18">
        <v>1</v>
      </c>
      <c r="H356" t="s" s="19">
        <v>39</v>
      </c>
      <c r="I356" s="12"/>
      <c r="J356" t="s" s="19">
        <v>35</v>
      </c>
      <c r="K356" s="18">
        <f>(D356*6)+(E356*4)</f>
        <v>230</v>
      </c>
      <c r="L356" s="12"/>
      <c r="M356" s="12"/>
      <c r="N356" s="12"/>
      <c r="O356" s="12"/>
      <c r="P356" s="12"/>
    </row>
    <row r="357" ht="32.05" customHeight="1">
      <c r="A357" t="s" s="10">
        <v>659</v>
      </c>
      <c r="B357" t="s" s="11">
        <v>33</v>
      </c>
      <c r="C357" s="18">
        <v>260</v>
      </c>
      <c r="D357" s="18">
        <v>25</v>
      </c>
      <c r="E357" s="18">
        <v>10</v>
      </c>
      <c r="F357" t="s" s="19">
        <v>13</v>
      </c>
      <c r="G357" s="18">
        <v>1</v>
      </c>
      <c r="H357" t="s" s="19">
        <v>660</v>
      </c>
      <c r="I357" s="12"/>
      <c r="J357" t="s" s="19">
        <v>35</v>
      </c>
      <c r="K357" s="18">
        <f>(D357*6)+(E357*4)</f>
        <v>190</v>
      </c>
      <c r="L357" s="12"/>
      <c r="M357" s="12"/>
      <c r="N357" s="12"/>
      <c r="O357" s="12"/>
      <c r="P357" s="12"/>
    </row>
    <row r="358" ht="20.05" customHeight="1">
      <c r="A358" t="s" s="10">
        <v>661</v>
      </c>
      <c r="B358" t="s" s="11">
        <v>33</v>
      </c>
      <c r="C358" s="18">
        <v>200</v>
      </c>
      <c r="D358" s="18">
        <v>0</v>
      </c>
      <c r="E358" s="18">
        <v>25</v>
      </c>
      <c r="F358" t="s" s="19">
        <v>13</v>
      </c>
      <c r="G358" s="18">
        <v>1</v>
      </c>
      <c r="H358" t="s" s="19">
        <v>662</v>
      </c>
      <c r="I358" s="12"/>
      <c r="J358" t="s" s="19">
        <v>35</v>
      </c>
      <c r="K358" s="18">
        <f>(D358*6)+(E358*4)</f>
        <v>100</v>
      </c>
      <c r="L358" s="12"/>
      <c r="M358" s="12"/>
      <c r="N358" s="12"/>
      <c r="O358" s="12"/>
      <c r="P358" s="12"/>
    </row>
    <row r="359" ht="20.05" customHeight="1">
      <c r="A359" t="s" s="10">
        <v>663</v>
      </c>
      <c r="B359" t="s" s="11">
        <v>33</v>
      </c>
      <c r="C359" s="18">
        <v>180</v>
      </c>
      <c r="D359" s="18">
        <v>10</v>
      </c>
      <c r="E359" s="18">
        <v>20</v>
      </c>
      <c r="F359" t="s" s="19">
        <v>13</v>
      </c>
      <c r="G359" s="18">
        <v>1</v>
      </c>
      <c r="H359" t="s" s="19">
        <v>664</v>
      </c>
      <c r="I359" s="12"/>
      <c r="J359" t="s" s="19">
        <v>35</v>
      </c>
      <c r="K359" s="18">
        <f>(D359*6)+(E359*4)</f>
        <v>140</v>
      </c>
      <c r="L359" s="12"/>
      <c r="M359" s="12"/>
      <c r="N359" s="12"/>
      <c r="O359" s="12"/>
      <c r="P359" s="12"/>
    </row>
    <row r="360" ht="20.05" customHeight="1">
      <c r="A360" t="s" s="10">
        <v>665</v>
      </c>
      <c r="B360" t="s" s="11">
        <v>33</v>
      </c>
      <c r="C360" s="18">
        <v>240</v>
      </c>
      <c r="D360" s="18">
        <v>20</v>
      </c>
      <c r="E360" s="18">
        <v>15</v>
      </c>
      <c r="F360" t="s" s="19">
        <v>13</v>
      </c>
      <c r="G360" s="18">
        <v>1</v>
      </c>
      <c r="H360" t="s" s="19">
        <v>666</v>
      </c>
      <c r="I360" s="12"/>
      <c r="J360" t="s" s="19">
        <v>35</v>
      </c>
      <c r="K360" s="18">
        <f>(D360*6)+(E360*4)</f>
        <v>180</v>
      </c>
      <c r="L360" s="12"/>
      <c r="M360" s="12"/>
      <c r="N360" s="12"/>
      <c r="O360" s="12"/>
      <c r="P360" s="12"/>
    </row>
    <row r="361" ht="20.05" customHeight="1">
      <c r="A361" t="s" s="10">
        <v>667</v>
      </c>
      <c r="B361" t="s" s="11">
        <v>33</v>
      </c>
      <c r="C361" s="18">
        <v>260</v>
      </c>
      <c r="D361" s="18">
        <v>20</v>
      </c>
      <c r="E361" s="18">
        <v>25</v>
      </c>
      <c r="F361" t="s" s="19">
        <v>13</v>
      </c>
      <c r="G361" s="18">
        <v>1</v>
      </c>
      <c r="H361" t="s" s="19">
        <v>668</v>
      </c>
      <c r="I361" s="12"/>
      <c r="J361" t="s" s="19">
        <v>35</v>
      </c>
      <c r="K361" s="18">
        <f>(D361*6)+(E361*4)</f>
        <v>220</v>
      </c>
      <c r="L361" s="12"/>
      <c r="M361" s="12"/>
      <c r="N361" s="12"/>
      <c r="O361" s="12"/>
      <c r="P361" s="12"/>
    </row>
    <row r="362" ht="38.7" customHeight="1">
      <c r="A362" t="s" s="10">
        <v>669</v>
      </c>
      <c r="B362" t="s" s="11">
        <v>33</v>
      </c>
      <c r="C362" s="18">
        <v>300</v>
      </c>
      <c r="D362" s="18">
        <v>10</v>
      </c>
      <c r="E362" s="18">
        <v>10</v>
      </c>
      <c r="F362" t="s" s="19">
        <v>13</v>
      </c>
      <c r="G362" s="18">
        <v>1</v>
      </c>
      <c r="H362" t="s" s="19">
        <v>670</v>
      </c>
      <c r="I362" s="12"/>
      <c r="J362" t="s" s="19">
        <v>35</v>
      </c>
      <c r="K362" s="18">
        <f>(D362*6)+(E362*4)</f>
        <v>100</v>
      </c>
      <c r="L362" s="12"/>
      <c r="M362" s="12"/>
      <c r="N362" s="12"/>
      <c r="O362" s="12"/>
      <c r="P362" s="12"/>
    </row>
    <row r="363" ht="20.05" customHeight="1">
      <c r="A363" t="s" s="10">
        <v>671</v>
      </c>
      <c r="B363" t="s" s="11">
        <v>33</v>
      </c>
      <c r="C363" s="18">
        <v>200</v>
      </c>
      <c r="D363" s="18">
        <v>15</v>
      </c>
      <c r="E363" s="18">
        <v>15</v>
      </c>
      <c r="F363" t="s" s="19">
        <v>13</v>
      </c>
      <c r="G363" s="18">
        <v>1</v>
      </c>
      <c r="H363" t="s" s="19">
        <v>672</v>
      </c>
      <c r="I363" s="12"/>
      <c r="J363" t="s" s="19">
        <v>35</v>
      </c>
      <c r="K363" s="18">
        <f>(D363*6)+(E363*4)</f>
        <v>150</v>
      </c>
      <c r="L363" s="12"/>
      <c r="M363" s="12"/>
      <c r="N363" s="12"/>
      <c r="O363" s="12"/>
      <c r="P363" s="12"/>
    </row>
    <row r="364" ht="32.05" customHeight="1">
      <c r="A364" t="s" s="10">
        <v>673</v>
      </c>
      <c r="B364" t="s" s="11">
        <v>33</v>
      </c>
      <c r="C364" s="18">
        <v>400</v>
      </c>
      <c r="D364" s="18">
        <v>20</v>
      </c>
      <c r="E364" s="18">
        <v>20</v>
      </c>
      <c r="F364" t="s" s="19">
        <v>13</v>
      </c>
      <c r="G364" s="18">
        <v>1</v>
      </c>
      <c r="H364" t="s" s="19">
        <v>674</v>
      </c>
      <c r="I364" s="12"/>
      <c r="J364" t="s" s="19">
        <v>35</v>
      </c>
      <c r="K364" s="18">
        <f>(D364*6)+(E364*4)</f>
        <v>200</v>
      </c>
      <c r="L364" s="12"/>
      <c r="M364" s="12"/>
      <c r="N364" s="12"/>
      <c r="O364" s="12"/>
      <c r="P364" s="12"/>
    </row>
    <row r="365" ht="32.05" customHeight="1">
      <c r="A365" t="s" s="10">
        <v>675</v>
      </c>
      <c r="B365" t="s" s="11">
        <v>33</v>
      </c>
      <c r="C365" s="18">
        <v>300</v>
      </c>
      <c r="D365" s="18">
        <v>30</v>
      </c>
      <c r="E365" s="18">
        <v>20</v>
      </c>
      <c r="F365" t="s" s="19">
        <v>13</v>
      </c>
      <c r="G365" s="18">
        <v>2</v>
      </c>
      <c r="H365" t="s" s="19">
        <v>676</v>
      </c>
      <c r="I365" s="12"/>
      <c r="J365" t="s" s="19">
        <v>35</v>
      </c>
      <c r="K365" s="18">
        <f>(D365*6)+(E365*4)</f>
        <v>260</v>
      </c>
      <c r="L365" t="s" s="19">
        <v>35</v>
      </c>
      <c r="M365" s="12"/>
      <c r="N365" s="12"/>
      <c r="O365" t="s" s="19">
        <v>35</v>
      </c>
      <c r="P365" s="12"/>
    </row>
    <row r="366" ht="32.05" customHeight="1">
      <c r="A366" t="s" s="10">
        <v>677</v>
      </c>
      <c r="B366" t="s" s="11">
        <v>33</v>
      </c>
      <c r="C366" s="18">
        <v>300</v>
      </c>
      <c r="D366" s="18">
        <v>35</v>
      </c>
      <c r="E366" s="18">
        <v>25</v>
      </c>
      <c r="F366" t="s" s="19">
        <v>13</v>
      </c>
      <c r="G366" s="18">
        <v>2</v>
      </c>
      <c r="H366" t="s" s="19">
        <v>678</v>
      </c>
      <c r="I366" s="12"/>
      <c r="J366" t="s" s="19">
        <v>35</v>
      </c>
      <c r="K366" s="18">
        <f>(D366*6)+(E366*4)</f>
        <v>310</v>
      </c>
      <c r="L366" t="s" s="19">
        <v>35</v>
      </c>
      <c r="M366" s="12"/>
      <c r="N366" t="s" s="19">
        <v>35</v>
      </c>
      <c r="O366" s="12"/>
      <c r="P366" s="12"/>
    </row>
    <row r="367" ht="44.05" customHeight="1">
      <c r="A367" t="s" s="10">
        <v>679</v>
      </c>
      <c r="B367" t="s" s="11">
        <v>33</v>
      </c>
      <c r="C367" s="18">
        <v>300</v>
      </c>
      <c r="D367" s="18">
        <v>30</v>
      </c>
      <c r="E367" s="18">
        <v>20</v>
      </c>
      <c r="F367" t="s" s="19">
        <v>13</v>
      </c>
      <c r="G367" s="18">
        <v>2</v>
      </c>
      <c r="H367" t="s" s="19">
        <v>680</v>
      </c>
      <c r="I367" s="12"/>
      <c r="J367" t="s" s="19">
        <v>35</v>
      </c>
      <c r="K367" s="18">
        <f>(D367*6)+(E367*4)</f>
        <v>260</v>
      </c>
      <c r="L367" t="s" s="19">
        <v>35</v>
      </c>
      <c r="M367" s="12"/>
      <c r="N367" s="12"/>
      <c r="O367" t="s" s="19">
        <v>35</v>
      </c>
      <c r="P367" s="12"/>
    </row>
    <row r="368" ht="20.05" customHeight="1">
      <c r="A368" t="s" s="10">
        <v>681</v>
      </c>
      <c r="B368" t="s" s="11">
        <v>33</v>
      </c>
      <c r="C368" s="18">
        <v>200</v>
      </c>
      <c r="D368" s="18">
        <v>10</v>
      </c>
      <c r="E368" s="18">
        <v>15</v>
      </c>
      <c r="F368" t="s" s="19">
        <v>13</v>
      </c>
      <c r="G368" s="18">
        <v>2</v>
      </c>
      <c r="H368" t="s" s="19">
        <v>682</v>
      </c>
      <c r="I368" s="12"/>
      <c r="J368" t="s" s="19">
        <v>35</v>
      </c>
      <c r="K368" s="18">
        <f>(D368*6)+(E368*4)</f>
        <v>120</v>
      </c>
      <c r="L368" s="12"/>
      <c r="M368" s="12"/>
      <c r="N368" s="12"/>
      <c r="O368" s="12"/>
      <c r="P368" s="12"/>
    </row>
    <row r="369" ht="44.05" customHeight="1">
      <c r="A369" t="s" s="10">
        <v>683</v>
      </c>
      <c r="B369" t="s" s="11">
        <v>33</v>
      </c>
      <c r="C369" s="18">
        <v>800</v>
      </c>
      <c r="D369" s="18">
        <v>15</v>
      </c>
      <c r="E369" s="18">
        <v>15</v>
      </c>
      <c r="F369" t="s" s="19">
        <v>13</v>
      </c>
      <c r="G369" s="18">
        <v>2</v>
      </c>
      <c r="H369" t="s" s="19">
        <v>684</v>
      </c>
      <c r="I369" s="12"/>
      <c r="J369" t="s" s="19">
        <v>35</v>
      </c>
      <c r="K369" s="18">
        <f>(D369*6)+(E369*4)</f>
        <v>150</v>
      </c>
      <c r="L369" s="12"/>
      <c r="M369" s="12"/>
      <c r="N369" s="12"/>
      <c r="O369" s="12"/>
      <c r="P369" s="12"/>
    </row>
    <row r="370" ht="20.05" customHeight="1">
      <c r="A370" t="s" s="10">
        <v>685</v>
      </c>
      <c r="B370" t="s" s="11">
        <v>33</v>
      </c>
      <c r="C370" s="18">
        <v>400</v>
      </c>
      <c r="D370" s="18">
        <v>30</v>
      </c>
      <c r="E370" s="18">
        <v>25</v>
      </c>
      <c r="F370" t="s" s="19">
        <v>13</v>
      </c>
      <c r="G370" s="18">
        <v>2</v>
      </c>
      <c r="H370" t="s" s="19">
        <v>686</v>
      </c>
      <c r="I370" s="12"/>
      <c r="J370" t="s" s="19">
        <v>35</v>
      </c>
      <c r="K370" s="18">
        <f>(D370*6)+(E370*4)</f>
        <v>280</v>
      </c>
      <c r="L370" s="12"/>
      <c r="M370" s="12"/>
      <c r="N370" s="12"/>
      <c r="O370" s="12"/>
      <c r="P370" s="12"/>
    </row>
    <row r="371" ht="20.05" customHeight="1">
      <c r="A371" t="s" s="10">
        <v>687</v>
      </c>
      <c r="B371" t="s" s="11">
        <v>33</v>
      </c>
      <c r="C371" s="18">
        <v>300</v>
      </c>
      <c r="D371" s="18">
        <v>55</v>
      </c>
      <c r="E371" s="18">
        <v>0</v>
      </c>
      <c r="F371" t="s" s="19">
        <v>13</v>
      </c>
      <c r="G371" s="18">
        <v>2</v>
      </c>
      <c r="H371" t="s" s="19">
        <v>688</v>
      </c>
      <c r="I371" s="12"/>
      <c r="J371" t="s" s="19">
        <v>35</v>
      </c>
      <c r="K371" s="18">
        <f>(D371*6)+(E371*4)</f>
        <v>330</v>
      </c>
      <c r="L371" s="12"/>
      <c r="M371" s="12"/>
      <c r="N371" s="12"/>
      <c r="O371" s="12"/>
      <c r="P371" s="12"/>
    </row>
    <row r="372" ht="32.05" customHeight="1">
      <c r="A372" t="s" s="10">
        <v>689</v>
      </c>
      <c r="B372" t="s" s="11">
        <v>33</v>
      </c>
      <c r="C372" s="18">
        <v>400</v>
      </c>
      <c r="D372" s="18">
        <v>40</v>
      </c>
      <c r="E372" s="18">
        <v>30</v>
      </c>
      <c r="F372" t="s" s="19">
        <v>13</v>
      </c>
      <c r="G372" s="18">
        <v>2</v>
      </c>
      <c r="H372" t="s" s="19">
        <v>648</v>
      </c>
      <c r="I372" s="12"/>
      <c r="J372" t="s" s="19">
        <v>35</v>
      </c>
      <c r="K372" s="18">
        <f>(D372*6)+(E372*4)</f>
        <v>360</v>
      </c>
      <c r="L372" t="s" s="19">
        <v>35</v>
      </c>
      <c r="M372" s="12"/>
      <c r="N372" s="12"/>
      <c r="O372" s="12"/>
      <c r="P372" t="s" s="19">
        <v>35</v>
      </c>
    </row>
    <row r="373" ht="32.05" customHeight="1">
      <c r="A373" t="s" s="10">
        <v>690</v>
      </c>
      <c r="B373" t="s" s="11">
        <v>33</v>
      </c>
      <c r="C373" s="18">
        <v>500</v>
      </c>
      <c r="D373" s="18">
        <v>20</v>
      </c>
      <c r="E373" s="18">
        <v>30</v>
      </c>
      <c r="F373" t="s" s="19">
        <v>13</v>
      </c>
      <c r="G373" s="18">
        <v>2</v>
      </c>
      <c r="H373" t="s" s="19">
        <v>691</v>
      </c>
      <c r="I373" s="12"/>
      <c r="J373" t="s" s="19">
        <v>35</v>
      </c>
      <c r="K373" s="18">
        <f>(D373*6)+(E373*4)</f>
        <v>240</v>
      </c>
      <c r="L373" s="12"/>
      <c r="M373" s="12"/>
      <c r="N373" s="12"/>
      <c r="O373" s="12"/>
      <c r="P373" s="12"/>
    </row>
    <row r="374" ht="32.05" customHeight="1">
      <c r="A374" t="s" s="10">
        <v>692</v>
      </c>
      <c r="B374" t="s" s="11">
        <v>33</v>
      </c>
      <c r="C374" s="18">
        <v>300</v>
      </c>
      <c r="D374" s="18">
        <v>15</v>
      </c>
      <c r="E374" s="18">
        <v>10</v>
      </c>
      <c r="F374" t="s" s="19">
        <v>13</v>
      </c>
      <c r="G374" s="18">
        <v>2</v>
      </c>
      <c r="H374" t="s" s="19">
        <v>693</v>
      </c>
      <c r="I374" s="12"/>
      <c r="J374" t="s" s="19">
        <v>35</v>
      </c>
      <c r="K374" s="18">
        <f>(D374*6)+(E374*4)</f>
        <v>130</v>
      </c>
      <c r="L374" s="12"/>
      <c r="M374" s="12"/>
      <c r="N374" s="12"/>
      <c r="O374" s="12"/>
      <c r="P374" s="12"/>
    </row>
    <row r="375" ht="56.05" customHeight="1">
      <c r="A375" t="s" s="10">
        <v>694</v>
      </c>
      <c r="B375" t="s" s="11">
        <v>33</v>
      </c>
      <c r="C375" s="18">
        <v>900</v>
      </c>
      <c r="D375" s="18">
        <v>70</v>
      </c>
      <c r="E375" s="18">
        <v>40</v>
      </c>
      <c r="F375" t="s" s="19">
        <v>13</v>
      </c>
      <c r="G375" s="18">
        <v>3</v>
      </c>
      <c r="H375" t="s" s="19">
        <v>695</v>
      </c>
      <c r="I375" s="12"/>
      <c r="J375" t="s" s="19">
        <v>35</v>
      </c>
      <c r="K375" s="18">
        <f>(D375*6)+(E375*4)</f>
        <v>580</v>
      </c>
      <c r="L375" t="s" s="19">
        <v>35</v>
      </c>
      <c r="M375" s="12"/>
      <c r="N375" s="12"/>
      <c r="O375" s="12"/>
      <c r="P375" t="s" s="19">
        <v>35</v>
      </c>
    </row>
    <row r="376" ht="44.05" customHeight="1">
      <c r="A376" t="s" s="10">
        <v>696</v>
      </c>
      <c r="B376" t="s" s="11">
        <v>33</v>
      </c>
      <c r="C376" s="18">
        <v>720</v>
      </c>
      <c r="D376" s="18">
        <v>65</v>
      </c>
      <c r="E376" s="18">
        <v>50</v>
      </c>
      <c r="F376" t="s" s="19">
        <v>13</v>
      </c>
      <c r="G376" s="18">
        <v>3</v>
      </c>
      <c r="H376" t="s" s="19">
        <v>697</v>
      </c>
      <c r="I376" s="12"/>
      <c r="J376" t="s" s="19">
        <v>35</v>
      </c>
      <c r="K376" s="18">
        <f>(D376*6)+(E376*4)</f>
        <v>590</v>
      </c>
      <c r="L376" t="s" s="19">
        <v>35</v>
      </c>
      <c r="M376" s="12"/>
      <c r="N376" s="12"/>
      <c r="O376" s="12"/>
      <c r="P376" t="s" s="19">
        <v>35</v>
      </c>
    </row>
    <row r="377" ht="56.05" customHeight="1">
      <c r="A377" t="s" s="10">
        <v>698</v>
      </c>
      <c r="B377" t="s" s="11">
        <v>33</v>
      </c>
      <c r="C377" s="18">
        <v>600</v>
      </c>
      <c r="D377" s="18">
        <v>25</v>
      </c>
      <c r="E377" s="18">
        <v>60</v>
      </c>
      <c r="F377" t="s" s="19">
        <v>13</v>
      </c>
      <c r="G377" s="18">
        <v>3</v>
      </c>
      <c r="H377" t="s" s="19">
        <v>699</v>
      </c>
      <c r="I377" s="12"/>
      <c r="J377" t="s" s="19">
        <v>35</v>
      </c>
      <c r="K377" s="18">
        <f>(D377*6)+(E377*4)</f>
        <v>390</v>
      </c>
      <c r="L377" s="12"/>
      <c r="M377" s="12"/>
      <c r="N377" s="12"/>
      <c r="O377" s="12"/>
      <c r="P377" s="12"/>
    </row>
    <row r="378" ht="20.05" customHeight="1">
      <c r="A378" t="s" s="10">
        <v>700</v>
      </c>
      <c r="B378" t="s" s="11">
        <v>33</v>
      </c>
      <c r="C378" s="18">
        <v>820</v>
      </c>
      <c r="D378" s="18">
        <v>65</v>
      </c>
      <c r="E378" s="18">
        <v>50</v>
      </c>
      <c r="F378" t="s" s="19">
        <v>13</v>
      </c>
      <c r="G378" s="18">
        <v>3</v>
      </c>
      <c r="H378" t="s" s="19">
        <v>701</v>
      </c>
      <c r="I378" s="12"/>
      <c r="J378" t="s" s="19">
        <v>35</v>
      </c>
      <c r="K378" s="18">
        <f>(D378*6)+(E378*4)</f>
        <v>590</v>
      </c>
      <c r="L378" s="12"/>
      <c r="M378" s="12"/>
      <c r="N378" s="12"/>
      <c r="O378" s="12"/>
      <c r="P378" s="12"/>
    </row>
    <row r="379" ht="20.05" customHeight="1">
      <c r="A379" t="s" s="10">
        <v>702</v>
      </c>
      <c r="B379" t="s" s="11">
        <v>33</v>
      </c>
      <c r="C379" s="18">
        <v>800</v>
      </c>
      <c r="D379" s="18">
        <v>20</v>
      </c>
      <c r="E379" s="18">
        <v>30</v>
      </c>
      <c r="F379" t="s" s="19">
        <v>13</v>
      </c>
      <c r="G379" s="18">
        <v>2</v>
      </c>
      <c r="H379" t="s" s="19">
        <v>703</v>
      </c>
      <c r="I379" s="12"/>
      <c r="J379" t="s" s="19">
        <v>35</v>
      </c>
      <c r="K379" s="18">
        <f>(D379*6)+(E379*4)</f>
        <v>240</v>
      </c>
      <c r="L379" s="12"/>
      <c r="M379" s="12"/>
      <c r="N379" s="12"/>
      <c r="O379" s="12"/>
      <c r="P379" s="12"/>
    </row>
    <row r="380" ht="33.5" customHeight="1">
      <c r="A380" t="s" s="10">
        <v>704</v>
      </c>
      <c r="B380" t="s" s="11">
        <v>33</v>
      </c>
      <c r="C380" s="18">
        <v>600</v>
      </c>
      <c r="D380" s="18">
        <v>45</v>
      </c>
      <c r="E380" s="18">
        <v>55</v>
      </c>
      <c r="F380" t="s" s="19">
        <v>13</v>
      </c>
      <c r="G380" s="18">
        <v>3</v>
      </c>
      <c r="H380" t="s" s="19">
        <v>705</v>
      </c>
      <c r="I380" s="12"/>
      <c r="J380" t="s" s="19">
        <v>35</v>
      </c>
      <c r="K380" s="18">
        <f>(D380*6)+(E380*4)</f>
        <v>490</v>
      </c>
      <c r="L380" s="12"/>
      <c r="M380" s="12"/>
      <c r="N380" s="12"/>
      <c r="O380" s="12"/>
      <c r="P380" s="12"/>
    </row>
    <row r="381" ht="56.05" customHeight="1">
      <c r="A381" t="s" s="10">
        <v>706</v>
      </c>
      <c r="B381" t="s" s="11">
        <v>33</v>
      </c>
      <c r="C381" s="18">
        <v>860</v>
      </c>
      <c r="D381" s="18">
        <v>50</v>
      </c>
      <c r="E381" s="18">
        <v>50</v>
      </c>
      <c r="F381" t="s" s="19">
        <v>13</v>
      </c>
      <c r="G381" s="18">
        <v>3</v>
      </c>
      <c r="H381" t="s" s="19">
        <v>707</v>
      </c>
      <c r="I381" s="12"/>
      <c r="J381" t="s" s="19">
        <v>35</v>
      </c>
      <c r="K381" s="18">
        <f>(D381*6)+(E381*4)</f>
        <v>500</v>
      </c>
      <c r="L381" s="12"/>
      <c r="M381" s="12"/>
      <c r="N381" s="12"/>
      <c r="O381" s="12"/>
      <c r="P381" s="12"/>
    </row>
    <row r="382" ht="32.05" customHeight="1">
      <c r="A382" t="s" s="10">
        <v>708</v>
      </c>
      <c r="B382" t="s" s="11">
        <v>33</v>
      </c>
      <c r="C382" s="18">
        <v>580</v>
      </c>
      <c r="D382" s="18">
        <v>55</v>
      </c>
      <c r="E382" s="18">
        <v>35</v>
      </c>
      <c r="F382" t="s" s="19">
        <v>13</v>
      </c>
      <c r="G382" s="18">
        <v>3</v>
      </c>
      <c r="H382" t="s" s="19">
        <v>709</v>
      </c>
      <c r="I382" s="12"/>
      <c r="J382" t="s" s="19">
        <v>35</v>
      </c>
      <c r="K382" s="18">
        <f>(D382*6)+(E382*4)</f>
        <v>470</v>
      </c>
      <c r="L382" s="12"/>
      <c r="M382" s="12"/>
      <c r="N382" s="12"/>
      <c r="O382" s="12"/>
      <c r="P382" s="12"/>
    </row>
    <row r="383" ht="20.05" customHeight="1">
      <c r="A383" t="s" s="10">
        <v>710</v>
      </c>
      <c r="B383" t="s" s="11">
        <v>33</v>
      </c>
      <c r="C383" s="18">
        <v>350</v>
      </c>
      <c r="D383" s="18">
        <v>20</v>
      </c>
      <c r="E383" s="18">
        <v>20</v>
      </c>
      <c r="F383" t="s" s="19">
        <v>13</v>
      </c>
      <c r="G383" s="18">
        <v>3</v>
      </c>
      <c r="H383" t="s" s="19">
        <v>711</v>
      </c>
      <c r="I383" s="12"/>
      <c r="J383" t="s" s="19">
        <v>35</v>
      </c>
      <c r="K383" s="18">
        <f>(D383*6)+(E383*4)</f>
        <v>200</v>
      </c>
      <c r="L383" t="s" s="19">
        <v>35</v>
      </c>
      <c r="M383" s="12"/>
      <c r="N383" s="12"/>
      <c r="O383" s="12"/>
      <c r="P383" t="s" s="19">
        <v>35</v>
      </c>
    </row>
    <row r="384" ht="20.05" customHeight="1">
      <c r="A384" t="s" s="10">
        <v>712</v>
      </c>
      <c r="B384" t="s" s="11">
        <v>33</v>
      </c>
      <c r="C384" s="18">
        <v>500</v>
      </c>
      <c r="D384" s="18">
        <v>30</v>
      </c>
      <c r="E384" s="18">
        <v>20</v>
      </c>
      <c r="F384" t="s" s="19">
        <v>13</v>
      </c>
      <c r="G384" s="18">
        <v>3</v>
      </c>
      <c r="H384" t="s" s="19">
        <v>713</v>
      </c>
      <c r="I384" s="12"/>
      <c r="J384" t="s" s="19">
        <v>35</v>
      </c>
      <c r="K384" s="18">
        <f>(D384*6)+(E384*4)</f>
        <v>260</v>
      </c>
      <c r="L384" t="s" s="19">
        <v>35</v>
      </c>
      <c r="M384" s="12"/>
      <c r="N384" s="12"/>
      <c r="O384" s="12"/>
      <c r="P384" t="s" s="19">
        <v>35</v>
      </c>
    </row>
    <row r="385" ht="20.05" customHeight="1">
      <c r="A385" t="s" s="10">
        <v>714</v>
      </c>
      <c r="B385" t="s" s="11">
        <v>33</v>
      </c>
      <c r="C385" s="18">
        <v>800</v>
      </c>
      <c r="D385" s="18">
        <v>105</v>
      </c>
      <c r="E385" s="18">
        <v>0</v>
      </c>
      <c r="F385" t="s" s="19">
        <v>13</v>
      </c>
      <c r="G385" s="18">
        <v>4</v>
      </c>
      <c r="H385" t="s" s="19">
        <v>715</v>
      </c>
      <c r="I385" s="12"/>
      <c r="J385" t="s" s="19">
        <v>35</v>
      </c>
      <c r="K385" s="18">
        <f>(D385*6)+(E385*4)</f>
        <v>630</v>
      </c>
      <c r="L385" s="12"/>
      <c r="M385" s="12"/>
      <c r="N385" s="12"/>
      <c r="O385" s="12"/>
      <c r="P385" s="12"/>
    </row>
    <row r="386" ht="20.05" customHeight="1">
      <c r="A386" t="s" s="10">
        <v>716</v>
      </c>
      <c r="B386" t="s" s="11">
        <v>33</v>
      </c>
      <c r="C386" s="18">
        <v>1200</v>
      </c>
      <c r="D386" s="18">
        <v>150</v>
      </c>
      <c r="E386" s="18">
        <v>100</v>
      </c>
      <c r="F386" t="s" s="19">
        <v>13</v>
      </c>
      <c r="G386" s="18">
        <v>4</v>
      </c>
      <c r="H386" t="s" s="19">
        <v>646</v>
      </c>
      <c r="I386" s="12"/>
      <c r="J386" t="s" s="19">
        <v>35</v>
      </c>
      <c r="K386" s="18">
        <f>(D386*6)+(E386*4)</f>
        <v>1300</v>
      </c>
      <c r="L386" s="12"/>
      <c r="M386" s="12"/>
      <c r="N386" s="12"/>
      <c r="O386" s="12"/>
      <c r="P386" s="12"/>
    </row>
    <row r="387" ht="32.05" customHeight="1">
      <c r="A387" t="s" s="10">
        <v>717</v>
      </c>
      <c r="B387" t="s" s="11">
        <v>33</v>
      </c>
      <c r="C387" s="18">
        <v>1000</v>
      </c>
      <c r="D387" s="18">
        <v>80</v>
      </c>
      <c r="E387" s="18">
        <v>45</v>
      </c>
      <c r="F387" t="s" s="19">
        <v>13</v>
      </c>
      <c r="G387" s="18">
        <v>4</v>
      </c>
      <c r="H387" t="s" s="19">
        <v>718</v>
      </c>
      <c r="I387" s="12"/>
      <c r="J387" t="s" s="19">
        <v>35</v>
      </c>
      <c r="K387" s="18">
        <f>(D387*6)+(E387*4)</f>
        <v>660</v>
      </c>
      <c r="L387" t="s" s="19">
        <v>35</v>
      </c>
      <c r="M387" s="12"/>
      <c r="N387" s="12"/>
      <c r="O387" t="s" s="19">
        <v>35</v>
      </c>
      <c r="P387" s="12"/>
    </row>
    <row r="388" ht="32.05" customHeight="1">
      <c r="A388" t="s" s="10">
        <v>719</v>
      </c>
      <c r="B388" t="s" s="11">
        <v>33</v>
      </c>
      <c r="C388" s="18">
        <v>950</v>
      </c>
      <c r="D388" s="18">
        <v>85</v>
      </c>
      <c r="E388" s="18">
        <v>70</v>
      </c>
      <c r="F388" t="s" s="19">
        <v>13</v>
      </c>
      <c r="G388" s="18">
        <v>4</v>
      </c>
      <c r="H388" t="s" s="19">
        <v>720</v>
      </c>
      <c r="I388" s="12"/>
      <c r="J388" t="s" s="19">
        <v>35</v>
      </c>
      <c r="K388" s="18">
        <f>(D388*6)+(E388*4)</f>
        <v>790</v>
      </c>
      <c r="L388" s="12"/>
      <c r="M388" s="12"/>
      <c r="N388" s="12"/>
      <c r="O388" s="12"/>
      <c r="P388" s="12"/>
    </row>
    <row r="389" ht="38.7" customHeight="1">
      <c r="A389" t="s" s="10">
        <v>721</v>
      </c>
      <c r="B389" t="s" s="11">
        <v>33</v>
      </c>
      <c r="C389" s="18">
        <v>1050</v>
      </c>
      <c r="D389" s="18">
        <v>0</v>
      </c>
      <c r="E389" s="18">
        <v>0</v>
      </c>
      <c r="F389" t="s" s="19">
        <v>13</v>
      </c>
      <c r="G389" s="18">
        <v>4</v>
      </c>
      <c r="H389" t="s" s="19">
        <v>722</v>
      </c>
      <c r="I389" s="12"/>
      <c r="J389" t="s" s="19">
        <v>35</v>
      </c>
      <c r="K389" s="18">
        <f>(D389*6)+(E389*4)</f>
        <v>0</v>
      </c>
      <c r="L389" s="12"/>
      <c r="M389" s="12"/>
      <c r="N389" s="12"/>
      <c r="O389" s="12"/>
      <c r="P389" s="12"/>
    </row>
    <row r="390" ht="20.05" customHeight="1">
      <c r="A390" t="s" s="10">
        <v>723</v>
      </c>
      <c r="B390" t="s" s="11">
        <v>33</v>
      </c>
      <c r="C390" s="18">
        <v>1000</v>
      </c>
      <c r="D390" s="18">
        <v>60</v>
      </c>
      <c r="E390" s="18">
        <v>60</v>
      </c>
      <c r="F390" t="s" s="19">
        <v>13</v>
      </c>
      <c r="G390" s="18">
        <v>4</v>
      </c>
      <c r="H390" t="s" s="19">
        <v>724</v>
      </c>
      <c r="I390" s="12"/>
      <c r="J390" t="s" s="19">
        <v>35</v>
      </c>
      <c r="K390" s="18">
        <f>(D390*6)+(E390*4)</f>
        <v>600</v>
      </c>
      <c r="L390" s="12"/>
      <c r="M390" s="12"/>
      <c r="N390" s="12"/>
      <c r="O390" s="12"/>
      <c r="P390" s="12"/>
    </row>
    <row r="391" ht="44.05" customHeight="1">
      <c r="A391" t="s" s="10">
        <v>725</v>
      </c>
      <c r="B391" t="s" s="11">
        <v>33</v>
      </c>
      <c r="C391" s="18">
        <v>1100</v>
      </c>
      <c r="D391" s="18">
        <v>100</v>
      </c>
      <c r="E391" s="18">
        <v>80</v>
      </c>
      <c r="F391" t="s" s="19">
        <v>13</v>
      </c>
      <c r="G391" s="18">
        <v>5</v>
      </c>
      <c r="H391" t="s" s="19">
        <v>726</v>
      </c>
      <c r="I391" s="12"/>
      <c r="J391" t="s" s="19">
        <v>35</v>
      </c>
      <c r="K391" s="18">
        <f>(D391*6)+(E391*4)</f>
        <v>920</v>
      </c>
      <c r="L391" t="s" s="19">
        <v>35</v>
      </c>
      <c r="M391" s="12"/>
      <c r="N391" s="12"/>
      <c r="O391" s="12"/>
      <c r="P391" t="s" s="19">
        <v>35</v>
      </c>
    </row>
    <row r="392" ht="20.05" customHeight="1">
      <c r="A392" t="s" s="10">
        <v>727</v>
      </c>
      <c r="B392" t="s" s="11">
        <v>33</v>
      </c>
      <c r="C392" s="18">
        <v>900</v>
      </c>
      <c r="D392" s="18">
        <v>80</v>
      </c>
      <c r="E392" s="18">
        <v>140</v>
      </c>
      <c r="F392" t="s" s="19">
        <v>13</v>
      </c>
      <c r="G392" s="18">
        <v>5</v>
      </c>
      <c r="H392" t="s" s="19">
        <v>39</v>
      </c>
      <c r="I392" s="12"/>
      <c r="J392" t="s" s="19">
        <v>35</v>
      </c>
      <c r="K392" s="18">
        <f>(D392*6)+(E392*4)</f>
        <v>1040</v>
      </c>
      <c r="L392" s="12"/>
      <c r="M392" s="12"/>
      <c r="N392" s="12"/>
      <c r="O392" s="12"/>
      <c r="P392" s="12"/>
    </row>
    <row r="393" ht="32.05" customHeight="1">
      <c r="A393" t="s" s="10">
        <v>728</v>
      </c>
      <c r="B393" t="s" s="11">
        <v>33</v>
      </c>
      <c r="C393" s="18">
        <v>800</v>
      </c>
      <c r="D393" s="18">
        <v>20</v>
      </c>
      <c r="E393" s="18">
        <v>75</v>
      </c>
      <c r="F393" t="s" s="19">
        <v>3</v>
      </c>
      <c r="G393" s="18">
        <v>4</v>
      </c>
      <c r="H393" t="s" s="19">
        <v>39</v>
      </c>
      <c r="I393" s="12"/>
      <c r="J393" t="s" s="19">
        <v>35</v>
      </c>
      <c r="K393" s="18">
        <f>(D393*6)+(E393*4)</f>
        <v>420</v>
      </c>
      <c r="L393" s="12"/>
      <c r="M393" s="12"/>
      <c r="N393" s="12"/>
      <c r="O393" s="12"/>
      <c r="P393" s="12"/>
    </row>
    <row r="394" ht="32.05" customHeight="1">
      <c r="A394" t="s" s="10">
        <v>729</v>
      </c>
      <c r="B394" t="s" s="11">
        <v>33</v>
      </c>
      <c r="C394" s="18">
        <v>950</v>
      </c>
      <c r="D394" s="18">
        <v>85</v>
      </c>
      <c r="E394" s="18">
        <v>70</v>
      </c>
      <c r="F394" t="s" s="19">
        <v>13</v>
      </c>
      <c r="G394" s="18">
        <v>5</v>
      </c>
      <c r="H394" t="s" s="19">
        <v>730</v>
      </c>
      <c r="I394" s="12"/>
      <c r="J394" t="s" s="19">
        <v>35</v>
      </c>
      <c r="K394" s="18">
        <f>(D394*6)+(E394*4)</f>
        <v>790</v>
      </c>
      <c r="L394" s="12"/>
      <c r="M394" s="12"/>
      <c r="N394" s="12"/>
      <c r="O394" s="12"/>
      <c r="P394" s="12"/>
    </row>
    <row r="395" ht="32.05" customHeight="1">
      <c r="A395" t="s" s="10">
        <v>731</v>
      </c>
      <c r="B395" t="s" s="11">
        <v>33</v>
      </c>
      <c r="C395" s="18">
        <v>1500</v>
      </c>
      <c r="D395" s="18">
        <v>180</v>
      </c>
      <c r="E395" s="18">
        <v>180</v>
      </c>
      <c r="F395" t="s" s="19">
        <v>13</v>
      </c>
      <c r="G395" s="18">
        <v>5</v>
      </c>
      <c r="H395" t="s" s="19">
        <v>732</v>
      </c>
      <c r="I395" s="12"/>
      <c r="J395" t="s" s="19">
        <v>35</v>
      </c>
      <c r="K395" s="18">
        <f>(D395*6)+(E395*4)</f>
        <v>1800</v>
      </c>
      <c r="L395" s="12"/>
      <c r="M395" s="12"/>
      <c r="N395" s="12"/>
      <c r="O395" s="12"/>
      <c r="P395" s="12"/>
    </row>
    <row r="396" ht="32.05" customHeight="1">
      <c r="A396" t="s" s="10">
        <v>733</v>
      </c>
      <c r="B396" t="s" s="11">
        <v>33</v>
      </c>
      <c r="C396" s="18">
        <v>1200</v>
      </c>
      <c r="D396" s="18">
        <v>100</v>
      </c>
      <c r="E396" s="18">
        <v>95</v>
      </c>
      <c r="F396" t="s" s="19">
        <v>13</v>
      </c>
      <c r="G396" s="18">
        <v>5</v>
      </c>
      <c r="H396" t="s" s="19">
        <v>734</v>
      </c>
      <c r="I396" s="12"/>
      <c r="J396" t="s" s="19">
        <v>35</v>
      </c>
      <c r="K396" s="18">
        <f>(D396*6)+(E396*4)</f>
        <v>980</v>
      </c>
      <c r="L396" s="12"/>
      <c r="M396" s="12"/>
      <c r="N396" s="12"/>
      <c r="O396" s="12"/>
      <c r="P396" s="12"/>
    </row>
    <row r="397" ht="32.05" customHeight="1">
      <c r="A397" t="s" s="10">
        <v>735</v>
      </c>
      <c r="B397" t="s" s="11">
        <v>33</v>
      </c>
      <c r="C397" s="18">
        <v>300</v>
      </c>
      <c r="D397" s="18">
        <v>25</v>
      </c>
      <c r="E397" s="18">
        <v>25</v>
      </c>
      <c r="F397" t="s" s="19">
        <v>15</v>
      </c>
      <c r="G397" s="18">
        <v>1</v>
      </c>
      <c r="H397" t="s" s="19">
        <v>39</v>
      </c>
      <c r="I397" s="12"/>
      <c r="J397" t="s" s="19">
        <v>35</v>
      </c>
      <c r="K397" s="18">
        <f>(D397*6)+(E397*4)</f>
        <v>250</v>
      </c>
      <c r="L397" t="s" s="19">
        <v>35</v>
      </c>
      <c r="M397" s="12"/>
      <c r="N397" t="s" s="19">
        <v>35</v>
      </c>
      <c r="O397" s="12"/>
      <c r="P397" s="19"/>
    </row>
    <row r="398" ht="20.05" customHeight="1">
      <c r="A398" t="s" s="10">
        <v>736</v>
      </c>
      <c r="B398" t="s" s="11">
        <v>33</v>
      </c>
      <c r="C398" s="18">
        <v>350</v>
      </c>
      <c r="D398" s="18">
        <v>20</v>
      </c>
      <c r="E398" s="18">
        <v>25</v>
      </c>
      <c r="F398" t="s" s="19">
        <v>15</v>
      </c>
      <c r="G398" s="18">
        <v>1</v>
      </c>
      <c r="H398" t="s" s="19">
        <v>39</v>
      </c>
      <c r="I398" s="12"/>
      <c r="J398" s="12"/>
      <c r="K398" s="18">
        <f>(D398*6)+(E398*4)</f>
        <v>220</v>
      </c>
      <c r="L398" s="12"/>
      <c r="M398" s="12"/>
      <c r="N398" s="12"/>
      <c r="O398" s="12"/>
      <c r="P398" s="12"/>
    </row>
    <row r="399" ht="20.05" customHeight="1">
      <c r="A399" t="s" s="10">
        <v>737</v>
      </c>
      <c r="B399" t="s" s="11">
        <v>33</v>
      </c>
      <c r="C399" s="18">
        <v>100</v>
      </c>
      <c r="D399" s="18">
        <v>5</v>
      </c>
      <c r="E399" s="18">
        <v>15</v>
      </c>
      <c r="F399" t="s" s="19">
        <v>15</v>
      </c>
      <c r="G399" s="18">
        <v>1</v>
      </c>
      <c r="H399" t="s" s="19">
        <v>738</v>
      </c>
      <c r="I399" s="12"/>
      <c r="J399" s="12"/>
      <c r="K399" s="18">
        <f>(D399*6)+(E399*4)</f>
        <v>90</v>
      </c>
      <c r="L399" s="12"/>
      <c r="M399" s="12"/>
      <c r="N399" s="12"/>
      <c r="O399" s="12"/>
      <c r="P399" s="12"/>
    </row>
    <row r="400" ht="20.05" customHeight="1">
      <c r="A400" t="s" s="10">
        <v>739</v>
      </c>
      <c r="B400" t="s" s="11">
        <v>33</v>
      </c>
      <c r="C400" s="18">
        <v>500</v>
      </c>
      <c r="D400" s="18">
        <v>15</v>
      </c>
      <c r="E400" s="18">
        <v>15</v>
      </c>
      <c r="F400" t="s" s="19">
        <v>15</v>
      </c>
      <c r="G400" s="18">
        <v>1</v>
      </c>
      <c r="H400" t="s" s="19">
        <v>740</v>
      </c>
      <c r="I400" s="12"/>
      <c r="J400" s="12"/>
      <c r="K400" s="18">
        <f>(D400*6)+(E400*4)</f>
        <v>150</v>
      </c>
      <c r="L400" s="12"/>
      <c r="M400" s="12"/>
      <c r="N400" s="12"/>
      <c r="O400" s="12"/>
      <c r="P400" s="12"/>
    </row>
    <row r="401" ht="20.05" customHeight="1">
      <c r="A401" t="s" s="10">
        <v>741</v>
      </c>
      <c r="B401" t="s" s="11">
        <v>33</v>
      </c>
      <c r="C401" s="18">
        <v>250</v>
      </c>
      <c r="D401" s="18">
        <v>25</v>
      </c>
      <c r="E401" s="18">
        <v>5</v>
      </c>
      <c r="F401" t="s" s="19">
        <v>15</v>
      </c>
      <c r="G401" s="18">
        <v>1</v>
      </c>
      <c r="H401" t="s" s="19">
        <v>39</v>
      </c>
      <c r="I401" s="12"/>
      <c r="J401" s="12"/>
      <c r="K401" s="18">
        <f>(D401*6)+(E401*4)</f>
        <v>170</v>
      </c>
      <c r="L401" s="12"/>
      <c r="M401" s="12"/>
      <c r="N401" s="12"/>
      <c r="O401" s="12"/>
      <c r="P401" s="12"/>
    </row>
    <row r="402" ht="20.05" customHeight="1">
      <c r="A402" t="s" s="10">
        <v>742</v>
      </c>
      <c r="B402" t="s" s="11">
        <v>33</v>
      </c>
      <c r="C402" s="18">
        <v>300</v>
      </c>
      <c r="D402" s="18">
        <v>20</v>
      </c>
      <c r="E402" s="18">
        <v>20</v>
      </c>
      <c r="F402" t="s" s="19">
        <v>15</v>
      </c>
      <c r="G402" s="18">
        <v>1</v>
      </c>
      <c r="H402" t="s" s="19">
        <v>39</v>
      </c>
      <c r="I402" s="12"/>
      <c r="J402" s="12"/>
      <c r="K402" s="18">
        <f>(D402*6)+(E402*4)</f>
        <v>200</v>
      </c>
      <c r="L402" s="12"/>
      <c r="M402" s="12"/>
      <c r="N402" s="12"/>
      <c r="O402" s="12"/>
      <c r="P402" s="12"/>
    </row>
    <row r="403" ht="20.05" customHeight="1">
      <c r="A403" t="s" s="10">
        <v>743</v>
      </c>
      <c r="B403" t="s" s="11">
        <v>33</v>
      </c>
      <c r="C403" s="18">
        <v>160</v>
      </c>
      <c r="D403" s="18">
        <v>10</v>
      </c>
      <c r="E403" s="18">
        <v>25</v>
      </c>
      <c r="F403" t="s" s="19">
        <v>15</v>
      </c>
      <c r="G403" s="18">
        <v>1</v>
      </c>
      <c r="H403" t="s" s="19">
        <v>39</v>
      </c>
      <c r="I403" s="12"/>
      <c r="J403" s="12"/>
      <c r="K403" s="18">
        <f>(D403*6)+(E403*4)</f>
        <v>160</v>
      </c>
      <c r="L403" s="12"/>
      <c r="M403" s="12"/>
      <c r="N403" s="12"/>
      <c r="O403" s="12"/>
      <c r="P403" s="12"/>
    </row>
    <row r="404" ht="20.05" customHeight="1">
      <c r="A404" t="s" s="10">
        <v>744</v>
      </c>
      <c r="B404" t="s" s="11">
        <v>33</v>
      </c>
      <c r="C404" s="18">
        <v>300</v>
      </c>
      <c r="D404" s="18">
        <v>15</v>
      </c>
      <c r="E404" s="18">
        <v>15</v>
      </c>
      <c r="F404" t="s" s="19">
        <v>15</v>
      </c>
      <c r="G404" s="18">
        <v>1</v>
      </c>
      <c r="H404" t="s" s="19">
        <v>745</v>
      </c>
      <c r="I404" s="12"/>
      <c r="J404" s="12"/>
      <c r="K404" s="18">
        <f>(D404*6)+(E404*4)</f>
        <v>150</v>
      </c>
      <c r="L404" s="12"/>
      <c r="M404" s="12"/>
      <c r="N404" s="12"/>
      <c r="O404" s="12"/>
      <c r="P404" s="12"/>
    </row>
    <row r="405" ht="20.05" customHeight="1">
      <c r="A405" t="s" s="10">
        <v>746</v>
      </c>
      <c r="B405" t="s" s="11">
        <v>33</v>
      </c>
      <c r="C405" s="18">
        <v>200</v>
      </c>
      <c r="D405" s="18">
        <v>20</v>
      </c>
      <c r="E405" s="18">
        <v>20</v>
      </c>
      <c r="F405" t="s" s="19">
        <v>15</v>
      </c>
      <c r="G405" s="18">
        <v>1</v>
      </c>
      <c r="H405" t="s" s="19">
        <v>747</v>
      </c>
      <c r="I405" s="12"/>
      <c r="J405" s="12"/>
      <c r="K405" s="18">
        <f>(D405*6)+(E405*4)</f>
        <v>200</v>
      </c>
      <c r="L405" s="12"/>
      <c r="M405" s="12"/>
      <c r="N405" s="12"/>
      <c r="O405" s="12"/>
      <c r="P405" s="12"/>
    </row>
    <row r="406" ht="20.05" customHeight="1">
      <c r="A406" t="s" s="10">
        <v>748</v>
      </c>
      <c r="B406" t="s" s="11">
        <v>33</v>
      </c>
      <c r="C406" s="18">
        <v>100</v>
      </c>
      <c r="D406" s="18">
        <v>15</v>
      </c>
      <c r="E406" s="18">
        <v>15</v>
      </c>
      <c r="F406" t="s" s="19">
        <v>15</v>
      </c>
      <c r="G406" s="18">
        <v>1</v>
      </c>
      <c r="H406" t="s" s="19">
        <v>39</v>
      </c>
      <c r="I406" s="12"/>
      <c r="J406" s="12"/>
      <c r="K406" s="18">
        <f>(D406*6)+(E406*4)</f>
        <v>150</v>
      </c>
      <c r="L406" s="12"/>
      <c r="M406" s="12"/>
      <c r="N406" s="12"/>
      <c r="O406" s="12"/>
      <c r="P406" s="12"/>
    </row>
    <row r="407" ht="20.05" customHeight="1">
      <c r="A407" t="s" s="10">
        <v>749</v>
      </c>
      <c r="B407" t="s" s="11">
        <v>33</v>
      </c>
      <c r="C407" s="18">
        <v>300</v>
      </c>
      <c r="D407" s="18">
        <v>15</v>
      </c>
      <c r="E407" s="18">
        <v>15</v>
      </c>
      <c r="F407" t="s" s="19">
        <v>15</v>
      </c>
      <c r="G407" s="18">
        <v>1</v>
      </c>
      <c r="H407" t="s" s="19">
        <v>750</v>
      </c>
      <c r="I407" s="12"/>
      <c r="J407" s="12"/>
      <c r="K407" s="18">
        <f>(D407*6)+(E407*4)</f>
        <v>150</v>
      </c>
      <c r="L407" s="12"/>
      <c r="M407" s="12"/>
      <c r="N407" s="12"/>
      <c r="O407" s="12"/>
      <c r="P407" s="12"/>
    </row>
    <row r="408" ht="20.05" customHeight="1">
      <c r="A408" t="s" s="10">
        <v>751</v>
      </c>
      <c r="B408" t="s" s="11">
        <v>33</v>
      </c>
      <c r="C408" s="18">
        <v>150</v>
      </c>
      <c r="D408" s="18">
        <v>20</v>
      </c>
      <c r="E408" s="18">
        <v>15</v>
      </c>
      <c r="F408" t="s" s="19">
        <v>15</v>
      </c>
      <c r="G408" s="18">
        <v>1</v>
      </c>
      <c r="H408" t="s" s="19">
        <v>752</v>
      </c>
      <c r="I408" s="12"/>
      <c r="J408" s="12"/>
      <c r="K408" s="18">
        <f>(D408*6)+(E408*4)</f>
        <v>180</v>
      </c>
      <c r="L408" s="12"/>
      <c r="M408" s="12"/>
      <c r="N408" s="12"/>
      <c r="O408" s="12"/>
      <c r="P408" s="12"/>
    </row>
    <row r="409" ht="20.05" customHeight="1">
      <c r="A409" t="s" s="10">
        <v>753</v>
      </c>
      <c r="B409" t="s" s="11">
        <v>33</v>
      </c>
      <c r="C409" s="18">
        <v>400</v>
      </c>
      <c r="D409" s="18">
        <v>10</v>
      </c>
      <c r="E409" s="18">
        <v>15</v>
      </c>
      <c r="F409" t="s" s="19">
        <v>15</v>
      </c>
      <c r="G409" s="18">
        <v>1</v>
      </c>
      <c r="H409" t="s" s="19">
        <v>754</v>
      </c>
      <c r="I409" s="12"/>
      <c r="J409" s="12"/>
      <c r="K409" s="18">
        <f>(D409*6)+(E409*4)</f>
        <v>120</v>
      </c>
      <c r="L409" s="12"/>
      <c r="M409" s="12"/>
      <c r="N409" s="12"/>
      <c r="O409" s="12"/>
      <c r="P409" s="12"/>
    </row>
    <row r="410" ht="20.05" customHeight="1">
      <c r="A410" t="s" s="10">
        <v>755</v>
      </c>
      <c r="B410" t="s" s="11">
        <v>33</v>
      </c>
      <c r="C410" s="18">
        <v>450</v>
      </c>
      <c r="D410" s="18">
        <v>25</v>
      </c>
      <c r="E410" s="18">
        <v>20</v>
      </c>
      <c r="F410" t="s" s="19">
        <v>15</v>
      </c>
      <c r="G410" s="18">
        <v>2</v>
      </c>
      <c r="H410" t="s" s="19">
        <v>756</v>
      </c>
      <c r="I410" s="12"/>
      <c r="J410" s="12"/>
      <c r="K410" s="18">
        <f>(D410*6)+(E410*4)</f>
        <v>230</v>
      </c>
      <c r="L410" s="12"/>
      <c r="M410" s="12"/>
      <c r="N410" s="12"/>
      <c r="O410" s="12"/>
      <c r="P410" s="12"/>
    </row>
    <row r="411" ht="20.05" customHeight="1">
      <c r="A411" t="s" s="10">
        <v>757</v>
      </c>
      <c r="B411" t="s" s="11">
        <v>33</v>
      </c>
      <c r="C411" s="18">
        <v>150</v>
      </c>
      <c r="D411" s="18">
        <v>20</v>
      </c>
      <c r="E411" s="18">
        <v>15</v>
      </c>
      <c r="F411" t="s" s="19">
        <v>15</v>
      </c>
      <c r="G411" s="18">
        <v>1</v>
      </c>
      <c r="H411" t="s" s="19">
        <v>39</v>
      </c>
      <c r="I411" s="12"/>
      <c r="J411" s="12"/>
      <c r="K411" s="18">
        <f>(D411*6)+(E411*4)</f>
        <v>180</v>
      </c>
      <c r="L411" s="12"/>
      <c r="M411" s="12"/>
      <c r="N411" s="12"/>
      <c r="O411" s="12"/>
      <c r="P411" s="12"/>
    </row>
    <row r="412" ht="20.05" customHeight="1">
      <c r="A412" t="s" s="10">
        <v>758</v>
      </c>
      <c r="B412" t="s" s="11">
        <v>33</v>
      </c>
      <c r="C412" s="18">
        <v>200</v>
      </c>
      <c r="D412" s="18">
        <v>10</v>
      </c>
      <c r="E412" s="18">
        <v>10</v>
      </c>
      <c r="F412" t="s" s="19">
        <v>15</v>
      </c>
      <c r="G412" s="18">
        <v>1</v>
      </c>
      <c r="H412" t="s" s="19">
        <v>759</v>
      </c>
      <c r="I412" s="12"/>
      <c r="J412" s="12"/>
      <c r="K412" s="18">
        <f>(D412*6)+(E412*4)</f>
        <v>100</v>
      </c>
      <c r="L412" s="12"/>
      <c r="M412" s="12"/>
      <c r="N412" s="12"/>
      <c r="O412" s="12"/>
      <c r="P412" s="12"/>
    </row>
    <row r="413" ht="20.05" customHeight="1">
      <c r="A413" t="s" s="10">
        <v>760</v>
      </c>
      <c r="B413" t="s" s="11">
        <v>33</v>
      </c>
      <c r="C413" s="18">
        <v>200</v>
      </c>
      <c r="D413" s="18">
        <v>20</v>
      </c>
      <c r="E413" s="18">
        <v>20</v>
      </c>
      <c r="F413" t="s" s="19">
        <v>15</v>
      </c>
      <c r="G413" s="18">
        <v>1</v>
      </c>
      <c r="H413" t="s" s="19">
        <v>39</v>
      </c>
      <c r="I413" s="12"/>
      <c r="J413" s="12"/>
      <c r="K413" s="18">
        <f>(D413*6)+(E413*4)</f>
        <v>200</v>
      </c>
      <c r="L413" s="12"/>
      <c r="M413" s="12"/>
      <c r="N413" s="12"/>
      <c r="O413" s="12"/>
      <c r="P413" s="12"/>
    </row>
    <row r="414" ht="32.05" customHeight="1">
      <c r="A414" t="s" s="10">
        <v>761</v>
      </c>
      <c r="B414" t="s" s="11">
        <v>33</v>
      </c>
      <c r="C414" s="18">
        <v>350</v>
      </c>
      <c r="D414" s="18">
        <v>15</v>
      </c>
      <c r="E414" s="18">
        <v>20</v>
      </c>
      <c r="F414" t="s" s="19">
        <v>15</v>
      </c>
      <c r="G414" s="18">
        <v>1</v>
      </c>
      <c r="H414" t="s" s="19">
        <v>762</v>
      </c>
      <c r="I414" s="12"/>
      <c r="J414" s="12"/>
      <c r="K414" s="18">
        <f>(D414*6)+(E414*4)</f>
        <v>170</v>
      </c>
      <c r="L414" s="12"/>
      <c r="M414" s="12"/>
      <c r="N414" s="12"/>
      <c r="O414" s="12"/>
      <c r="P414" s="12"/>
    </row>
    <row r="415" ht="20.05" customHeight="1">
      <c r="A415" t="s" s="10">
        <v>763</v>
      </c>
      <c r="B415" t="s" s="11">
        <v>33</v>
      </c>
      <c r="C415" s="18">
        <v>320</v>
      </c>
      <c r="D415" s="18">
        <v>20</v>
      </c>
      <c r="E415" s="18">
        <v>20</v>
      </c>
      <c r="F415" t="s" s="19">
        <v>15</v>
      </c>
      <c r="G415" s="18">
        <v>1</v>
      </c>
      <c r="H415" t="s" s="19">
        <v>764</v>
      </c>
      <c r="I415" s="12"/>
      <c r="J415" s="12"/>
      <c r="K415" s="18">
        <f>(D415*6)+(E415*4)</f>
        <v>200</v>
      </c>
      <c r="L415" s="12"/>
      <c r="M415" s="12"/>
      <c r="N415" s="12"/>
      <c r="O415" s="12"/>
      <c r="P415" s="12"/>
    </row>
    <row r="416" ht="20.05" customHeight="1">
      <c r="A416" t="s" s="10">
        <v>765</v>
      </c>
      <c r="B416" t="s" s="11">
        <v>33</v>
      </c>
      <c r="C416" s="18">
        <v>180</v>
      </c>
      <c r="D416" s="18">
        <v>15</v>
      </c>
      <c r="E416" s="18">
        <v>10</v>
      </c>
      <c r="F416" t="s" s="19">
        <v>15</v>
      </c>
      <c r="G416" s="18">
        <v>1</v>
      </c>
      <c r="H416" t="s" s="19">
        <v>766</v>
      </c>
      <c r="I416" s="12"/>
      <c r="J416" s="12"/>
      <c r="K416" s="18">
        <f>(D416*6)+(E416*4)</f>
        <v>130</v>
      </c>
      <c r="L416" s="12"/>
      <c r="M416" s="12"/>
      <c r="N416" s="12"/>
      <c r="O416" s="12"/>
      <c r="P416" s="12"/>
    </row>
    <row r="417" ht="20.05" customHeight="1">
      <c r="A417" t="s" s="10">
        <v>767</v>
      </c>
      <c r="B417" t="s" s="11">
        <v>33</v>
      </c>
      <c r="C417" s="18">
        <v>200</v>
      </c>
      <c r="D417" s="18">
        <v>20</v>
      </c>
      <c r="E417" s="18">
        <v>20</v>
      </c>
      <c r="F417" t="s" s="19">
        <v>15</v>
      </c>
      <c r="G417" s="18">
        <v>1</v>
      </c>
      <c r="H417" t="s" s="19">
        <v>768</v>
      </c>
      <c r="I417" s="12"/>
      <c r="J417" s="12"/>
      <c r="K417" s="18">
        <f>(D417*6)+(E417*4)</f>
        <v>200</v>
      </c>
      <c r="L417" s="12"/>
      <c r="M417" s="12"/>
      <c r="N417" s="12"/>
      <c r="O417" s="12"/>
      <c r="P417" s="12"/>
    </row>
    <row r="418" ht="44.05" customHeight="1">
      <c r="A418" t="s" s="10">
        <v>769</v>
      </c>
      <c r="B418" t="s" s="11">
        <v>33</v>
      </c>
      <c r="C418" s="18">
        <v>300</v>
      </c>
      <c r="D418" s="18">
        <v>25</v>
      </c>
      <c r="E418" s="18">
        <v>15</v>
      </c>
      <c r="F418" t="s" s="19">
        <v>15</v>
      </c>
      <c r="G418" s="18">
        <v>1</v>
      </c>
      <c r="H418" t="s" s="19">
        <v>770</v>
      </c>
      <c r="I418" s="12"/>
      <c r="J418" t="s" s="19">
        <v>35</v>
      </c>
      <c r="K418" s="18">
        <f>(D418*6)+(E418*4)</f>
        <v>210</v>
      </c>
      <c r="L418" t="s" s="19">
        <v>35</v>
      </c>
      <c r="M418" s="12"/>
      <c r="N418" s="12"/>
      <c r="O418" s="12"/>
      <c r="P418" t="s" s="19">
        <v>35</v>
      </c>
    </row>
    <row r="419" ht="20.05" customHeight="1">
      <c r="A419" t="s" s="10">
        <v>771</v>
      </c>
      <c r="B419" t="s" s="11">
        <v>33</v>
      </c>
      <c r="C419" s="18">
        <v>150</v>
      </c>
      <c r="D419" s="18">
        <v>15</v>
      </c>
      <c r="E419" s="18">
        <v>15</v>
      </c>
      <c r="F419" t="s" s="19">
        <v>15</v>
      </c>
      <c r="G419" s="18">
        <v>1</v>
      </c>
      <c r="H419" t="s" s="19">
        <v>39</v>
      </c>
      <c r="I419" s="12"/>
      <c r="J419" s="12"/>
      <c r="K419" s="18">
        <f>(D419*6)+(E419*4)</f>
        <v>150</v>
      </c>
      <c r="L419" s="12"/>
      <c r="M419" s="12"/>
      <c r="N419" s="12"/>
      <c r="O419" s="12"/>
      <c r="P419" s="12"/>
    </row>
    <row r="420" ht="20.05" customHeight="1">
      <c r="A420" t="s" s="10">
        <v>772</v>
      </c>
      <c r="B420" t="s" s="11">
        <v>33</v>
      </c>
      <c r="C420" s="18">
        <v>240</v>
      </c>
      <c r="D420" s="18">
        <v>5</v>
      </c>
      <c r="E420" s="18">
        <v>20</v>
      </c>
      <c r="F420" t="s" s="19">
        <v>15</v>
      </c>
      <c r="G420" s="18">
        <v>1</v>
      </c>
      <c r="H420" t="s" s="19">
        <v>773</v>
      </c>
      <c r="I420" s="12"/>
      <c r="J420" s="12"/>
      <c r="K420" s="18">
        <f>(D420*6)+(E420*4)</f>
        <v>110</v>
      </c>
      <c r="L420" s="12"/>
      <c r="M420" s="12"/>
      <c r="N420" s="12"/>
      <c r="O420" s="12"/>
      <c r="P420" s="12"/>
    </row>
    <row r="421" ht="20.05" customHeight="1">
      <c r="A421" t="s" s="10">
        <v>774</v>
      </c>
      <c r="B421" t="s" s="11">
        <v>33</v>
      </c>
      <c r="C421" s="18">
        <v>280</v>
      </c>
      <c r="D421" s="18">
        <v>20</v>
      </c>
      <c r="E421" s="18">
        <v>20</v>
      </c>
      <c r="F421" t="s" s="19">
        <v>15</v>
      </c>
      <c r="G421" s="18">
        <v>2</v>
      </c>
      <c r="H421" t="s" s="19">
        <v>251</v>
      </c>
      <c r="I421" s="12"/>
      <c r="J421" t="s" s="19">
        <v>35</v>
      </c>
      <c r="K421" s="18">
        <f>(D421*6)+(E421*4)</f>
        <v>200</v>
      </c>
      <c r="L421" t="s" s="19">
        <v>35</v>
      </c>
      <c r="M421" s="12"/>
      <c r="N421" s="19"/>
      <c r="O421" s="12"/>
      <c r="P421" s="12"/>
    </row>
    <row r="422" ht="20.05" customHeight="1">
      <c r="A422" t="s" s="10">
        <v>775</v>
      </c>
      <c r="B422" t="s" s="11">
        <v>33</v>
      </c>
      <c r="C422" s="18">
        <v>350</v>
      </c>
      <c r="D422" s="18">
        <v>40</v>
      </c>
      <c r="E422" s="18">
        <v>10</v>
      </c>
      <c r="F422" t="s" s="19">
        <v>15</v>
      </c>
      <c r="G422" s="18">
        <v>2</v>
      </c>
      <c r="H422" t="s" s="19">
        <v>39</v>
      </c>
      <c r="I422" s="12"/>
      <c r="J422" t="s" s="19">
        <v>35</v>
      </c>
      <c r="K422" s="18">
        <f>(D422*6)+(E422*4)</f>
        <v>280</v>
      </c>
      <c r="L422" t="s" s="19">
        <v>35</v>
      </c>
      <c r="M422" s="12"/>
      <c r="N422" s="12"/>
      <c r="O422" s="12"/>
      <c r="P422" t="s" s="19">
        <v>35</v>
      </c>
    </row>
    <row r="423" ht="20.05" customHeight="1">
      <c r="A423" t="s" s="10">
        <v>776</v>
      </c>
      <c r="B423" t="s" s="11">
        <v>33</v>
      </c>
      <c r="C423" s="18">
        <v>420</v>
      </c>
      <c r="D423" s="18">
        <v>30</v>
      </c>
      <c r="E423" s="18">
        <v>35</v>
      </c>
      <c r="F423" t="s" s="19">
        <v>15</v>
      </c>
      <c r="G423" s="18">
        <v>2</v>
      </c>
      <c r="H423" t="s" s="19">
        <v>777</v>
      </c>
      <c r="I423" s="12"/>
      <c r="J423" t="s" s="19">
        <v>35</v>
      </c>
      <c r="K423" s="18">
        <f>(D423*6)+(E423*4)</f>
        <v>320</v>
      </c>
      <c r="L423" t="s" s="19">
        <v>35</v>
      </c>
      <c r="M423" s="12"/>
      <c r="N423" s="12"/>
      <c r="O423" t="s" s="19">
        <v>35</v>
      </c>
      <c r="P423" s="12"/>
    </row>
    <row r="424" ht="32.05" customHeight="1">
      <c r="A424" t="s" s="10">
        <v>778</v>
      </c>
      <c r="B424" t="s" s="11">
        <v>33</v>
      </c>
      <c r="C424" s="18">
        <v>400</v>
      </c>
      <c r="D424" s="18">
        <v>40</v>
      </c>
      <c r="E424" s="18">
        <v>25</v>
      </c>
      <c r="F424" t="s" s="19">
        <v>15</v>
      </c>
      <c r="G424" s="18">
        <v>2</v>
      </c>
      <c r="H424" t="s" s="19">
        <v>779</v>
      </c>
      <c r="I424" s="12"/>
      <c r="J424" t="s" s="19">
        <v>35</v>
      </c>
      <c r="K424" s="18">
        <f>(D424*6)+(E424*4)</f>
        <v>340</v>
      </c>
      <c r="L424" t="s" s="19">
        <v>35</v>
      </c>
      <c r="M424" s="12"/>
      <c r="N424" s="12"/>
      <c r="O424" s="12"/>
      <c r="P424" t="s" s="19">
        <v>35</v>
      </c>
    </row>
    <row r="425" ht="20.05" customHeight="1">
      <c r="A425" t="s" s="10">
        <v>780</v>
      </c>
      <c r="B425" t="s" s="11">
        <v>33</v>
      </c>
      <c r="C425" s="18">
        <v>250</v>
      </c>
      <c r="D425" s="18">
        <v>20</v>
      </c>
      <c r="E425" s="18">
        <v>20</v>
      </c>
      <c r="F425" t="s" s="19">
        <v>15</v>
      </c>
      <c r="G425" s="18">
        <v>2</v>
      </c>
      <c r="H425" t="s" s="19">
        <v>781</v>
      </c>
      <c r="I425" s="12"/>
      <c r="J425" t="s" s="19">
        <v>35</v>
      </c>
      <c r="K425" s="18">
        <f>(D425*6)+(E425*4)</f>
        <v>200</v>
      </c>
      <c r="L425" t="s" s="19">
        <v>35</v>
      </c>
      <c r="M425" s="12"/>
      <c r="N425" s="12"/>
      <c r="O425" s="12"/>
      <c r="P425" s="19"/>
    </row>
    <row r="426" ht="20.05" customHeight="1">
      <c r="A426" t="s" s="10">
        <v>782</v>
      </c>
      <c r="B426" t="s" s="11">
        <v>33</v>
      </c>
      <c r="C426" s="18">
        <v>250</v>
      </c>
      <c r="D426" s="18">
        <v>25</v>
      </c>
      <c r="E426" s="18">
        <v>20</v>
      </c>
      <c r="F426" t="s" s="19">
        <v>15</v>
      </c>
      <c r="G426" s="18">
        <v>2</v>
      </c>
      <c r="H426" t="s" s="19">
        <v>783</v>
      </c>
      <c r="I426" s="12"/>
      <c r="J426" t="s" s="19">
        <v>35</v>
      </c>
      <c r="K426" s="18">
        <f>(D426*6)+(E426*4)</f>
        <v>230</v>
      </c>
      <c r="L426" t="s" s="19">
        <v>35</v>
      </c>
      <c r="M426" s="12"/>
      <c r="N426" s="12"/>
      <c r="O426" s="12"/>
      <c r="P426" s="19"/>
    </row>
    <row r="427" ht="44.05" customHeight="1">
      <c r="A427" t="s" s="10">
        <v>784</v>
      </c>
      <c r="B427" t="s" s="11">
        <v>33</v>
      </c>
      <c r="C427" s="18">
        <v>450</v>
      </c>
      <c r="D427" s="18">
        <v>30</v>
      </c>
      <c r="E427" s="18">
        <v>45</v>
      </c>
      <c r="F427" t="s" s="19">
        <v>15</v>
      </c>
      <c r="G427" s="18">
        <v>2</v>
      </c>
      <c r="H427" t="s" s="19">
        <v>785</v>
      </c>
      <c r="I427" s="12"/>
      <c r="J427" t="s" s="19">
        <v>35</v>
      </c>
      <c r="K427" s="18">
        <f>(D427*6)+(E427*4)</f>
        <v>360</v>
      </c>
      <c r="L427" t="s" s="19">
        <v>35</v>
      </c>
      <c r="M427" s="12"/>
      <c r="N427" s="12"/>
      <c r="O427" s="12"/>
      <c r="P427" t="s" s="19">
        <v>35</v>
      </c>
    </row>
    <row r="428" ht="20.05" customHeight="1">
      <c r="A428" t="s" s="10">
        <v>786</v>
      </c>
      <c r="B428" t="s" s="11">
        <v>33</v>
      </c>
      <c r="C428" s="18">
        <v>250</v>
      </c>
      <c r="D428" s="18">
        <v>20</v>
      </c>
      <c r="E428" s="18">
        <v>25</v>
      </c>
      <c r="F428" t="s" s="19">
        <v>15</v>
      </c>
      <c r="G428" s="18">
        <v>2</v>
      </c>
      <c r="H428" t="s" s="19">
        <v>787</v>
      </c>
      <c r="I428" s="12"/>
      <c r="J428" s="12"/>
      <c r="K428" s="18">
        <f>(D428*6)+(E428*4)</f>
        <v>220</v>
      </c>
      <c r="L428" s="12"/>
      <c r="M428" s="12"/>
      <c r="N428" s="12"/>
      <c r="O428" s="12"/>
      <c r="P428" s="12"/>
    </row>
    <row r="429" ht="20.05" customHeight="1">
      <c r="A429" t="s" s="10">
        <v>788</v>
      </c>
      <c r="B429" t="s" s="11">
        <v>33</v>
      </c>
      <c r="C429" s="18">
        <v>100</v>
      </c>
      <c r="D429" s="18">
        <v>15</v>
      </c>
      <c r="E429" s="18">
        <v>5</v>
      </c>
      <c r="F429" t="s" s="19">
        <v>15</v>
      </c>
      <c r="G429" s="18">
        <v>2</v>
      </c>
      <c r="H429" t="s" s="19">
        <v>39</v>
      </c>
      <c r="I429" s="12"/>
      <c r="J429" s="12"/>
      <c r="K429" s="18">
        <f>(D429*6)+(E429*4)</f>
        <v>110</v>
      </c>
      <c r="L429" s="12"/>
      <c r="M429" s="12"/>
      <c r="N429" s="12"/>
      <c r="O429" s="12"/>
      <c r="P429" s="12"/>
    </row>
    <row r="430" ht="20.05" customHeight="1">
      <c r="A430" t="s" s="10">
        <v>789</v>
      </c>
      <c r="B430" t="s" s="11">
        <v>33</v>
      </c>
      <c r="C430" s="18">
        <v>100</v>
      </c>
      <c r="D430" s="18">
        <v>10</v>
      </c>
      <c r="E430" s="18">
        <v>20</v>
      </c>
      <c r="F430" t="s" s="19">
        <v>15</v>
      </c>
      <c r="G430" s="18">
        <v>2</v>
      </c>
      <c r="H430" t="s" s="19">
        <v>39</v>
      </c>
      <c r="I430" s="12"/>
      <c r="J430" s="12"/>
      <c r="K430" s="18">
        <f>(D430*6)+(E430*4)</f>
        <v>140</v>
      </c>
      <c r="L430" s="12"/>
      <c r="M430" s="12"/>
      <c r="N430" s="12"/>
      <c r="O430" s="12"/>
      <c r="P430" s="12"/>
    </row>
    <row r="431" ht="32.05" customHeight="1">
      <c r="A431" t="s" s="10">
        <v>790</v>
      </c>
      <c r="B431" t="s" s="11">
        <v>33</v>
      </c>
      <c r="C431" s="18">
        <v>350</v>
      </c>
      <c r="D431" s="18">
        <v>35</v>
      </c>
      <c r="E431" s="18">
        <v>35</v>
      </c>
      <c r="F431" t="s" s="19">
        <v>15</v>
      </c>
      <c r="G431" s="18">
        <v>2</v>
      </c>
      <c r="H431" t="s" s="19">
        <v>791</v>
      </c>
      <c r="I431" s="12"/>
      <c r="J431" s="12"/>
      <c r="K431" s="18">
        <f>(D431*6)+(E431*4)</f>
        <v>350</v>
      </c>
      <c r="L431" s="12"/>
      <c r="M431" s="12"/>
      <c r="N431" s="12"/>
      <c r="O431" s="12"/>
      <c r="P431" s="12"/>
    </row>
    <row r="432" ht="20.05" customHeight="1">
      <c r="A432" t="s" s="10">
        <v>792</v>
      </c>
      <c r="B432" t="s" s="11">
        <v>33</v>
      </c>
      <c r="C432" s="18">
        <v>380</v>
      </c>
      <c r="D432" s="18">
        <v>20</v>
      </c>
      <c r="E432" s="18">
        <v>20</v>
      </c>
      <c r="F432" t="s" s="19">
        <v>15</v>
      </c>
      <c r="G432" s="18">
        <v>2</v>
      </c>
      <c r="H432" t="s" s="19">
        <v>793</v>
      </c>
      <c r="I432" s="12"/>
      <c r="J432" s="12"/>
      <c r="K432" s="18">
        <f>(D432*6)+(E432*4)</f>
        <v>200</v>
      </c>
      <c r="L432" s="12"/>
      <c r="M432" s="12"/>
      <c r="N432" s="12"/>
      <c r="O432" s="12"/>
      <c r="P432" s="12"/>
    </row>
    <row r="433" ht="20.05" customHeight="1">
      <c r="A433" t="s" s="10">
        <v>794</v>
      </c>
      <c r="B433" t="s" s="11">
        <v>33</v>
      </c>
      <c r="C433" s="18">
        <v>280</v>
      </c>
      <c r="D433" s="18">
        <v>30</v>
      </c>
      <c r="E433" s="18">
        <v>30</v>
      </c>
      <c r="F433" t="s" s="19">
        <v>15</v>
      </c>
      <c r="G433" s="18">
        <v>2</v>
      </c>
      <c r="H433" t="s" s="19">
        <v>39</v>
      </c>
      <c r="I433" s="12"/>
      <c r="J433" s="12"/>
      <c r="K433" s="18">
        <f>(D433*6)+(E433*4)</f>
        <v>300</v>
      </c>
      <c r="L433" s="12"/>
      <c r="M433" s="12"/>
      <c r="N433" s="12"/>
      <c r="O433" s="12"/>
      <c r="P433" s="12"/>
    </row>
    <row r="434" ht="20.05" customHeight="1">
      <c r="A434" t="s" s="10">
        <v>795</v>
      </c>
      <c r="B434" t="s" s="11">
        <v>33</v>
      </c>
      <c r="C434" s="18">
        <v>300</v>
      </c>
      <c r="D434" s="18">
        <v>35</v>
      </c>
      <c r="E434" s="18">
        <v>20</v>
      </c>
      <c r="F434" t="s" s="19">
        <v>15</v>
      </c>
      <c r="G434" s="18">
        <v>2</v>
      </c>
      <c r="H434" t="s" s="19">
        <v>796</v>
      </c>
      <c r="I434" s="12"/>
      <c r="J434" s="12"/>
      <c r="K434" s="18">
        <f>(D434*6)+(E434*4)</f>
        <v>290</v>
      </c>
      <c r="L434" s="12"/>
      <c r="M434" s="12"/>
      <c r="N434" s="12"/>
      <c r="O434" s="12"/>
      <c r="P434" s="12"/>
    </row>
    <row r="435" ht="20.05" customHeight="1">
      <c r="A435" t="s" s="10">
        <v>797</v>
      </c>
      <c r="B435" t="s" s="11">
        <v>33</v>
      </c>
      <c r="C435" s="18">
        <v>350</v>
      </c>
      <c r="D435" s="18">
        <v>30</v>
      </c>
      <c r="E435" s="18">
        <v>10</v>
      </c>
      <c r="F435" t="s" s="19">
        <v>15</v>
      </c>
      <c r="G435" s="18">
        <v>2</v>
      </c>
      <c r="H435" t="s" s="19">
        <v>798</v>
      </c>
      <c r="I435" s="12"/>
      <c r="J435" s="12"/>
      <c r="K435" s="18">
        <f>(D435*6)+(E435*4)</f>
        <v>220</v>
      </c>
      <c r="L435" s="12"/>
      <c r="M435" s="12"/>
      <c r="N435" s="12"/>
      <c r="O435" s="12"/>
      <c r="P435" s="12"/>
    </row>
    <row r="436" ht="20.05" customHeight="1">
      <c r="A436" t="s" s="10">
        <v>799</v>
      </c>
      <c r="B436" t="s" s="11">
        <v>33</v>
      </c>
      <c r="C436" s="18">
        <v>280</v>
      </c>
      <c r="D436" s="18">
        <v>30</v>
      </c>
      <c r="E436" s="18">
        <v>15</v>
      </c>
      <c r="F436" t="s" s="19">
        <v>15</v>
      </c>
      <c r="G436" s="18">
        <v>2</v>
      </c>
      <c r="H436" t="s" s="19">
        <v>800</v>
      </c>
      <c r="I436" s="12"/>
      <c r="J436" t="s" s="19">
        <v>35</v>
      </c>
      <c r="K436" s="18">
        <f>(D436*6)+(E436*4)</f>
        <v>240</v>
      </c>
      <c r="L436" t="s" s="19">
        <v>35</v>
      </c>
      <c r="M436" s="12"/>
      <c r="N436" s="12"/>
      <c r="O436" s="12"/>
      <c r="P436" t="s" s="19">
        <v>35</v>
      </c>
    </row>
    <row r="437" ht="20.05" customHeight="1">
      <c r="A437" t="s" s="10">
        <v>801</v>
      </c>
      <c r="B437" t="s" s="11">
        <v>33</v>
      </c>
      <c r="C437" s="18">
        <v>380</v>
      </c>
      <c r="D437" s="18">
        <v>40</v>
      </c>
      <c r="E437" s="18">
        <v>25</v>
      </c>
      <c r="F437" t="s" s="19">
        <v>15</v>
      </c>
      <c r="G437" s="18">
        <v>2</v>
      </c>
      <c r="H437" t="s" s="19">
        <v>802</v>
      </c>
      <c r="I437" s="12"/>
      <c r="J437" s="12"/>
      <c r="K437" s="18">
        <f>(D437*6)+(E437*4)</f>
        <v>340</v>
      </c>
      <c r="L437" s="12"/>
      <c r="M437" s="12"/>
      <c r="N437" s="12"/>
      <c r="O437" s="12"/>
      <c r="P437" s="12"/>
    </row>
    <row r="438" ht="20.05" customHeight="1">
      <c r="A438" t="s" s="10">
        <v>803</v>
      </c>
      <c r="B438" t="s" s="11">
        <v>33</v>
      </c>
      <c r="C438" s="18">
        <v>420</v>
      </c>
      <c r="D438" s="18">
        <v>25</v>
      </c>
      <c r="E438" s="18">
        <v>40</v>
      </c>
      <c r="F438" t="s" s="19">
        <v>15</v>
      </c>
      <c r="G438" s="18">
        <v>2</v>
      </c>
      <c r="H438" t="s" s="19">
        <v>804</v>
      </c>
      <c r="I438" s="12"/>
      <c r="J438" s="12"/>
      <c r="K438" s="18">
        <f>(D438*6)+(E438*4)</f>
        <v>310</v>
      </c>
      <c r="L438" s="12"/>
      <c r="M438" s="12"/>
      <c r="N438" s="12"/>
      <c r="O438" s="12"/>
      <c r="P438" s="12"/>
    </row>
    <row r="439" ht="20.05" customHeight="1">
      <c r="A439" t="s" s="10">
        <v>805</v>
      </c>
      <c r="B439" t="s" s="11">
        <v>33</v>
      </c>
      <c r="C439" s="18">
        <v>500</v>
      </c>
      <c r="D439" s="18">
        <v>60</v>
      </c>
      <c r="E439" s="18">
        <v>40</v>
      </c>
      <c r="F439" t="s" s="19">
        <v>15</v>
      </c>
      <c r="G439" s="18">
        <v>2</v>
      </c>
      <c r="H439" t="s" s="19">
        <v>806</v>
      </c>
      <c r="I439" s="12"/>
      <c r="J439" s="12"/>
      <c r="K439" s="18">
        <f>(D439*6)+(E439*4)</f>
        <v>520</v>
      </c>
      <c r="L439" s="12"/>
      <c r="M439" s="12"/>
      <c r="N439" s="12"/>
      <c r="O439" s="12"/>
      <c r="P439" s="12"/>
    </row>
    <row r="440" ht="20.05" customHeight="1">
      <c r="A440" t="s" s="10">
        <v>807</v>
      </c>
      <c r="B440" t="s" s="11">
        <v>33</v>
      </c>
      <c r="C440" s="18">
        <v>560</v>
      </c>
      <c r="D440" s="18">
        <v>40</v>
      </c>
      <c r="E440" s="18">
        <v>35</v>
      </c>
      <c r="F440" t="s" s="19">
        <v>15</v>
      </c>
      <c r="G440" s="18">
        <v>2</v>
      </c>
      <c r="H440" t="s" s="19">
        <v>808</v>
      </c>
      <c r="I440" s="12"/>
      <c r="J440" s="12"/>
      <c r="K440" s="18">
        <f>(D440*6)+(E440*4)</f>
        <v>380</v>
      </c>
      <c r="L440" s="12"/>
      <c r="M440" s="12"/>
      <c r="N440" s="12"/>
      <c r="O440" s="12"/>
      <c r="P440" s="12"/>
    </row>
    <row r="441" ht="20.05" customHeight="1">
      <c r="A441" t="s" s="10">
        <v>809</v>
      </c>
      <c r="B441" t="s" s="11">
        <v>33</v>
      </c>
      <c r="C441" s="18">
        <v>450</v>
      </c>
      <c r="D441" s="18">
        <v>30</v>
      </c>
      <c r="E441" s="18">
        <v>35</v>
      </c>
      <c r="F441" t="s" s="19">
        <v>15</v>
      </c>
      <c r="G441" s="18">
        <v>2</v>
      </c>
      <c r="H441" t="s" s="19">
        <v>810</v>
      </c>
      <c r="I441" s="12"/>
      <c r="J441" t="s" s="19">
        <v>35</v>
      </c>
      <c r="K441" s="18">
        <f>(D441*6)+(E441*4)</f>
        <v>320</v>
      </c>
      <c r="L441" t="s" s="19">
        <v>35</v>
      </c>
      <c r="M441" s="12"/>
      <c r="N441" s="12"/>
      <c r="O441" s="12"/>
      <c r="P441" t="s" s="19">
        <v>35</v>
      </c>
    </row>
    <row r="442" ht="20.05" customHeight="1">
      <c r="A442" t="s" s="10">
        <v>811</v>
      </c>
      <c r="B442" t="s" s="11">
        <v>33</v>
      </c>
      <c r="C442" s="18">
        <v>600</v>
      </c>
      <c r="D442" s="18">
        <v>40</v>
      </c>
      <c r="E442" s="18">
        <v>40</v>
      </c>
      <c r="F442" t="s" s="19">
        <v>15</v>
      </c>
      <c r="G442" s="18">
        <v>3</v>
      </c>
      <c r="H442" t="s" s="19">
        <v>812</v>
      </c>
      <c r="I442" s="12"/>
      <c r="J442" s="12"/>
      <c r="K442" s="18">
        <f>(D442*6)+(E442*4)</f>
        <v>400</v>
      </c>
      <c r="L442" s="12"/>
      <c r="M442" s="12"/>
      <c r="N442" s="12"/>
      <c r="O442" s="12"/>
      <c r="P442" s="12"/>
    </row>
    <row r="443" ht="20.05" customHeight="1">
      <c r="A443" t="s" s="10">
        <v>813</v>
      </c>
      <c r="B443" t="s" s="11">
        <v>33</v>
      </c>
      <c r="C443" s="18">
        <v>400</v>
      </c>
      <c r="D443" s="18">
        <v>45</v>
      </c>
      <c r="E443" s="18">
        <v>10</v>
      </c>
      <c r="F443" t="s" s="19">
        <v>15</v>
      </c>
      <c r="G443" s="18">
        <v>3</v>
      </c>
      <c r="H443" t="s" s="19">
        <v>39</v>
      </c>
      <c r="I443" s="12"/>
      <c r="J443" s="12"/>
      <c r="K443" s="18">
        <f>(D443*6)+(E443*4)</f>
        <v>310</v>
      </c>
      <c r="L443" s="12"/>
      <c r="M443" s="12"/>
      <c r="N443" s="12"/>
      <c r="O443" s="12"/>
      <c r="P443" s="12"/>
    </row>
    <row r="444" ht="20.05" customHeight="1">
      <c r="A444" t="s" s="10">
        <v>814</v>
      </c>
      <c r="B444" t="s" s="11">
        <v>33</v>
      </c>
      <c r="C444" s="18">
        <v>800</v>
      </c>
      <c r="D444" s="18">
        <v>60</v>
      </c>
      <c r="E444" s="18">
        <v>50</v>
      </c>
      <c r="F444" t="s" s="19">
        <v>15</v>
      </c>
      <c r="G444" s="18">
        <v>3</v>
      </c>
      <c r="H444" t="s" s="19">
        <v>815</v>
      </c>
      <c r="I444" s="12"/>
      <c r="J444" s="12"/>
      <c r="K444" s="18">
        <f>(D444*6)+(E444*4)</f>
        <v>560</v>
      </c>
      <c r="L444" s="12"/>
      <c r="M444" s="12"/>
      <c r="N444" s="12"/>
      <c r="O444" s="12"/>
      <c r="P444" s="12"/>
    </row>
    <row r="445" ht="20.05" customHeight="1">
      <c r="A445" t="s" s="10">
        <v>816</v>
      </c>
      <c r="B445" t="s" s="11">
        <v>33</v>
      </c>
      <c r="C445" s="18">
        <v>600</v>
      </c>
      <c r="D445" s="18">
        <v>20</v>
      </c>
      <c r="E445" s="18">
        <v>70</v>
      </c>
      <c r="F445" t="s" s="19">
        <v>15</v>
      </c>
      <c r="G445" s="18">
        <v>3</v>
      </c>
      <c r="H445" t="s" s="19">
        <v>817</v>
      </c>
      <c r="I445" s="12"/>
      <c r="J445" s="12"/>
      <c r="K445" s="18">
        <f>(D445*6)+(E445*4)</f>
        <v>400</v>
      </c>
      <c r="L445" s="12"/>
      <c r="M445" s="12"/>
      <c r="N445" s="12"/>
      <c r="O445" s="12"/>
      <c r="P445" s="12"/>
    </row>
    <row r="446" ht="20.05" customHeight="1">
      <c r="A446" t="s" s="10">
        <v>818</v>
      </c>
      <c r="B446" t="s" s="11">
        <v>33</v>
      </c>
      <c r="C446" s="18">
        <v>800</v>
      </c>
      <c r="D446" s="18">
        <v>10</v>
      </c>
      <c r="E446" s="18">
        <v>15</v>
      </c>
      <c r="F446" t="s" s="19">
        <v>15</v>
      </c>
      <c r="G446" s="18">
        <v>2</v>
      </c>
      <c r="H446" t="s" s="19">
        <v>819</v>
      </c>
      <c r="I446" s="12"/>
      <c r="J446" s="12"/>
      <c r="K446" s="18">
        <f>(D446*6)+(E446*4)</f>
        <v>120</v>
      </c>
      <c r="L446" s="12"/>
      <c r="M446" s="12"/>
      <c r="N446" s="12"/>
      <c r="O446" s="12"/>
      <c r="P446" s="12"/>
    </row>
    <row r="447" ht="20.05" customHeight="1">
      <c r="A447" t="s" s="10">
        <v>820</v>
      </c>
      <c r="B447" t="s" s="11">
        <v>33</v>
      </c>
      <c r="C447" s="18">
        <v>500</v>
      </c>
      <c r="D447" s="18">
        <v>60</v>
      </c>
      <c r="E447" s="18">
        <v>30</v>
      </c>
      <c r="F447" t="s" s="19">
        <v>15</v>
      </c>
      <c r="G447" s="18">
        <v>3</v>
      </c>
      <c r="H447" t="s" s="19">
        <v>821</v>
      </c>
      <c r="I447" s="12"/>
      <c r="J447" s="12"/>
      <c r="K447" s="18">
        <f>(D447*6)+(E447*4)</f>
        <v>480</v>
      </c>
      <c r="L447" s="12"/>
      <c r="M447" s="12"/>
      <c r="N447" s="12"/>
      <c r="O447" s="12"/>
      <c r="P447" s="12"/>
    </row>
    <row r="448" ht="20.05" customHeight="1">
      <c r="A448" t="s" s="10">
        <v>822</v>
      </c>
      <c r="B448" t="s" s="11">
        <v>33</v>
      </c>
      <c r="C448" s="18">
        <v>660</v>
      </c>
      <c r="D448" s="18">
        <v>50</v>
      </c>
      <c r="E448" s="18">
        <v>25</v>
      </c>
      <c r="F448" t="s" s="19">
        <v>15</v>
      </c>
      <c r="G448" s="18">
        <v>3</v>
      </c>
      <c r="H448" t="s" s="19">
        <v>823</v>
      </c>
      <c r="I448" s="12"/>
      <c r="J448" s="12"/>
      <c r="K448" s="18">
        <f>(D448*6)+(E448*4)</f>
        <v>400</v>
      </c>
      <c r="L448" s="12"/>
      <c r="M448" s="12"/>
      <c r="N448" s="12"/>
      <c r="O448" s="12"/>
      <c r="P448" s="12"/>
    </row>
    <row r="449" ht="20.05" customHeight="1">
      <c r="A449" t="s" s="10">
        <v>824</v>
      </c>
      <c r="B449" t="s" s="11">
        <v>33</v>
      </c>
      <c r="C449" s="18">
        <v>750</v>
      </c>
      <c r="D449" s="18">
        <v>70</v>
      </c>
      <c r="E449" s="18">
        <v>60</v>
      </c>
      <c r="F449" t="s" s="19">
        <v>15</v>
      </c>
      <c r="G449" s="18">
        <v>3</v>
      </c>
      <c r="H449" t="s" s="19">
        <v>271</v>
      </c>
      <c r="I449" s="12"/>
      <c r="J449" s="12"/>
      <c r="K449" s="18">
        <f>(D449*6)+(E449*4)</f>
        <v>660</v>
      </c>
      <c r="L449" s="12"/>
      <c r="M449" s="12"/>
      <c r="N449" s="12"/>
      <c r="O449" s="12"/>
      <c r="P449" s="12"/>
    </row>
    <row r="450" ht="20.05" customHeight="1">
      <c r="A450" t="s" s="10">
        <v>825</v>
      </c>
      <c r="B450" t="s" s="11">
        <v>33</v>
      </c>
      <c r="C450" s="18">
        <v>700</v>
      </c>
      <c r="D450" s="18">
        <v>65</v>
      </c>
      <c r="E450" s="18">
        <v>50</v>
      </c>
      <c r="F450" t="s" s="19">
        <v>15</v>
      </c>
      <c r="G450" s="18">
        <v>3</v>
      </c>
      <c r="H450" t="s" s="19">
        <v>826</v>
      </c>
      <c r="I450" s="12"/>
      <c r="J450" s="12"/>
      <c r="K450" s="18">
        <f>(D450*6)+(E450*4)</f>
        <v>590</v>
      </c>
      <c r="L450" s="12"/>
      <c r="M450" s="12"/>
      <c r="N450" s="12"/>
      <c r="O450" s="12"/>
      <c r="P450" s="12"/>
    </row>
    <row r="451" ht="20.05" customHeight="1">
      <c r="A451" t="s" s="10">
        <v>827</v>
      </c>
      <c r="B451" t="s" s="11">
        <v>33</v>
      </c>
      <c r="C451" s="18">
        <v>500</v>
      </c>
      <c r="D451" s="18">
        <v>40</v>
      </c>
      <c r="E451" s="18">
        <v>30</v>
      </c>
      <c r="F451" t="s" s="19">
        <v>15</v>
      </c>
      <c r="G451" s="18">
        <v>3</v>
      </c>
      <c r="H451" t="s" s="19">
        <v>828</v>
      </c>
      <c r="I451" s="12"/>
      <c r="J451" s="12"/>
      <c r="K451" s="18">
        <f>(D451*6)+(E451*4)</f>
        <v>360</v>
      </c>
      <c r="L451" s="12"/>
      <c r="M451" s="12"/>
      <c r="N451" s="12"/>
      <c r="O451" s="12"/>
      <c r="P451" s="12"/>
    </row>
    <row r="452" ht="20.05" customHeight="1">
      <c r="A452" t="s" s="10">
        <v>829</v>
      </c>
      <c r="B452" t="s" s="11">
        <v>33</v>
      </c>
      <c r="C452" s="18">
        <v>600</v>
      </c>
      <c r="D452" s="18">
        <v>45</v>
      </c>
      <c r="E452" s="18">
        <v>35</v>
      </c>
      <c r="F452" t="s" s="19">
        <v>15</v>
      </c>
      <c r="G452" s="18">
        <v>3</v>
      </c>
      <c r="H452" t="s" s="19">
        <v>830</v>
      </c>
      <c r="I452" s="12"/>
      <c r="J452" s="12"/>
      <c r="K452" s="18">
        <f>(D452*6)+(E452*4)</f>
        <v>410</v>
      </c>
      <c r="L452" s="12"/>
      <c r="M452" s="12"/>
      <c r="N452" s="12"/>
      <c r="O452" s="12"/>
      <c r="P452" s="12"/>
    </row>
    <row r="453" ht="20.05" customHeight="1">
      <c r="A453" t="s" s="10">
        <v>831</v>
      </c>
      <c r="B453" t="s" s="11">
        <v>33</v>
      </c>
      <c r="C453" s="18">
        <v>700</v>
      </c>
      <c r="D453" s="18">
        <v>50</v>
      </c>
      <c r="E453" s="18">
        <v>25</v>
      </c>
      <c r="F453" t="s" s="19">
        <v>15</v>
      </c>
      <c r="G453" s="18">
        <v>3</v>
      </c>
      <c r="H453" t="s" s="19">
        <v>832</v>
      </c>
      <c r="I453" s="12"/>
      <c r="J453" s="12"/>
      <c r="K453" s="18">
        <f>(D453*6)+(E453*4)</f>
        <v>400</v>
      </c>
      <c r="L453" s="12"/>
      <c r="M453" s="12"/>
      <c r="N453" s="12"/>
      <c r="O453" s="12"/>
      <c r="P453" s="12"/>
    </row>
    <row r="454" ht="20.05" customHeight="1">
      <c r="A454" t="s" s="10">
        <v>833</v>
      </c>
      <c r="B454" t="s" s="11">
        <v>33</v>
      </c>
      <c r="C454" s="18">
        <v>650</v>
      </c>
      <c r="D454" s="18">
        <v>50</v>
      </c>
      <c r="E454" s="18">
        <v>70</v>
      </c>
      <c r="F454" t="s" s="19">
        <v>15</v>
      </c>
      <c r="G454" s="18">
        <v>3</v>
      </c>
      <c r="H454" t="s" s="19">
        <v>834</v>
      </c>
      <c r="I454" s="12"/>
      <c r="J454" s="12"/>
      <c r="K454" s="18">
        <f>(D454*6)+(E454*4)</f>
        <v>580</v>
      </c>
      <c r="L454" s="12"/>
      <c r="M454" s="12"/>
      <c r="N454" s="12"/>
      <c r="O454" s="12"/>
      <c r="P454" s="12"/>
    </row>
    <row r="455" ht="20.05" customHeight="1">
      <c r="A455" t="s" s="10">
        <v>835</v>
      </c>
      <c r="B455" t="s" s="11">
        <v>33</v>
      </c>
      <c r="C455" s="18">
        <v>350</v>
      </c>
      <c r="D455" s="18">
        <v>30</v>
      </c>
      <c r="E455" s="18">
        <v>20</v>
      </c>
      <c r="F455" t="s" s="19">
        <v>15</v>
      </c>
      <c r="G455" s="18">
        <v>2</v>
      </c>
      <c r="H455" t="s" s="19">
        <v>836</v>
      </c>
      <c r="I455" s="12"/>
      <c r="J455" s="12"/>
      <c r="K455" s="18">
        <f>(D455*6)+(E455*4)</f>
        <v>260</v>
      </c>
      <c r="L455" s="12"/>
      <c r="M455" s="12"/>
      <c r="N455" s="12"/>
      <c r="O455" s="12"/>
      <c r="P455" s="12"/>
    </row>
    <row r="456" ht="20.05" customHeight="1">
      <c r="A456" t="s" s="10">
        <v>837</v>
      </c>
      <c r="B456" t="s" s="11">
        <v>33</v>
      </c>
      <c r="C456" s="18">
        <v>780</v>
      </c>
      <c r="D456" s="18">
        <v>55</v>
      </c>
      <c r="E456" s="18">
        <v>50</v>
      </c>
      <c r="F456" t="s" s="19">
        <v>15</v>
      </c>
      <c r="G456" s="18">
        <v>3</v>
      </c>
      <c r="H456" t="s" s="19">
        <v>838</v>
      </c>
      <c r="I456" s="12"/>
      <c r="J456" s="12"/>
      <c r="K456" s="18">
        <f>(D456*6)+(E456*4)</f>
        <v>530</v>
      </c>
      <c r="L456" s="12"/>
      <c r="M456" s="12"/>
      <c r="N456" s="12"/>
      <c r="O456" s="12"/>
      <c r="P456" s="12"/>
    </row>
    <row r="457" ht="20.05" customHeight="1">
      <c r="A457" t="s" s="10">
        <v>839</v>
      </c>
      <c r="B457" t="s" s="11">
        <v>33</v>
      </c>
      <c r="C457" s="18">
        <v>800</v>
      </c>
      <c r="D457" s="18">
        <v>80</v>
      </c>
      <c r="E457" s="18">
        <v>20</v>
      </c>
      <c r="F457" t="s" s="19">
        <v>15</v>
      </c>
      <c r="G457" s="18">
        <v>3</v>
      </c>
      <c r="H457" t="s" s="19">
        <v>39</v>
      </c>
      <c r="I457" s="12"/>
      <c r="J457" s="12"/>
      <c r="K457" s="18">
        <f>(D457*6)+(E457*4)</f>
        <v>560</v>
      </c>
      <c r="L457" s="12"/>
      <c r="M457" s="12"/>
      <c r="N457" s="12"/>
      <c r="O457" s="12"/>
      <c r="P457" s="12"/>
    </row>
    <row r="458" ht="20.05" customHeight="1">
      <c r="A458" t="s" s="10">
        <v>840</v>
      </c>
      <c r="B458" t="s" s="11">
        <v>33</v>
      </c>
      <c r="C458" s="18">
        <v>1000</v>
      </c>
      <c r="D458" s="18">
        <v>70</v>
      </c>
      <c r="E458" s="18">
        <v>80</v>
      </c>
      <c r="F458" t="s" s="19">
        <v>15</v>
      </c>
      <c r="G458" s="18">
        <v>4</v>
      </c>
      <c r="H458" t="s" s="19">
        <v>841</v>
      </c>
      <c r="I458" s="12"/>
      <c r="J458" s="12"/>
      <c r="K458" s="18">
        <f>(D458*6)+(E458*4)</f>
        <v>740</v>
      </c>
      <c r="L458" s="12"/>
      <c r="M458" s="12"/>
      <c r="N458" s="12"/>
      <c r="O458" s="12"/>
      <c r="P458" s="12"/>
    </row>
    <row r="459" ht="44.05" customHeight="1">
      <c r="A459" t="s" s="10">
        <v>842</v>
      </c>
      <c r="B459" t="s" s="11">
        <v>33</v>
      </c>
      <c r="C459" s="18">
        <v>900</v>
      </c>
      <c r="D459" s="18">
        <v>75</v>
      </c>
      <c r="E459" s="18">
        <v>50</v>
      </c>
      <c r="F459" t="s" s="19">
        <v>15</v>
      </c>
      <c r="G459" s="18">
        <v>4</v>
      </c>
      <c r="H459" t="s" s="19">
        <v>843</v>
      </c>
      <c r="I459" s="12"/>
      <c r="J459" t="s" s="19">
        <v>35</v>
      </c>
      <c r="K459" s="18">
        <f>(D459*6)+(E459*4)</f>
        <v>650</v>
      </c>
      <c r="L459" t="s" s="19">
        <v>35</v>
      </c>
      <c r="M459" s="12"/>
      <c r="N459" s="12"/>
      <c r="O459" s="12"/>
      <c r="P459" t="s" s="19">
        <v>35</v>
      </c>
    </row>
    <row r="460" ht="14.7" customHeight="1">
      <c r="A460" t="s" s="10">
        <v>844</v>
      </c>
      <c r="B460" t="s" s="11">
        <v>33</v>
      </c>
      <c r="C460" s="18">
        <v>660</v>
      </c>
      <c r="D460" s="18">
        <v>55</v>
      </c>
      <c r="E460" s="18">
        <v>40</v>
      </c>
      <c r="F460" t="s" s="19">
        <v>15</v>
      </c>
      <c r="G460" s="18">
        <v>4</v>
      </c>
      <c r="H460" t="s" s="19">
        <v>845</v>
      </c>
      <c r="I460" s="12"/>
      <c r="J460" s="12"/>
      <c r="K460" s="18">
        <f>(D460*6)+(E460*4)</f>
        <v>490</v>
      </c>
      <c r="L460" s="12"/>
      <c r="M460" s="12"/>
      <c r="N460" s="12"/>
      <c r="O460" s="12"/>
      <c r="P460" s="12"/>
    </row>
    <row r="461" ht="20.05" customHeight="1">
      <c r="A461" t="s" s="10">
        <v>846</v>
      </c>
      <c r="B461" t="s" s="11">
        <v>33</v>
      </c>
      <c r="C461" s="18">
        <v>550</v>
      </c>
      <c r="D461" s="18">
        <v>45</v>
      </c>
      <c r="E461" s="18">
        <v>35</v>
      </c>
      <c r="F461" t="s" s="19">
        <v>15</v>
      </c>
      <c r="G461" s="18">
        <v>4</v>
      </c>
      <c r="H461" t="s" s="19">
        <v>847</v>
      </c>
      <c r="I461" s="12"/>
      <c r="J461" s="12"/>
      <c r="K461" s="18">
        <f>(D461*6)+(E461*4)</f>
        <v>410</v>
      </c>
      <c r="L461" s="12"/>
      <c r="M461" s="12"/>
      <c r="N461" s="12"/>
      <c r="O461" s="12"/>
      <c r="P461" s="12"/>
    </row>
    <row r="462" ht="20.05" customHeight="1">
      <c r="A462" t="s" s="10">
        <v>848</v>
      </c>
      <c r="B462" t="s" s="11">
        <v>33</v>
      </c>
      <c r="C462" s="18">
        <v>1100</v>
      </c>
      <c r="D462" s="18">
        <v>60</v>
      </c>
      <c r="E462" s="18">
        <v>60</v>
      </c>
      <c r="F462" t="s" s="19">
        <v>15</v>
      </c>
      <c r="G462" s="18">
        <v>4</v>
      </c>
      <c r="H462" t="s" s="19">
        <v>849</v>
      </c>
      <c r="I462" s="12"/>
      <c r="J462" s="12"/>
      <c r="K462" s="18">
        <f>(D462*6)+(E462*4)</f>
        <v>600</v>
      </c>
      <c r="L462" s="12"/>
      <c r="M462" s="12"/>
      <c r="N462" s="12"/>
      <c r="O462" s="12"/>
      <c r="P462" s="12"/>
    </row>
    <row r="463" ht="20.05" customHeight="1">
      <c r="A463" t="s" s="10">
        <v>850</v>
      </c>
      <c r="B463" t="s" s="11">
        <v>33</v>
      </c>
      <c r="C463" s="18">
        <v>1200</v>
      </c>
      <c r="D463" s="18">
        <v>100</v>
      </c>
      <c r="E463" s="18">
        <v>90</v>
      </c>
      <c r="F463" t="s" s="19">
        <v>15</v>
      </c>
      <c r="G463" s="18">
        <v>4</v>
      </c>
      <c r="H463" t="s" s="19">
        <v>851</v>
      </c>
      <c r="I463" s="12"/>
      <c r="J463" s="12"/>
      <c r="K463" s="18">
        <f>(D463*6)+(E463*4)</f>
        <v>960</v>
      </c>
      <c r="L463" s="12"/>
      <c r="M463" s="12"/>
      <c r="N463" s="12"/>
      <c r="O463" s="12"/>
      <c r="P463" s="12"/>
    </row>
    <row r="464" ht="20.05" customHeight="1">
      <c r="A464" t="s" s="10">
        <v>852</v>
      </c>
      <c r="B464" t="s" s="11">
        <v>33</v>
      </c>
      <c r="C464" s="18">
        <v>900</v>
      </c>
      <c r="D464" s="18">
        <v>30</v>
      </c>
      <c r="E464" s="18">
        <v>100</v>
      </c>
      <c r="F464" t="s" s="19">
        <v>15</v>
      </c>
      <c r="G464" s="18">
        <v>4</v>
      </c>
      <c r="H464" t="s" s="19">
        <v>853</v>
      </c>
      <c r="I464" s="12"/>
      <c r="J464" s="12"/>
      <c r="K464" s="18">
        <f>(D464*6)+(E464*4)</f>
        <v>580</v>
      </c>
      <c r="L464" s="12"/>
      <c r="M464" s="12"/>
      <c r="N464" s="12"/>
      <c r="O464" s="12"/>
      <c r="P464" s="12"/>
    </row>
    <row r="465" ht="20.05" customHeight="1">
      <c r="A465" t="s" s="10">
        <v>854</v>
      </c>
      <c r="B465" t="s" s="11">
        <v>33</v>
      </c>
      <c r="C465" s="18">
        <v>980</v>
      </c>
      <c r="D465" s="18">
        <v>110</v>
      </c>
      <c r="E465" s="18">
        <v>80</v>
      </c>
      <c r="F465" t="s" s="19">
        <v>15</v>
      </c>
      <c r="G465" s="18">
        <v>4</v>
      </c>
      <c r="H465" t="s" s="19">
        <v>855</v>
      </c>
      <c r="I465" s="12"/>
      <c r="J465" s="12"/>
      <c r="K465" s="18">
        <f>(D465*6)+(E465*4)</f>
        <v>980</v>
      </c>
      <c r="L465" s="12"/>
      <c r="M465" s="12"/>
      <c r="N465" s="12"/>
      <c r="O465" s="12"/>
      <c r="P465" s="12"/>
    </row>
    <row r="466" ht="20.05" customHeight="1">
      <c r="A466" t="s" s="10">
        <v>856</v>
      </c>
      <c r="B466" t="s" s="11">
        <v>33</v>
      </c>
      <c r="C466" s="18">
        <v>1200</v>
      </c>
      <c r="D466" s="18">
        <v>90</v>
      </c>
      <c r="E466" s="18">
        <v>150</v>
      </c>
      <c r="F466" t="s" s="19">
        <v>15</v>
      </c>
      <c r="G466" s="18">
        <v>5</v>
      </c>
      <c r="H466" t="s" s="19">
        <v>857</v>
      </c>
      <c r="I466" s="12"/>
      <c r="J466" s="12"/>
      <c r="K466" s="18">
        <f>(D466*6)+(E466*4)</f>
        <v>1140</v>
      </c>
      <c r="L466" s="12"/>
      <c r="M466" s="12"/>
      <c r="N466" s="12"/>
      <c r="O466" s="12"/>
      <c r="P466" s="12"/>
    </row>
    <row r="467" ht="20.05" customHeight="1">
      <c r="A467" t="s" s="10">
        <v>858</v>
      </c>
      <c r="B467" t="s" s="11">
        <v>33</v>
      </c>
      <c r="C467" s="18">
        <v>1000</v>
      </c>
      <c r="D467" s="18">
        <v>20</v>
      </c>
      <c r="E467" s="18">
        <v>100</v>
      </c>
      <c r="F467" t="s" s="19">
        <v>15</v>
      </c>
      <c r="G467" s="18">
        <v>5</v>
      </c>
      <c r="H467" t="s" s="19">
        <v>859</v>
      </c>
      <c r="I467" s="12"/>
      <c r="J467" s="12"/>
      <c r="K467" s="18">
        <f>(D467*6)+(E467*4)</f>
        <v>520</v>
      </c>
      <c r="L467" s="12"/>
      <c r="M467" s="12"/>
      <c r="N467" s="12"/>
      <c r="O467" s="12"/>
      <c r="P467" s="12"/>
    </row>
    <row r="468" ht="20.05" customHeight="1">
      <c r="A468" t="s" s="10">
        <v>860</v>
      </c>
      <c r="B468" t="s" s="11">
        <v>33</v>
      </c>
      <c r="C468" s="18">
        <v>1300</v>
      </c>
      <c r="D468" s="18">
        <v>125</v>
      </c>
      <c r="E468" s="18">
        <v>100</v>
      </c>
      <c r="F468" t="s" s="19">
        <v>15</v>
      </c>
      <c r="G468" s="18">
        <v>5</v>
      </c>
      <c r="H468" t="s" s="19">
        <v>861</v>
      </c>
      <c r="I468" s="12"/>
      <c r="J468" s="12"/>
      <c r="K468" s="18">
        <f>(D468*6)+(E468*4)</f>
        <v>1150</v>
      </c>
      <c r="L468" s="12"/>
      <c r="M468" s="12"/>
      <c r="N468" s="12"/>
      <c r="O468" s="12"/>
      <c r="P468" s="12"/>
    </row>
    <row r="469" ht="20.05" customHeight="1">
      <c r="A469" t="s" s="10">
        <v>862</v>
      </c>
      <c r="B469" t="s" s="11">
        <v>33</v>
      </c>
      <c r="C469" s="18">
        <v>1200</v>
      </c>
      <c r="D469" s="18">
        <v>100</v>
      </c>
      <c r="E469" s="18">
        <v>40</v>
      </c>
      <c r="F469" t="s" s="19">
        <v>15</v>
      </c>
      <c r="G469" s="18">
        <v>5</v>
      </c>
      <c r="H469" t="s" s="19">
        <v>863</v>
      </c>
      <c r="I469" s="12"/>
      <c r="J469" s="12"/>
      <c r="K469" s="18">
        <f>(D469*6)+(E469*4)</f>
        <v>760</v>
      </c>
      <c r="L469" s="12"/>
      <c r="M469" s="12"/>
      <c r="N469" s="12"/>
      <c r="O469" s="12"/>
      <c r="P469" s="12"/>
    </row>
    <row r="470" ht="20.05" customHeight="1">
      <c r="A470" t="s" s="10">
        <v>864</v>
      </c>
      <c r="B470" t="s" s="11">
        <v>33</v>
      </c>
      <c r="C470" s="18">
        <v>100</v>
      </c>
      <c r="D470" s="18">
        <v>60</v>
      </c>
      <c r="E470" s="18">
        <v>60</v>
      </c>
      <c r="F470" t="s" s="19">
        <v>15</v>
      </c>
      <c r="G470" s="18">
        <v>5</v>
      </c>
      <c r="H470" t="s" s="19">
        <v>865</v>
      </c>
      <c r="I470" s="12"/>
      <c r="J470" s="12"/>
      <c r="K470" s="18">
        <f>(D470*6)+(E470*4)</f>
        <v>600</v>
      </c>
      <c r="L470" s="12"/>
      <c r="M470" s="12"/>
      <c r="N470" s="12"/>
      <c r="O470" s="12"/>
      <c r="P470" s="12"/>
    </row>
    <row r="471" ht="20.05" customHeight="1">
      <c r="A471" t="s" s="10">
        <v>866</v>
      </c>
      <c r="B471" t="s" s="11">
        <v>33</v>
      </c>
      <c r="C471" s="18">
        <v>1000</v>
      </c>
      <c r="D471" s="18">
        <v>90</v>
      </c>
      <c r="E471" s="18">
        <v>65</v>
      </c>
      <c r="F471" t="s" s="19">
        <v>15</v>
      </c>
      <c r="G471" s="18">
        <v>5</v>
      </c>
      <c r="H471" t="s" s="19">
        <v>867</v>
      </c>
      <c r="I471" s="12"/>
      <c r="J471" s="12"/>
      <c r="K471" s="18">
        <f>(D471*6)+(E471*4)</f>
        <v>800</v>
      </c>
      <c r="L471" s="12"/>
      <c r="M471" s="12"/>
      <c r="N471" s="12"/>
      <c r="O471" s="12"/>
      <c r="P471" s="12"/>
    </row>
    <row r="472" ht="20.05" customHeight="1">
      <c r="A472" t="s" s="10">
        <v>868</v>
      </c>
      <c r="B472" t="s" s="11">
        <v>33</v>
      </c>
      <c r="C472" s="18">
        <v>1500</v>
      </c>
      <c r="D472" s="18">
        <v>140</v>
      </c>
      <c r="E472" s="18">
        <v>120</v>
      </c>
      <c r="F472" t="s" s="19">
        <v>15</v>
      </c>
      <c r="G472" s="18">
        <v>5</v>
      </c>
      <c r="H472" t="s" s="19">
        <v>869</v>
      </c>
      <c r="I472" s="12"/>
      <c r="J472" s="12"/>
      <c r="K472" s="18">
        <f>(D472*6)+(E472*4)</f>
        <v>1320</v>
      </c>
      <c r="L472" s="12"/>
      <c r="M472" s="12"/>
      <c r="N472" s="12"/>
      <c r="O472" s="12"/>
      <c r="P472" s="12"/>
    </row>
    <row r="473" ht="38.7" customHeight="1">
      <c r="A473" t="s" s="10">
        <v>870</v>
      </c>
      <c r="B473" t="s" s="11">
        <v>33</v>
      </c>
      <c r="C473" s="18">
        <v>550</v>
      </c>
      <c r="D473" s="18">
        <v>45</v>
      </c>
      <c r="E473" s="18">
        <v>75</v>
      </c>
      <c r="F473" t="s" s="19">
        <v>9</v>
      </c>
      <c r="G473" s="18">
        <v>4</v>
      </c>
      <c r="H473" t="s" s="19">
        <v>871</v>
      </c>
      <c r="I473" s="12"/>
      <c r="J473" t="s" s="19">
        <v>35</v>
      </c>
      <c r="K473" s="18">
        <f>(D473*6)+(E473*4)</f>
        <v>570</v>
      </c>
      <c r="L473" t="s" s="19">
        <v>35</v>
      </c>
      <c r="M473" s="12"/>
      <c r="N473" s="12"/>
      <c r="O473" s="12"/>
      <c r="P473" t="s" s="19">
        <v>35</v>
      </c>
    </row>
    <row r="474" ht="38.7" customHeight="1">
      <c r="A474" t="s" s="10">
        <v>872</v>
      </c>
      <c r="B474" t="s" s="11">
        <v>33</v>
      </c>
      <c r="C474" s="18">
        <v>1100</v>
      </c>
      <c r="D474" s="18">
        <v>40</v>
      </c>
      <c r="E474" s="18">
        <v>25</v>
      </c>
      <c r="F474" t="s" s="19">
        <v>9</v>
      </c>
      <c r="G474" s="18">
        <v>3</v>
      </c>
      <c r="H474" t="s" s="19">
        <v>873</v>
      </c>
      <c r="I474" s="12"/>
      <c r="J474" t="s" s="19">
        <v>35</v>
      </c>
      <c r="K474" s="18">
        <f>(D474*6)+(E474*4)</f>
        <v>340</v>
      </c>
      <c r="L474" t="s" s="19">
        <v>35</v>
      </c>
      <c r="M474" s="12"/>
      <c r="N474" s="12"/>
      <c r="O474" t="s" s="19">
        <v>35</v>
      </c>
      <c r="P474" s="12"/>
    </row>
    <row r="475" ht="44.05" customHeight="1">
      <c r="A475" t="s" s="10">
        <v>874</v>
      </c>
      <c r="B475" t="s" s="11">
        <v>33</v>
      </c>
      <c r="C475" s="18">
        <v>1200</v>
      </c>
      <c r="D475" s="18">
        <v>75</v>
      </c>
      <c r="E475" s="18">
        <v>55</v>
      </c>
      <c r="F475" t="s" s="19">
        <v>11</v>
      </c>
      <c r="G475" s="18">
        <v>5</v>
      </c>
      <c r="H475" t="s" s="19">
        <v>875</v>
      </c>
      <c r="I475" s="12"/>
      <c r="J475" s="12"/>
      <c r="K475" s="18">
        <f>(D475*6)+(E475*4)</f>
        <v>670</v>
      </c>
      <c r="L475" s="12"/>
      <c r="M475" s="12"/>
      <c r="N475" s="12"/>
      <c r="O475" s="12"/>
      <c r="P475" s="12"/>
    </row>
    <row r="476" ht="20.05" customHeight="1">
      <c r="A476" t="s" s="10">
        <v>876</v>
      </c>
      <c r="B476" t="s" s="11">
        <v>33</v>
      </c>
      <c r="C476" s="18">
        <v>500</v>
      </c>
      <c r="D476" s="18">
        <v>35</v>
      </c>
      <c r="E476" s="20">
        <v>35</v>
      </c>
      <c r="F476" t="s" s="11">
        <v>5</v>
      </c>
      <c r="G476" s="18">
        <v>3</v>
      </c>
      <c r="H476" t="s" s="19">
        <v>39</v>
      </c>
      <c r="I476" s="12"/>
      <c r="J476" s="12"/>
      <c r="K476" s="18">
        <f>(D476*6)+(E476*4)</f>
        <v>350</v>
      </c>
      <c r="L476" s="12"/>
      <c r="M476" s="12"/>
      <c r="N476" s="12"/>
      <c r="O476" s="12"/>
      <c r="P476" s="12"/>
    </row>
    <row r="477" ht="26.7" customHeight="1">
      <c r="A477" t="s" s="10">
        <v>877</v>
      </c>
      <c r="B477" t="s" s="11">
        <v>33</v>
      </c>
      <c r="C477" s="18">
        <v>500</v>
      </c>
      <c r="D477" s="18">
        <v>45</v>
      </c>
      <c r="E477" s="20">
        <v>45</v>
      </c>
      <c r="F477" t="s" s="11">
        <v>3</v>
      </c>
      <c r="G477" s="12"/>
      <c r="H477" t="s" s="19">
        <v>878</v>
      </c>
      <c r="I477" s="12"/>
      <c r="J477" s="12"/>
      <c r="K477" s="18">
        <f>(D477*6)+(E477*4)</f>
        <v>450</v>
      </c>
      <c r="L477" s="12"/>
      <c r="M477" s="12"/>
      <c r="N477" s="12"/>
      <c r="O477" s="12"/>
      <c r="P477" s="12"/>
    </row>
    <row r="478" ht="20.05" customHeight="1">
      <c r="A478" t="s" s="10">
        <v>879</v>
      </c>
      <c r="B478" t="s" s="11">
        <v>33</v>
      </c>
      <c r="C478" s="18">
        <v>1000</v>
      </c>
      <c r="D478" s="18">
        <v>50</v>
      </c>
      <c r="E478" s="18">
        <v>25</v>
      </c>
      <c r="F478" t="s" s="19">
        <v>3</v>
      </c>
      <c r="G478" s="18">
        <v>4</v>
      </c>
      <c r="H478" t="s" s="19">
        <v>880</v>
      </c>
      <c r="I478" s="12"/>
      <c r="J478" t="s" s="19">
        <v>35</v>
      </c>
      <c r="K478" s="18">
        <f>(D478*6)+(E478*4)</f>
        <v>400</v>
      </c>
      <c r="L478" t="s" s="19">
        <v>35</v>
      </c>
      <c r="M478" s="12"/>
      <c r="N478" s="12"/>
      <c r="O478" t="s" s="19">
        <v>35</v>
      </c>
      <c r="P478" s="12"/>
    </row>
    <row r="479" ht="20.05" customHeight="1">
      <c r="A479" t="s" s="10">
        <v>881</v>
      </c>
      <c r="B479" t="s" s="11">
        <v>33</v>
      </c>
      <c r="C479" s="18">
        <v>800</v>
      </c>
      <c r="D479" s="18">
        <v>20</v>
      </c>
      <c r="E479" s="18">
        <v>60</v>
      </c>
      <c r="F479" t="s" s="19">
        <v>7</v>
      </c>
      <c r="G479" s="18">
        <v>3</v>
      </c>
      <c r="H479" t="s" s="19">
        <v>882</v>
      </c>
      <c r="I479" s="12"/>
      <c r="J479" t="s" s="19">
        <v>35</v>
      </c>
      <c r="K479" s="18">
        <f>(D479*6)+(E479*4)</f>
        <v>360</v>
      </c>
      <c r="L479" t="s" s="19">
        <v>35</v>
      </c>
      <c r="M479" s="12"/>
      <c r="N479" t="s" s="19">
        <v>35</v>
      </c>
      <c r="O479" s="12"/>
      <c r="P479" s="12"/>
    </row>
    <row r="480" ht="20.05" customHeight="1">
      <c r="A480" t="s" s="10">
        <v>883</v>
      </c>
      <c r="B480" t="s" s="11">
        <v>33</v>
      </c>
      <c r="C480" s="18">
        <v>400</v>
      </c>
      <c r="D480" s="18">
        <v>35</v>
      </c>
      <c r="E480" s="18">
        <v>40</v>
      </c>
      <c r="F480" t="s" s="19">
        <v>7</v>
      </c>
      <c r="G480" s="18">
        <v>3</v>
      </c>
      <c r="H480" t="s" s="19">
        <v>884</v>
      </c>
      <c r="I480" s="12"/>
      <c r="J480" s="12"/>
      <c r="K480" s="18">
        <f>(D480*6)+(E480*4)</f>
        <v>370</v>
      </c>
      <c r="L480" s="12"/>
      <c r="M480" s="12"/>
      <c r="N480" s="12"/>
      <c r="O480" s="12"/>
      <c r="P480" s="12"/>
    </row>
    <row r="481" ht="20.05" customHeight="1">
      <c r="A481" t="s" s="10">
        <v>885</v>
      </c>
      <c r="B481" t="s" s="11">
        <v>33</v>
      </c>
      <c r="C481" s="18">
        <v>300</v>
      </c>
      <c r="D481" s="18">
        <v>25</v>
      </c>
      <c r="E481" s="18">
        <v>0</v>
      </c>
      <c r="F481" t="s" s="19">
        <v>11</v>
      </c>
      <c r="G481" s="18">
        <v>2</v>
      </c>
      <c r="H481" t="s" s="19">
        <v>886</v>
      </c>
      <c r="I481" s="12"/>
      <c r="J481" s="19"/>
      <c r="K481" s="18">
        <f>(D481*6)+(E481*4)</f>
        <v>150</v>
      </c>
      <c r="L481" s="19"/>
      <c r="M481" s="12"/>
      <c r="N481" s="12"/>
      <c r="O481" s="19"/>
      <c r="P481" s="12"/>
    </row>
    <row r="482" ht="20.05" customHeight="1">
      <c r="A482" t="s" s="10">
        <v>887</v>
      </c>
      <c r="B482" t="s" s="11">
        <v>33</v>
      </c>
      <c r="C482" s="18">
        <v>500</v>
      </c>
      <c r="D482" s="18">
        <v>70</v>
      </c>
      <c r="E482" s="18">
        <v>15</v>
      </c>
      <c r="F482" t="s" s="19">
        <v>5</v>
      </c>
      <c r="G482" s="18">
        <v>3</v>
      </c>
      <c r="H482" t="s" s="19">
        <v>888</v>
      </c>
      <c r="I482" s="12"/>
      <c r="J482" s="19"/>
      <c r="K482" s="18">
        <f>(D482*6)+(E482*4)</f>
        <v>480</v>
      </c>
      <c r="L482" s="19"/>
      <c r="M482" s="12"/>
      <c r="N482" s="12"/>
      <c r="O482" s="12"/>
      <c r="P482" s="12"/>
    </row>
    <row r="483" ht="20.05" customHeight="1">
      <c r="A483" t="s" s="10">
        <v>889</v>
      </c>
      <c r="B483" t="s" s="11">
        <v>33</v>
      </c>
      <c r="C483" s="18">
        <v>450</v>
      </c>
      <c r="D483" s="18">
        <v>55</v>
      </c>
      <c r="E483" s="18">
        <v>20</v>
      </c>
      <c r="F483" t="s" s="19">
        <v>11</v>
      </c>
      <c r="G483" s="18">
        <v>3</v>
      </c>
      <c r="H483" t="s" s="19">
        <v>890</v>
      </c>
      <c r="I483" s="12"/>
      <c r="J483" s="19"/>
      <c r="K483" s="18">
        <f>(D483*6)+(E483*4)</f>
        <v>410</v>
      </c>
      <c r="L483" s="19"/>
      <c r="M483" s="12"/>
      <c r="N483" s="12"/>
      <c r="O483" s="12"/>
      <c r="P483" s="12"/>
    </row>
    <row r="484" ht="20.05" customHeight="1">
      <c r="A484" t="s" s="10">
        <v>891</v>
      </c>
      <c r="B484" t="s" s="11">
        <v>33</v>
      </c>
      <c r="C484" s="18">
        <v>800</v>
      </c>
      <c r="D484" s="18">
        <v>80</v>
      </c>
      <c r="E484" s="18">
        <v>60</v>
      </c>
      <c r="F484" t="s" s="19">
        <v>5</v>
      </c>
      <c r="G484" s="18">
        <v>4</v>
      </c>
      <c r="H484" t="s" s="19">
        <v>39</v>
      </c>
      <c r="I484" s="12"/>
      <c r="J484" s="19"/>
      <c r="K484" s="18">
        <f>(D484*6)+(E484*4)</f>
        <v>720</v>
      </c>
      <c r="L484" s="19"/>
      <c r="M484" s="12"/>
      <c r="N484" s="12"/>
      <c r="O484" s="12"/>
      <c r="P484" s="12"/>
    </row>
    <row r="485" ht="20.05" customHeight="1">
      <c r="A485" t="s" s="10">
        <v>892</v>
      </c>
      <c r="B485" t="s" s="11">
        <v>33</v>
      </c>
      <c r="C485" s="18">
        <v>580</v>
      </c>
      <c r="D485" s="18">
        <v>60</v>
      </c>
      <c r="E485" s="18">
        <v>30</v>
      </c>
      <c r="F485" t="s" s="19">
        <v>11</v>
      </c>
      <c r="G485" s="18">
        <v>3</v>
      </c>
      <c r="H485" t="s" s="19">
        <v>893</v>
      </c>
      <c r="I485" s="12"/>
      <c r="J485" s="19"/>
      <c r="K485" s="18">
        <f>(D485*6)+(E485*4)</f>
        <v>480</v>
      </c>
      <c r="L485" s="19"/>
      <c r="M485" s="12"/>
      <c r="N485" s="12"/>
      <c r="O485" s="12"/>
      <c r="P485" s="12"/>
    </row>
    <row r="486" ht="20.05" customHeight="1">
      <c r="A486" t="s" s="10">
        <v>894</v>
      </c>
      <c r="B486" t="s" s="11">
        <v>33</v>
      </c>
      <c r="C486" s="18">
        <v>500</v>
      </c>
      <c r="D486" s="18">
        <v>40</v>
      </c>
      <c r="E486" s="18">
        <v>30</v>
      </c>
      <c r="F486" t="s" s="19">
        <v>15</v>
      </c>
      <c r="G486" s="18">
        <v>2</v>
      </c>
      <c r="H486" t="s" s="19">
        <v>895</v>
      </c>
      <c r="I486" s="12"/>
      <c r="J486" s="19"/>
      <c r="K486" s="18">
        <f>(D486*6)+(E486*4)</f>
        <v>360</v>
      </c>
      <c r="L486" s="19"/>
      <c r="M486" s="12"/>
      <c r="N486" s="12"/>
      <c r="O486" s="12"/>
      <c r="P486" s="12"/>
    </row>
    <row r="487" ht="20.05" customHeight="1">
      <c r="A487" t="s" s="10">
        <v>896</v>
      </c>
      <c r="B487" t="s" s="11">
        <v>33</v>
      </c>
      <c r="C487" s="18">
        <v>300</v>
      </c>
      <c r="D487" s="18">
        <v>10</v>
      </c>
      <c r="E487" s="18">
        <v>25</v>
      </c>
      <c r="F487" t="s" s="19">
        <v>9</v>
      </c>
      <c r="G487" s="18">
        <v>2</v>
      </c>
      <c r="H487" t="s" s="19">
        <v>897</v>
      </c>
      <c r="I487" s="12"/>
      <c r="J487" s="19"/>
      <c r="K487" s="18">
        <f>(D487*6)+(E487*4)</f>
        <v>160</v>
      </c>
      <c r="L487" s="19"/>
      <c r="M487" s="12"/>
      <c r="N487" s="12"/>
      <c r="O487" s="12"/>
      <c r="P487" s="12"/>
    </row>
    <row r="488" ht="20.05" customHeight="1">
      <c r="A488" t="s" s="10">
        <v>898</v>
      </c>
      <c r="B488" t="s" s="11">
        <v>33</v>
      </c>
      <c r="C488" s="18">
        <v>320</v>
      </c>
      <c r="D488" s="18">
        <v>40</v>
      </c>
      <c r="E488" s="18">
        <v>20</v>
      </c>
      <c r="F488" t="s" s="19">
        <v>9</v>
      </c>
      <c r="G488" s="18">
        <v>1</v>
      </c>
      <c r="H488" t="s" s="19">
        <v>899</v>
      </c>
      <c r="I488" s="12"/>
      <c r="J488" s="19"/>
      <c r="K488" s="18">
        <f>(D488*6)+(E488*4)</f>
        <v>320</v>
      </c>
      <c r="L488" s="19"/>
      <c r="M488" s="12"/>
      <c r="N488" s="12"/>
      <c r="O488" s="12"/>
      <c r="P488" s="19"/>
    </row>
    <row r="489" ht="20.05" customHeight="1">
      <c r="A489" t="s" s="10">
        <v>900</v>
      </c>
      <c r="B489" t="s" s="11">
        <v>33</v>
      </c>
      <c r="C489" s="18">
        <v>290</v>
      </c>
      <c r="D489" s="18">
        <v>25</v>
      </c>
      <c r="E489" s="18">
        <v>35</v>
      </c>
      <c r="F489" t="s" s="19">
        <v>9</v>
      </c>
      <c r="G489" s="18">
        <v>1</v>
      </c>
      <c r="H489" t="s" s="19">
        <v>901</v>
      </c>
      <c r="I489" s="12"/>
      <c r="J489" s="19"/>
      <c r="K489" s="18">
        <f>(D489*6)+(E489*4)</f>
        <v>290</v>
      </c>
      <c r="L489" s="12"/>
      <c r="M489" s="12"/>
      <c r="N489" s="12"/>
      <c r="O489" s="12"/>
      <c r="P489" s="12"/>
    </row>
    <row r="490" ht="20.05" customHeight="1">
      <c r="A490" t="s" s="10">
        <v>902</v>
      </c>
      <c r="B490" t="s" s="11">
        <v>33</v>
      </c>
      <c r="C490" s="18">
        <v>250</v>
      </c>
      <c r="D490" s="18">
        <v>15</v>
      </c>
      <c r="E490" s="18">
        <v>15</v>
      </c>
      <c r="F490" t="s" s="19">
        <v>9</v>
      </c>
      <c r="G490" s="18">
        <v>2</v>
      </c>
      <c r="H490" t="s" s="19">
        <v>903</v>
      </c>
      <c r="I490" s="12"/>
      <c r="J490" s="19"/>
      <c r="K490" s="18">
        <f>(D490*6)+(E490*4)</f>
        <v>150</v>
      </c>
      <c r="L490" s="12"/>
      <c r="M490" s="12"/>
      <c r="N490" s="12"/>
      <c r="O490" s="12"/>
      <c r="P490" s="12"/>
    </row>
    <row r="491" ht="20.05" customHeight="1">
      <c r="A491" t="s" s="10">
        <v>904</v>
      </c>
      <c r="B491" t="s" s="11">
        <v>33</v>
      </c>
      <c r="C491" s="18">
        <v>400</v>
      </c>
      <c r="D491" s="18">
        <v>40</v>
      </c>
      <c r="E491" s="18">
        <v>35</v>
      </c>
      <c r="F491" t="s" s="19">
        <v>9</v>
      </c>
      <c r="G491" s="18">
        <v>2</v>
      </c>
      <c r="H491" t="s" s="19">
        <v>905</v>
      </c>
      <c r="I491" s="12"/>
      <c r="J491" s="19"/>
      <c r="K491" s="18">
        <f>(D491*6)+(E491*4)</f>
        <v>380</v>
      </c>
      <c r="L491" s="12"/>
      <c r="M491" s="12"/>
      <c r="N491" s="12"/>
      <c r="O491" s="12"/>
      <c r="P491" s="12"/>
    </row>
    <row r="492" ht="20.05" customHeight="1">
      <c r="A492" t="s" s="10">
        <v>906</v>
      </c>
      <c r="B492" t="s" s="11">
        <v>33</v>
      </c>
      <c r="C492" s="18">
        <v>500</v>
      </c>
      <c r="D492" s="18">
        <v>10</v>
      </c>
      <c r="E492" s="18">
        <v>30</v>
      </c>
      <c r="F492" t="s" s="19">
        <v>9</v>
      </c>
      <c r="G492" s="18">
        <v>2</v>
      </c>
      <c r="H492" t="s" s="19">
        <v>907</v>
      </c>
      <c r="I492" s="12"/>
      <c r="J492" s="19"/>
      <c r="K492" s="18">
        <f>(D492*6)+(E492*4)</f>
        <v>180</v>
      </c>
      <c r="L492" s="12"/>
      <c r="M492" s="12"/>
      <c r="N492" s="12"/>
      <c r="O492" s="12"/>
      <c r="P492" s="12"/>
    </row>
    <row r="493" ht="20.05" customHeight="1">
      <c r="A493" t="s" s="10">
        <v>908</v>
      </c>
      <c r="B493" t="s" s="11">
        <v>33</v>
      </c>
      <c r="C493" s="18">
        <v>400</v>
      </c>
      <c r="D493" s="18">
        <v>40</v>
      </c>
      <c r="E493" s="18">
        <v>40</v>
      </c>
      <c r="F493" t="s" s="19">
        <v>7</v>
      </c>
      <c r="G493" s="18">
        <v>2</v>
      </c>
      <c r="H493" t="s" s="19">
        <v>909</v>
      </c>
      <c r="I493" s="12"/>
      <c r="J493" s="19"/>
      <c r="K493" s="18">
        <f>(D493*6)+(E493*4)</f>
        <v>400</v>
      </c>
      <c r="L493" s="12"/>
      <c r="M493" s="12"/>
      <c r="N493" s="12"/>
      <c r="O493" s="12"/>
      <c r="P493" s="12"/>
    </row>
    <row r="494" ht="20.05" customHeight="1">
      <c r="A494" t="s" s="10">
        <v>910</v>
      </c>
      <c r="B494" t="s" s="11">
        <v>33</v>
      </c>
      <c r="C494" s="18">
        <v>950</v>
      </c>
      <c r="D494" s="18">
        <v>95</v>
      </c>
      <c r="E494" s="18">
        <v>70</v>
      </c>
      <c r="F494" t="s" s="19">
        <v>7</v>
      </c>
      <c r="G494" s="18">
        <v>4</v>
      </c>
      <c r="H494" t="s" s="19">
        <v>911</v>
      </c>
      <c r="I494" s="12"/>
      <c r="J494" s="19"/>
      <c r="K494" s="18">
        <f>(D494*6)+(E494*4)</f>
        <v>850</v>
      </c>
      <c r="L494" s="12"/>
      <c r="M494" s="12"/>
      <c r="N494" s="12"/>
      <c r="O494" s="12"/>
      <c r="P494" s="12"/>
    </row>
    <row r="495" ht="20.05" customHeight="1">
      <c r="A495" t="s" s="10">
        <v>912</v>
      </c>
      <c r="B495" t="s" s="11">
        <v>33</v>
      </c>
      <c r="C495" s="18">
        <v>600</v>
      </c>
      <c r="D495" s="18">
        <v>65</v>
      </c>
      <c r="E495" s="18">
        <v>35</v>
      </c>
      <c r="F495" t="s" s="19">
        <v>7</v>
      </c>
      <c r="G495" s="18">
        <v>3</v>
      </c>
      <c r="H495" t="s" s="19">
        <v>39</v>
      </c>
      <c r="I495" s="12"/>
      <c r="J495" s="19"/>
      <c r="K495" s="18">
        <f>(D495*6)+(E495*4)</f>
        <v>530</v>
      </c>
      <c r="L495" s="12"/>
      <c r="M495" s="12"/>
      <c r="N495" s="12"/>
      <c r="O495" s="12"/>
      <c r="P495" s="12"/>
    </row>
    <row r="496" ht="20.05" customHeight="1">
      <c r="A496" t="s" s="10">
        <v>913</v>
      </c>
      <c r="B496" t="s" s="11">
        <v>33</v>
      </c>
      <c r="C496" s="18">
        <v>1000</v>
      </c>
      <c r="D496" s="18">
        <v>60</v>
      </c>
      <c r="E496" s="18">
        <v>60</v>
      </c>
      <c r="F496" t="s" s="19">
        <v>7</v>
      </c>
      <c r="G496" s="18">
        <v>4</v>
      </c>
      <c r="H496" t="s" s="19">
        <v>914</v>
      </c>
      <c r="I496" s="12"/>
      <c r="J496" s="19"/>
      <c r="K496" s="18">
        <f>(D496*6)+(E496*4)</f>
        <v>600</v>
      </c>
      <c r="L496" s="12"/>
      <c r="M496" s="12"/>
      <c r="N496" s="12"/>
      <c r="O496" s="12"/>
      <c r="P496" s="12"/>
    </row>
    <row r="497" ht="20.05" customHeight="1">
      <c r="A497" t="s" s="10">
        <v>915</v>
      </c>
      <c r="B497" t="s" s="11">
        <v>33</v>
      </c>
      <c r="C497" s="18">
        <v>1250</v>
      </c>
      <c r="D497" s="18">
        <v>120</v>
      </c>
      <c r="E497" s="18">
        <v>110</v>
      </c>
      <c r="F497" t="s" s="19">
        <v>7</v>
      </c>
      <c r="G497" s="18">
        <v>5</v>
      </c>
      <c r="H497" t="s" s="19">
        <v>916</v>
      </c>
      <c r="I497" s="12"/>
      <c r="J497" s="19"/>
      <c r="K497" s="18">
        <f>(D497*6)+(E497*4)</f>
        <v>1160</v>
      </c>
      <c r="L497" s="12"/>
      <c r="M497" s="12"/>
      <c r="N497" s="12"/>
      <c r="O497" s="12"/>
      <c r="P497" s="12"/>
    </row>
    <row r="498" ht="20.05" customHeight="1">
      <c r="A498" t="s" s="10">
        <v>917</v>
      </c>
      <c r="B498" t="s" s="11">
        <v>33</v>
      </c>
      <c r="C498" s="18">
        <v>500</v>
      </c>
      <c r="D498" s="18">
        <v>50</v>
      </c>
      <c r="E498" s="18">
        <v>50</v>
      </c>
      <c r="F498" t="s" s="19">
        <v>5</v>
      </c>
      <c r="G498" s="18">
        <v>3</v>
      </c>
      <c r="H498" t="s" s="19">
        <v>39</v>
      </c>
      <c r="I498" s="12"/>
      <c r="J498" s="19"/>
      <c r="K498" s="18">
        <f>(D498*6)+(E498*4)</f>
        <v>500</v>
      </c>
      <c r="L498" s="12"/>
      <c r="M498" s="12"/>
      <c r="N498" s="12"/>
      <c r="O498" s="12"/>
      <c r="P498" s="12"/>
    </row>
    <row r="499" ht="20.05" customHeight="1">
      <c r="A499" t="s" s="10">
        <v>918</v>
      </c>
      <c r="B499" t="s" s="11">
        <v>33</v>
      </c>
      <c r="C499" s="18">
        <v>800</v>
      </c>
      <c r="D499" s="18">
        <v>75</v>
      </c>
      <c r="E499" s="18">
        <v>25</v>
      </c>
      <c r="F499" t="s" s="19">
        <v>5</v>
      </c>
      <c r="G499" s="18">
        <v>3</v>
      </c>
      <c r="H499" t="s" s="19">
        <v>919</v>
      </c>
      <c r="I499" s="12"/>
      <c r="J499" s="19"/>
      <c r="K499" s="18">
        <f>(D499*6)+(E499*4)</f>
        <v>550</v>
      </c>
      <c r="L499" s="12"/>
      <c r="M499" s="12"/>
      <c r="N499" s="12"/>
      <c r="O499" s="12"/>
      <c r="P499" s="12"/>
    </row>
    <row r="500" ht="20.05" customHeight="1">
      <c r="A500" t="s" s="10">
        <v>920</v>
      </c>
      <c r="B500" t="s" s="11">
        <v>33</v>
      </c>
      <c r="C500" s="18">
        <v>850</v>
      </c>
      <c r="D500" s="18">
        <v>40</v>
      </c>
      <c r="E500" s="18">
        <v>60</v>
      </c>
      <c r="F500" t="s" s="19">
        <v>5</v>
      </c>
      <c r="G500" s="18">
        <v>4</v>
      </c>
      <c r="H500" t="s" s="19">
        <v>921</v>
      </c>
      <c r="I500" s="12"/>
      <c r="J500" s="19"/>
      <c r="K500" s="18">
        <f>(D500*6)+(E500*4)</f>
        <v>480</v>
      </c>
      <c r="L500" s="12"/>
      <c r="M500" s="12"/>
      <c r="N500" s="12"/>
      <c r="O500" s="12"/>
      <c r="P500" s="12"/>
    </row>
    <row r="501" ht="20.05" customHeight="1">
      <c r="A501" t="s" s="10">
        <v>922</v>
      </c>
      <c r="B501" t="s" s="11">
        <v>33</v>
      </c>
      <c r="C501" s="18">
        <v>650</v>
      </c>
      <c r="D501" s="18">
        <v>55</v>
      </c>
      <c r="E501" s="18">
        <v>35</v>
      </c>
      <c r="F501" t="s" s="19">
        <v>5</v>
      </c>
      <c r="G501" s="18">
        <v>4</v>
      </c>
      <c r="H501" t="s" s="19">
        <v>923</v>
      </c>
      <c r="I501" s="12"/>
      <c r="J501" s="19"/>
      <c r="K501" s="18">
        <f>(D501*6)+(E501*4)</f>
        <v>470</v>
      </c>
      <c r="L501" s="12"/>
      <c r="M501" s="12"/>
      <c r="N501" s="12"/>
      <c r="O501" s="12"/>
      <c r="P501" s="12"/>
    </row>
    <row r="502" ht="20.05" customHeight="1">
      <c r="A502" t="s" s="10">
        <v>924</v>
      </c>
      <c r="B502" t="s" s="11">
        <v>33</v>
      </c>
      <c r="C502" s="18">
        <v>820</v>
      </c>
      <c r="D502" s="18">
        <v>55</v>
      </c>
      <c r="E502" s="18">
        <v>70</v>
      </c>
      <c r="F502" t="s" s="19">
        <v>3</v>
      </c>
      <c r="G502" s="18">
        <v>4</v>
      </c>
      <c r="H502" t="s" s="19">
        <v>925</v>
      </c>
      <c r="I502" s="12"/>
      <c r="J502" s="19"/>
      <c r="K502" s="18">
        <f>(D502*6)+(E502*4)</f>
        <v>610</v>
      </c>
      <c r="L502" s="19"/>
      <c r="M502" s="12"/>
      <c r="N502" s="12"/>
      <c r="O502" s="19"/>
      <c r="P502" s="12"/>
    </row>
    <row r="503" ht="20.05" customHeight="1">
      <c r="A503" t="s" s="10">
        <v>926</v>
      </c>
      <c r="B503" t="s" s="11">
        <v>33</v>
      </c>
      <c r="C503" s="18">
        <v>700</v>
      </c>
      <c r="D503" s="18">
        <v>80</v>
      </c>
      <c r="E503" s="18">
        <v>25</v>
      </c>
      <c r="F503" t="s" s="19">
        <v>3</v>
      </c>
      <c r="G503" s="18">
        <v>3</v>
      </c>
      <c r="H503" t="s" s="19">
        <v>927</v>
      </c>
      <c r="I503" s="12"/>
      <c r="J503" s="19"/>
      <c r="K503" s="18">
        <f>(D503*6)+(E503*4)</f>
        <v>580</v>
      </c>
      <c r="L503" s="19"/>
      <c r="M503" s="12"/>
      <c r="N503" s="12"/>
      <c r="O503" s="19"/>
      <c r="P503" s="12"/>
    </row>
    <row r="504" ht="20.05" customHeight="1">
      <c r="A504" t="s" s="10">
        <v>928</v>
      </c>
      <c r="B504" t="s" s="11">
        <v>33</v>
      </c>
      <c r="C504" s="18">
        <v>750</v>
      </c>
      <c r="D504" s="18">
        <v>60</v>
      </c>
      <c r="E504" s="18">
        <v>60</v>
      </c>
      <c r="F504" t="s" s="19">
        <v>3</v>
      </c>
      <c r="G504" s="18">
        <v>3</v>
      </c>
      <c r="H504" t="s" s="19">
        <v>929</v>
      </c>
      <c r="I504" s="12"/>
      <c r="J504" s="19"/>
      <c r="K504" s="18">
        <f>(D504*6)+(E504*4)</f>
        <v>600</v>
      </c>
      <c r="L504" s="19"/>
      <c r="M504" s="12"/>
      <c r="N504" s="12"/>
      <c r="O504" s="19"/>
      <c r="P504" s="12"/>
    </row>
    <row r="505" ht="20.05" customHeight="1">
      <c r="A505" t="s" s="10">
        <v>930</v>
      </c>
      <c r="B505" t="s" s="11">
        <v>33</v>
      </c>
      <c r="C505" s="18">
        <v>900</v>
      </c>
      <c r="D505" s="18">
        <v>65</v>
      </c>
      <c r="E505" s="18">
        <v>50</v>
      </c>
      <c r="F505" t="s" s="19">
        <v>15</v>
      </c>
      <c r="G505" s="18">
        <v>3</v>
      </c>
      <c r="H505" t="s" s="19">
        <v>931</v>
      </c>
      <c r="I505" s="12"/>
      <c r="J505" s="19"/>
      <c r="K505" s="18">
        <f>(D505*6)+(E505*4)</f>
        <v>590</v>
      </c>
      <c r="L505" s="12"/>
      <c r="M505" s="12"/>
      <c r="N505" s="12"/>
      <c r="O505" s="12"/>
      <c r="P505" s="12"/>
    </row>
    <row r="506" ht="33.05" customHeight="1">
      <c r="A506" t="s" s="10">
        <v>932</v>
      </c>
      <c r="B506" t="s" s="11">
        <v>33</v>
      </c>
      <c r="C506" s="18">
        <v>1000</v>
      </c>
      <c r="D506" s="18">
        <v>80</v>
      </c>
      <c r="E506" s="18">
        <v>55</v>
      </c>
      <c r="F506" t="s" s="19">
        <v>15</v>
      </c>
      <c r="G506" s="18">
        <v>4</v>
      </c>
      <c r="H506" t="s" s="19">
        <v>933</v>
      </c>
      <c r="I506" s="12"/>
      <c r="J506" s="19"/>
      <c r="K506" s="18">
        <f>(D506*6)+(E506*4)</f>
        <v>700</v>
      </c>
      <c r="L506" s="12"/>
      <c r="M506" s="12"/>
      <c r="N506" s="12"/>
      <c r="O506" s="12"/>
      <c r="P506" s="12"/>
    </row>
    <row r="507" ht="20.05" customHeight="1">
      <c r="A507" t="s" s="10">
        <v>934</v>
      </c>
      <c r="B507" t="s" s="11">
        <v>33</v>
      </c>
      <c r="C507" s="18">
        <v>1300</v>
      </c>
      <c r="D507" s="18">
        <v>140</v>
      </c>
      <c r="E507" s="18">
        <v>100</v>
      </c>
      <c r="F507" t="s" s="19">
        <v>3</v>
      </c>
      <c r="G507" s="18">
        <v>5</v>
      </c>
      <c r="H507" t="s" s="19">
        <v>39</v>
      </c>
      <c r="I507" s="12"/>
      <c r="J507" s="19"/>
      <c r="K507" s="18">
        <f>(D507*6)+(E507*4)</f>
        <v>1240</v>
      </c>
      <c r="L507" s="12"/>
      <c r="M507" s="12"/>
      <c r="N507" s="12"/>
      <c r="O507" s="12"/>
      <c r="P507" s="12"/>
    </row>
    <row r="508" ht="20.05" customHeight="1">
      <c r="A508" t="s" s="10">
        <v>935</v>
      </c>
      <c r="B508" t="s" s="11">
        <v>33</v>
      </c>
      <c r="C508" s="18">
        <v>1000</v>
      </c>
      <c r="D508" s="18">
        <v>160</v>
      </c>
      <c r="E508" s="18">
        <v>0</v>
      </c>
      <c r="F508" t="s" s="19">
        <v>3</v>
      </c>
      <c r="G508" s="18">
        <v>5</v>
      </c>
      <c r="H508" t="s" s="19">
        <v>936</v>
      </c>
      <c r="I508" s="12"/>
      <c r="J508" s="19"/>
      <c r="K508" s="18">
        <f>(D508*6)+(E508*4)</f>
        <v>960</v>
      </c>
      <c r="L508" s="12"/>
      <c r="M508" s="12"/>
      <c r="N508" s="12"/>
      <c r="O508" s="12"/>
      <c r="P508" s="12"/>
    </row>
    <row r="509" ht="20.05" customHeight="1">
      <c r="A509" t="s" s="10">
        <v>937</v>
      </c>
      <c r="B509" t="s" s="11">
        <v>33</v>
      </c>
      <c r="C509" s="18">
        <v>500</v>
      </c>
      <c r="D509" s="18">
        <v>20</v>
      </c>
      <c r="E509" s="18">
        <v>20</v>
      </c>
      <c r="F509" t="s" s="19">
        <v>11</v>
      </c>
      <c r="G509" s="18">
        <v>2</v>
      </c>
      <c r="H509" t="s" s="19">
        <v>938</v>
      </c>
      <c r="I509" s="12"/>
      <c r="J509" s="19"/>
      <c r="K509" s="18">
        <f>(D509*6)+(E509*4)</f>
        <v>200</v>
      </c>
      <c r="L509" s="12"/>
      <c r="M509" s="12"/>
      <c r="N509" s="12"/>
      <c r="O509" s="12"/>
      <c r="P509" s="12"/>
    </row>
    <row r="510" ht="20.05" customHeight="1">
      <c r="A510" t="s" s="10">
        <v>939</v>
      </c>
      <c r="B510" t="s" s="11">
        <v>33</v>
      </c>
      <c r="C510" s="18">
        <v>400</v>
      </c>
      <c r="D510" s="18">
        <v>0</v>
      </c>
      <c r="E510" s="18">
        <v>80</v>
      </c>
      <c r="F510" t="s" s="19">
        <v>11</v>
      </c>
      <c r="G510" s="18">
        <v>3</v>
      </c>
      <c r="H510" t="s" s="19">
        <v>39</v>
      </c>
      <c r="I510" s="12"/>
      <c r="J510" s="12"/>
      <c r="K510" s="18">
        <f>(D510*6)+(E510*4)</f>
        <v>320</v>
      </c>
      <c r="L510" s="12"/>
      <c r="M510" s="12"/>
      <c r="N510" s="12"/>
      <c r="O510" s="12"/>
      <c r="P510" s="12"/>
    </row>
    <row r="511" ht="20.05" customHeight="1">
      <c r="A511" t="s" s="10">
        <v>940</v>
      </c>
      <c r="B511" t="s" s="11">
        <v>33</v>
      </c>
      <c r="C511" s="18">
        <v>800</v>
      </c>
      <c r="D511" s="18">
        <v>50</v>
      </c>
      <c r="E511" s="18">
        <v>90</v>
      </c>
      <c r="F511" t="s" s="19">
        <v>3</v>
      </c>
      <c r="G511" s="18">
        <v>5</v>
      </c>
      <c r="H511" t="s" s="19">
        <v>941</v>
      </c>
      <c r="I511" s="12"/>
      <c r="J511" s="19"/>
      <c r="K511" s="18">
        <f>(D511*6)+(E511*4)</f>
        <v>660</v>
      </c>
      <c r="L511" s="19"/>
      <c r="M511" s="12"/>
      <c r="N511" s="12"/>
      <c r="O511" s="12"/>
      <c r="P511" s="12"/>
    </row>
    <row r="512" ht="20.05" customHeight="1">
      <c r="A512" t="s" s="10">
        <v>942</v>
      </c>
      <c r="B512" t="s" s="11">
        <v>33</v>
      </c>
      <c r="C512" s="18">
        <v>750</v>
      </c>
      <c r="D512" s="18">
        <v>85</v>
      </c>
      <c r="E512" s="18">
        <v>55</v>
      </c>
      <c r="F512" t="s" s="19">
        <v>5</v>
      </c>
      <c r="G512" s="18">
        <v>4</v>
      </c>
      <c r="H512" t="s" s="19">
        <v>943</v>
      </c>
      <c r="I512" s="12"/>
      <c r="J512" s="19"/>
      <c r="K512" s="18">
        <f>(D512*6)+(E512*4)</f>
        <v>730</v>
      </c>
      <c r="L512" s="19"/>
      <c r="M512" s="12"/>
      <c r="N512" s="12"/>
      <c r="O512" s="12"/>
      <c r="P512" s="12"/>
    </row>
    <row r="513" ht="20.05" customHeight="1">
      <c r="A513" t="s" s="10">
        <v>944</v>
      </c>
      <c r="B513" t="s" s="11">
        <v>33</v>
      </c>
      <c r="C513" s="18">
        <v>600</v>
      </c>
      <c r="D513" s="18">
        <v>50</v>
      </c>
      <c r="E513" s="18">
        <v>50</v>
      </c>
      <c r="F513" t="s" s="19">
        <v>7</v>
      </c>
      <c r="G513" s="18">
        <v>3</v>
      </c>
      <c r="H513" t="s" s="19">
        <v>945</v>
      </c>
      <c r="I513" s="12"/>
      <c r="J513" s="19"/>
      <c r="K513" s="18">
        <f>(D513*6)+(E513*4)</f>
        <v>500</v>
      </c>
      <c r="L513" s="19"/>
      <c r="M513" s="12"/>
      <c r="N513" s="12"/>
      <c r="O513" s="12"/>
      <c r="P513" s="12"/>
    </row>
    <row r="514" ht="20.05" customHeight="1">
      <c r="A514" s="13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20.05" customHeight="1">
      <c r="A546" s="13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20.05" customHeight="1">
      <c r="A547" s="13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20.05" customHeight="1">
      <c r="A548" s="13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20.05" customHeight="1">
      <c r="A549" s="13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20.05" customHeight="1">
      <c r="A550" s="13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20.05" customHeight="1">
      <c r="A551" s="13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20.05" customHeight="1">
      <c r="A552" s="13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20.05" customHeight="1">
      <c r="A553" s="13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20.05" customHeight="1">
      <c r="A554" s="13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20.05" customHeight="1">
      <c r="A555" s="13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20.05" customHeight="1">
      <c r="A556" s="13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20.05" customHeight="1">
      <c r="A557" s="13"/>
      <c r="B557" s="1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ht="20.05" customHeight="1">
      <c r="A558" s="13"/>
      <c r="B558" s="1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20.05" customHeight="1">
      <c r="A559" s="13"/>
      <c r="B559" s="1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ht="20.05" customHeight="1">
      <c r="A560" s="13"/>
      <c r="B560" s="1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20.05" customHeight="1">
      <c r="A561" s="13"/>
      <c r="B561" s="1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ht="20.05" customHeight="1">
      <c r="A562" s="13"/>
      <c r="B562" s="1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ht="20.05" customHeight="1">
      <c r="A563" s="13"/>
      <c r="B563" s="1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ht="20.05" customHeight="1">
      <c r="A564" s="13"/>
      <c r="B564" s="1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ht="20.05" customHeight="1">
      <c r="A565" s="13"/>
      <c r="B565" s="1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ht="20.05" customHeight="1">
      <c r="A566" s="13"/>
      <c r="B566" s="1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ht="20.05" customHeight="1">
      <c r="A567" s="13"/>
      <c r="B567" s="1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ht="20.05" customHeight="1">
      <c r="A568" s="13"/>
      <c r="B568" s="1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ht="20.05" customHeight="1">
      <c r="A569" s="13"/>
      <c r="B569" s="14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ht="20.05" customHeight="1">
      <c r="A570" s="13"/>
      <c r="B570" s="14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ht="20.05" customHeight="1">
      <c r="A571" s="13"/>
      <c r="B571" s="14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ht="20.05" customHeight="1">
      <c r="A572" s="13"/>
      <c r="B572" s="14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ht="20.05" customHeight="1">
      <c r="A573" s="13"/>
      <c r="B573" s="14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ht="20.05" customHeight="1">
      <c r="A574" s="13"/>
      <c r="B574" s="14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ht="20.05" customHeight="1">
      <c r="A575" s="13"/>
      <c r="B575" s="14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ht="20.05" customHeight="1">
      <c r="A576" s="13"/>
      <c r="B576" s="1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ht="20.05" customHeight="1">
      <c r="A577" s="13"/>
      <c r="B577" s="1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ht="20.05" customHeight="1">
      <c r="A578" s="13"/>
      <c r="B578" s="1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ht="20.05" customHeight="1">
      <c r="A579" s="13"/>
      <c r="B579" s="1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ht="20.05" customHeight="1">
      <c r="A580" s="13"/>
      <c r="B580" s="1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ht="20.05" customHeight="1">
      <c r="A581" s="13"/>
      <c r="B581" s="1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ht="20.05" customHeight="1">
      <c r="A582" s="13"/>
      <c r="B582" s="1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ht="20.05" customHeight="1">
      <c r="A583" s="13"/>
      <c r="B583" s="1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ht="20.05" customHeight="1">
      <c r="A584" s="13"/>
      <c r="B584" s="1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ht="20.05" customHeight="1">
      <c r="A585" s="13"/>
      <c r="B585" s="1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ht="20.05" customHeight="1">
      <c r="A586" s="13"/>
      <c r="B586" s="1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ht="20.05" customHeight="1">
      <c r="A587" s="13"/>
      <c r="B587" s="1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ht="20.05" customHeight="1">
      <c r="A588" s="13"/>
      <c r="B588" s="1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ht="20.05" customHeight="1">
      <c r="A589" s="13"/>
      <c r="B589" s="1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ht="20.05" customHeight="1">
      <c r="A590" s="13"/>
      <c r="B590" s="1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ht="20.05" customHeight="1">
      <c r="A591" s="13"/>
      <c r="B591" s="1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ht="20.05" customHeight="1">
      <c r="A592" s="13"/>
      <c r="B592" s="1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ht="20.05" customHeight="1">
      <c r="A593" s="13"/>
      <c r="B593" s="1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ht="20.05" customHeight="1">
      <c r="A594" s="13"/>
      <c r="B594" s="1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ht="20.05" customHeight="1">
      <c r="A595" s="13"/>
      <c r="B595" s="1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ht="20.05" customHeight="1">
      <c r="A596" s="13"/>
      <c r="B596" s="1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ht="20.05" customHeight="1">
      <c r="A597" s="13"/>
      <c r="B597" s="1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ht="20.05" customHeight="1">
      <c r="A598" s="13"/>
      <c r="B598" s="1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ht="20.05" customHeight="1">
      <c r="A599" s="13"/>
      <c r="B599" s="1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5" width="16.3516" style="21" customWidth="1"/>
    <col min="16" max="16384" width="16.3516" style="21" customWidth="1"/>
  </cols>
  <sheetData>
    <row r="1" ht="15.55" customHeight="1">
      <c r="A1" t="s" s="22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ht="14.7" customHeight="1">
      <c r="A2" t="s" s="23">
        <v>17</v>
      </c>
      <c r="B2" t="s" s="24">
        <v>946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947</v>
      </c>
      <c r="I2" t="s" s="5">
        <v>948</v>
      </c>
      <c r="J2" t="s" s="5">
        <v>949</v>
      </c>
      <c r="K2" t="s" s="5">
        <v>950</v>
      </c>
      <c r="L2" t="s" s="5">
        <v>951</v>
      </c>
      <c r="M2" t="s" s="5">
        <v>25</v>
      </c>
      <c r="N2" t="s" s="5">
        <v>27</v>
      </c>
      <c r="O2" t="s" s="5">
        <v>28</v>
      </c>
    </row>
    <row r="3" ht="62.7" customHeight="1">
      <c r="A3" t="s" s="7">
        <v>952</v>
      </c>
      <c r="B3" t="s" s="25">
        <v>946</v>
      </c>
      <c r="C3" s="26"/>
      <c r="D3" s="27">
        <v>125</v>
      </c>
      <c r="E3" s="27">
        <v>90</v>
      </c>
      <c r="F3" t="s" s="28">
        <v>3</v>
      </c>
      <c r="G3" s="26"/>
      <c r="H3" t="s" s="28">
        <v>39</v>
      </c>
      <c r="I3" t="s" s="28">
        <v>39</v>
      </c>
      <c r="J3" t="s" s="28">
        <v>953</v>
      </c>
      <c r="K3" t="s" s="28">
        <v>954</v>
      </c>
      <c r="L3" t="s" s="28">
        <v>955</v>
      </c>
      <c r="M3" t="s" s="28">
        <v>35</v>
      </c>
      <c r="N3" t="s" s="28">
        <v>35</v>
      </c>
      <c r="O3" s="26"/>
    </row>
    <row r="4" ht="62.7" customHeight="1">
      <c r="A4" t="s" s="10">
        <v>956</v>
      </c>
      <c r="B4" t="s" s="25">
        <v>946</v>
      </c>
      <c r="C4" s="29"/>
      <c r="D4" s="30">
        <v>120</v>
      </c>
      <c r="E4" s="30">
        <v>120</v>
      </c>
      <c r="F4" t="s" s="31">
        <v>3</v>
      </c>
      <c r="G4" s="29"/>
      <c r="H4" t="s" s="31">
        <v>957</v>
      </c>
      <c r="I4" t="s" s="31">
        <v>958</v>
      </c>
      <c r="J4" t="s" s="31">
        <v>959</v>
      </c>
      <c r="K4" t="s" s="31">
        <v>960</v>
      </c>
      <c r="L4" t="s" s="31">
        <v>961</v>
      </c>
      <c r="M4" t="s" s="31">
        <v>35</v>
      </c>
      <c r="N4" t="s" s="31">
        <v>35</v>
      </c>
      <c r="O4" s="29"/>
    </row>
    <row r="5" ht="62.7" customHeight="1">
      <c r="A5" t="s" s="10">
        <v>962</v>
      </c>
      <c r="B5" t="s" s="25">
        <v>946</v>
      </c>
      <c r="C5" s="29"/>
      <c r="D5" s="30">
        <v>0</v>
      </c>
      <c r="E5" s="30">
        <v>210</v>
      </c>
      <c r="F5" t="s" s="31">
        <v>9</v>
      </c>
      <c r="G5" s="29"/>
      <c r="H5" t="s" s="31">
        <v>39</v>
      </c>
      <c r="I5" t="s" s="31">
        <v>39</v>
      </c>
      <c r="J5" t="s" s="31">
        <v>963</v>
      </c>
      <c r="K5" t="s" s="31">
        <v>964</v>
      </c>
      <c r="L5" t="s" s="31">
        <v>965</v>
      </c>
      <c r="M5" t="s" s="31">
        <v>35</v>
      </c>
      <c r="N5" t="s" s="31">
        <v>35</v>
      </c>
      <c r="O5" s="29"/>
    </row>
    <row r="6" ht="62.7" customHeight="1">
      <c r="A6" t="s" s="10">
        <v>966</v>
      </c>
      <c r="B6" t="s" s="25">
        <v>946</v>
      </c>
      <c r="C6" s="29"/>
      <c r="D6" s="30">
        <v>150</v>
      </c>
      <c r="E6" s="30">
        <v>130</v>
      </c>
      <c r="F6" t="s" s="31">
        <v>9</v>
      </c>
      <c r="G6" s="29"/>
      <c r="H6" t="s" s="31">
        <v>39</v>
      </c>
      <c r="I6" t="s" s="31">
        <v>39</v>
      </c>
      <c r="J6" t="s" s="31">
        <v>967</v>
      </c>
      <c r="K6" t="s" s="31">
        <v>968</v>
      </c>
      <c r="L6" t="s" s="31">
        <v>969</v>
      </c>
      <c r="M6" t="s" s="31">
        <v>35</v>
      </c>
      <c r="N6" t="s" s="31">
        <v>35</v>
      </c>
      <c r="O6" s="29"/>
    </row>
    <row r="7" ht="62.7" customHeight="1">
      <c r="A7" t="s" s="10">
        <v>970</v>
      </c>
      <c r="B7" t="s" s="25">
        <v>946</v>
      </c>
      <c r="C7" s="29"/>
      <c r="D7" s="30">
        <v>50</v>
      </c>
      <c r="E7" s="30">
        <v>50</v>
      </c>
      <c r="F7" t="s" s="31">
        <v>15</v>
      </c>
      <c r="G7" s="29"/>
      <c r="H7" t="s" s="31">
        <v>971</v>
      </c>
      <c r="I7" t="s" s="31">
        <v>972</v>
      </c>
      <c r="J7" t="s" s="31">
        <v>973</v>
      </c>
      <c r="K7" t="s" s="31">
        <v>974</v>
      </c>
      <c r="L7" t="s" s="31">
        <v>975</v>
      </c>
      <c r="M7" t="s" s="31">
        <v>35</v>
      </c>
      <c r="N7" t="s" s="31">
        <v>35</v>
      </c>
      <c r="O7" s="29"/>
    </row>
    <row r="8" ht="62.7" customHeight="1">
      <c r="A8" t="s" s="10">
        <v>976</v>
      </c>
      <c r="B8" t="s" s="25">
        <v>946</v>
      </c>
      <c r="C8" s="29"/>
      <c r="D8" s="30">
        <v>125</v>
      </c>
      <c r="E8" s="30">
        <v>105</v>
      </c>
      <c r="F8" t="s" s="31">
        <v>11</v>
      </c>
      <c r="G8" s="29"/>
      <c r="H8" t="s" s="31">
        <v>39</v>
      </c>
      <c r="I8" t="s" s="31">
        <v>39</v>
      </c>
      <c r="J8" t="s" s="31">
        <v>953</v>
      </c>
      <c r="K8" t="s" s="31">
        <v>977</v>
      </c>
      <c r="L8" t="s" s="31">
        <v>978</v>
      </c>
      <c r="M8" t="s" s="31">
        <v>35</v>
      </c>
      <c r="N8" t="s" s="31">
        <v>35</v>
      </c>
      <c r="O8" s="29"/>
    </row>
    <row r="9" ht="62.7" customHeight="1">
      <c r="A9" t="s" s="10">
        <v>979</v>
      </c>
      <c r="B9" t="s" s="25">
        <v>946</v>
      </c>
      <c r="C9" s="29"/>
      <c r="D9" s="30">
        <v>150</v>
      </c>
      <c r="E9" s="30">
        <v>100</v>
      </c>
      <c r="F9" t="s" s="31">
        <v>5</v>
      </c>
      <c r="G9" s="29"/>
      <c r="H9" t="s" s="31">
        <v>980</v>
      </c>
      <c r="I9" t="s" s="31">
        <v>981</v>
      </c>
      <c r="J9" t="s" s="31">
        <v>982</v>
      </c>
      <c r="K9" t="s" s="31">
        <v>983</v>
      </c>
      <c r="L9" t="s" s="31">
        <v>984</v>
      </c>
      <c r="M9" t="s" s="31">
        <v>35</v>
      </c>
      <c r="N9" t="s" s="31">
        <v>35</v>
      </c>
      <c r="O9" s="29"/>
    </row>
    <row r="10" ht="62.7" customHeight="1">
      <c r="A10" t="s" s="10">
        <v>985</v>
      </c>
      <c r="B10" t="s" s="25">
        <v>946</v>
      </c>
      <c r="C10" s="29"/>
      <c r="D10" s="30">
        <v>95</v>
      </c>
      <c r="E10" s="30">
        <v>60</v>
      </c>
      <c r="F10" t="s" s="31">
        <v>9</v>
      </c>
      <c r="G10" s="29"/>
      <c r="H10" t="s" s="31">
        <v>986</v>
      </c>
      <c r="I10" t="s" s="31">
        <v>987</v>
      </c>
      <c r="J10" t="s" s="31">
        <v>988</v>
      </c>
      <c r="K10" t="s" s="31">
        <v>989</v>
      </c>
      <c r="L10" t="s" s="31">
        <v>990</v>
      </c>
      <c r="M10" t="s" s="31">
        <v>35</v>
      </c>
      <c r="N10" t="s" s="31">
        <v>35</v>
      </c>
      <c r="O10" s="29"/>
    </row>
    <row r="11" ht="62.7" customHeight="1">
      <c r="A11" t="s" s="10">
        <v>991</v>
      </c>
      <c r="B11" t="s" s="25">
        <v>946</v>
      </c>
      <c r="C11" s="29"/>
      <c r="D11" s="30">
        <v>30</v>
      </c>
      <c r="E11" s="30">
        <v>50</v>
      </c>
      <c r="F11" t="s" s="31">
        <v>5</v>
      </c>
      <c r="G11" s="29"/>
      <c r="H11" t="s" s="31">
        <v>992</v>
      </c>
      <c r="I11" t="s" s="31">
        <v>993</v>
      </c>
      <c r="J11" t="s" s="31">
        <v>994</v>
      </c>
      <c r="K11" t="s" s="31">
        <v>995</v>
      </c>
      <c r="L11" t="s" s="31">
        <v>996</v>
      </c>
      <c r="M11" t="s" s="31">
        <v>35</v>
      </c>
      <c r="N11" t="s" s="31">
        <v>35</v>
      </c>
      <c r="O11" s="29"/>
    </row>
    <row r="12" ht="62.7" customHeight="1">
      <c r="A12" t="s" s="10">
        <v>997</v>
      </c>
      <c r="B12" t="s" s="25">
        <v>946</v>
      </c>
      <c r="C12" s="29"/>
      <c r="D12" s="30">
        <v>30</v>
      </c>
      <c r="E12" s="30">
        <v>30</v>
      </c>
      <c r="F12" t="s" s="31">
        <v>3</v>
      </c>
      <c r="G12" s="29"/>
      <c r="H12" t="s" s="31">
        <v>998</v>
      </c>
      <c r="I12" t="s" s="31">
        <v>999</v>
      </c>
      <c r="J12" t="s" s="31">
        <v>1000</v>
      </c>
      <c r="K12" t="s" s="31">
        <v>1001</v>
      </c>
      <c r="L12" t="s" s="31">
        <v>1002</v>
      </c>
      <c r="M12" t="s" s="31">
        <v>35</v>
      </c>
      <c r="N12" t="s" s="31">
        <v>35</v>
      </c>
      <c r="O12" s="29"/>
    </row>
    <row r="13" ht="62.7" customHeight="1">
      <c r="A13" t="s" s="10">
        <v>1003</v>
      </c>
      <c r="B13" t="s" s="25">
        <v>946</v>
      </c>
      <c r="C13" s="29"/>
      <c r="D13" s="30">
        <v>30</v>
      </c>
      <c r="E13" s="30">
        <v>35</v>
      </c>
      <c r="F13" t="s" s="31">
        <v>3</v>
      </c>
      <c r="G13" s="29"/>
      <c r="H13" t="s" s="31">
        <v>1004</v>
      </c>
      <c r="I13" t="s" s="31">
        <v>1005</v>
      </c>
      <c r="J13" t="s" s="31">
        <v>1006</v>
      </c>
      <c r="K13" t="s" s="31">
        <v>1007</v>
      </c>
      <c r="L13" t="s" s="31">
        <v>1008</v>
      </c>
      <c r="M13" t="s" s="31">
        <v>35</v>
      </c>
      <c r="N13" t="s" s="31">
        <v>35</v>
      </c>
      <c r="O13" s="29"/>
    </row>
    <row r="14" ht="62.7" customHeight="1">
      <c r="A14" t="s" s="10">
        <v>1009</v>
      </c>
      <c r="B14" t="s" s="25">
        <v>946</v>
      </c>
      <c r="C14" s="29"/>
      <c r="D14" s="30">
        <v>35</v>
      </c>
      <c r="E14" s="30">
        <v>35</v>
      </c>
      <c r="F14" t="s" s="31">
        <v>3</v>
      </c>
      <c r="G14" s="29"/>
      <c r="H14" t="s" s="31">
        <v>1010</v>
      </c>
      <c r="I14" t="s" s="31">
        <v>1011</v>
      </c>
      <c r="J14" t="s" s="31">
        <v>1012</v>
      </c>
      <c r="K14" t="s" s="31">
        <v>1013</v>
      </c>
      <c r="L14" t="s" s="31">
        <v>1014</v>
      </c>
      <c r="M14" t="s" s="31">
        <v>35</v>
      </c>
      <c r="N14" t="s" s="31">
        <v>35</v>
      </c>
      <c r="O14" s="29"/>
    </row>
    <row r="15" ht="62.7" customHeight="1">
      <c r="A15" t="s" s="10">
        <v>1015</v>
      </c>
      <c r="B15" t="s" s="25">
        <v>946</v>
      </c>
      <c r="C15" s="29"/>
      <c r="D15" s="30">
        <v>80</v>
      </c>
      <c r="E15" s="30">
        <v>80</v>
      </c>
      <c r="F15" t="s" s="31">
        <v>3</v>
      </c>
      <c r="G15" s="29"/>
      <c r="H15" t="s" s="31">
        <v>39</v>
      </c>
      <c r="I15" t="s" s="31">
        <v>39</v>
      </c>
      <c r="J15" t="s" s="31">
        <v>994</v>
      </c>
      <c r="K15" t="s" s="31">
        <v>1016</v>
      </c>
      <c r="L15" t="s" s="31">
        <v>1017</v>
      </c>
      <c r="M15" t="s" s="31">
        <v>35</v>
      </c>
      <c r="N15" t="s" s="31">
        <v>35</v>
      </c>
      <c r="O15" s="29"/>
    </row>
    <row r="16" ht="62.7" customHeight="1">
      <c r="A16" t="s" s="10">
        <v>1018</v>
      </c>
      <c r="B16" t="s" s="25">
        <v>946</v>
      </c>
      <c r="C16" s="29"/>
      <c r="D16" s="30">
        <v>0</v>
      </c>
      <c r="E16" s="30">
        <v>0</v>
      </c>
      <c r="F16" t="s" s="31">
        <v>3</v>
      </c>
      <c r="G16" s="29"/>
      <c r="H16" t="s" s="31">
        <v>1019</v>
      </c>
      <c r="I16" t="s" s="31">
        <v>1020</v>
      </c>
      <c r="J16" t="s" s="31">
        <v>988</v>
      </c>
      <c r="K16" t="s" s="31">
        <v>1021</v>
      </c>
      <c r="L16" t="s" s="31">
        <v>1022</v>
      </c>
      <c r="M16" t="s" s="31">
        <v>35</v>
      </c>
      <c r="N16" t="s" s="31">
        <v>35</v>
      </c>
      <c r="O16" s="29"/>
    </row>
    <row r="17" ht="62.7" customHeight="1">
      <c r="A17" t="s" s="10">
        <v>1023</v>
      </c>
      <c r="B17" t="s" s="25">
        <v>946</v>
      </c>
      <c r="C17" s="29"/>
      <c r="D17" s="30">
        <v>20</v>
      </c>
      <c r="E17" s="30">
        <v>80</v>
      </c>
      <c r="F17" t="s" s="31">
        <v>13</v>
      </c>
      <c r="G17" s="29"/>
      <c r="H17" t="s" s="31">
        <v>1024</v>
      </c>
      <c r="I17" t="s" s="31">
        <v>1025</v>
      </c>
      <c r="J17" t="s" s="31">
        <v>1006</v>
      </c>
      <c r="K17" t="s" s="31">
        <v>1026</v>
      </c>
      <c r="L17" t="s" s="31">
        <v>1027</v>
      </c>
      <c r="M17" t="s" s="31">
        <v>35</v>
      </c>
      <c r="N17" t="s" s="31">
        <v>35</v>
      </c>
      <c r="O17" s="29"/>
    </row>
    <row r="18" ht="62.7" customHeight="1">
      <c r="A18" t="s" s="10">
        <v>1028</v>
      </c>
      <c r="B18" t="s" s="25">
        <v>946</v>
      </c>
      <c r="C18" s="29"/>
      <c r="D18" s="30">
        <v>35</v>
      </c>
      <c r="E18" s="30">
        <v>35</v>
      </c>
      <c r="F18" t="s" s="31">
        <v>5</v>
      </c>
      <c r="G18" s="29"/>
      <c r="H18" t="s" s="31">
        <v>39</v>
      </c>
      <c r="I18" t="s" s="31">
        <v>39</v>
      </c>
      <c r="J18" t="s" s="31">
        <v>1000</v>
      </c>
      <c r="K18" t="s" s="31">
        <v>1029</v>
      </c>
      <c r="L18" t="s" s="31">
        <v>1030</v>
      </c>
      <c r="M18" t="s" s="31">
        <v>35</v>
      </c>
      <c r="N18" t="s" s="31">
        <v>35</v>
      </c>
      <c r="O18" s="29"/>
    </row>
    <row r="19" ht="62.7" customHeight="1">
      <c r="A19" t="s" s="10">
        <v>1031</v>
      </c>
      <c r="B19" t="s" s="25">
        <v>946</v>
      </c>
      <c r="C19" s="29"/>
      <c r="D19" s="30">
        <v>50</v>
      </c>
      <c r="E19" s="30">
        <v>30</v>
      </c>
      <c r="F19" t="s" s="31">
        <v>5</v>
      </c>
      <c r="G19" s="29"/>
      <c r="H19" t="s" s="31">
        <v>1032</v>
      </c>
      <c r="I19" t="s" s="31">
        <v>1033</v>
      </c>
      <c r="J19" t="s" s="31">
        <v>1034</v>
      </c>
      <c r="K19" t="s" s="31">
        <v>1035</v>
      </c>
      <c r="L19" t="s" s="31">
        <v>1036</v>
      </c>
      <c r="M19" t="s" s="31">
        <v>35</v>
      </c>
      <c r="N19" t="s" s="31">
        <v>35</v>
      </c>
      <c r="O19" s="29"/>
    </row>
    <row r="20" ht="62.7" customHeight="1">
      <c r="A20" t="s" s="10">
        <v>1037</v>
      </c>
      <c r="B20" t="s" s="25">
        <v>946</v>
      </c>
      <c r="C20" s="29"/>
      <c r="D20" s="30">
        <v>50</v>
      </c>
      <c r="E20" s="30">
        <v>5</v>
      </c>
      <c r="F20" t="s" s="31">
        <v>5</v>
      </c>
      <c r="G20" s="29"/>
      <c r="H20" t="s" s="31">
        <v>39</v>
      </c>
      <c r="I20" t="s" s="31">
        <v>39</v>
      </c>
      <c r="J20" t="s" s="31">
        <v>1038</v>
      </c>
      <c r="K20" t="s" s="31">
        <v>1039</v>
      </c>
      <c r="L20" t="s" s="31">
        <v>1040</v>
      </c>
      <c r="M20" t="s" s="31">
        <v>35</v>
      </c>
      <c r="N20" t="s" s="31">
        <v>35</v>
      </c>
      <c r="O20" s="29"/>
    </row>
    <row r="21" ht="62.7" customHeight="1">
      <c r="A21" t="s" s="10">
        <v>1041</v>
      </c>
      <c r="B21" t="s" s="25">
        <v>946</v>
      </c>
      <c r="C21" s="29"/>
      <c r="D21" s="30">
        <v>105</v>
      </c>
      <c r="E21" s="30">
        <v>50</v>
      </c>
      <c r="F21" t="s" s="31">
        <v>9</v>
      </c>
      <c r="G21" s="29"/>
      <c r="H21" t="s" s="31">
        <v>39</v>
      </c>
      <c r="I21" t="s" s="31">
        <v>39</v>
      </c>
      <c r="J21" t="s" s="31">
        <v>1042</v>
      </c>
      <c r="K21" t="s" s="31">
        <v>1043</v>
      </c>
      <c r="L21" t="s" s="31">
        <v>1044</v>
      </c>
      <c r="M21" t="s" s="31">
        <v>35</v>
      </c>
      <c r="N21" t="s" s="31">
        <v>35</v>
      </c>
      <c r="O21" s="29"/>
    </row>
    <row r="22" ht="62.7" customHeight="1">
      <c r="A22" t="s" s="10">
        <v>1045</v>
      </c>
      <c r="B22" t="s" s="25">
        <v>946</v>
      </c>
      <c r="C22" s="29"/>
      <c r="D22" s="30">
        <v>150</v>
      </c>
      <c r="E22" s="30">
        <v>100</v>
      </c>
      <c r="F22" t="s" s="31">
        <v>9</v>
      </c>
      <c r="G22" s="29"/>
      <c r="H22" t="s" s="31">
        <v>1046</v>
      </c>
      <c r="I22" t="s" s="31">
        <v>1047</v>
      </c>
      <c r="J22" t="s" s="31">
        <v>959</v>
      </c>
      <c r="K22" t="s" s="31">
        <v>1048</v>
      </c>
      <c r="L22" t="s" s="31">
        <v>1049</v>
      </c>
      <c r="M22" t="s" s="31">
        <v>35</v>
      </c>
      <c r="N22" t="s" s="31">
        <v>35</v>
      </c>
      <c r="O22" s="29"/>
    </row>
    <row r="23" ht="62.7" customHeight="1">
      <c r="A23" t="s" s="10">
        <v>1050</v>
      </c>
      <c r="B23" t="s" s="25">
        <v>946</v>
      </c>
      <c r="C23" s="29"/>
      <c r="D23" s="30">
        <v>0</v>
      </c>
      <c r="E23" s="30">
        <v>80</v>
      </c>
      <c r="F23" t="s" s="31">
        <v>9</v>
      </c>
      <c r="G23" s="29"/>
      <c r="H23" t="s" s="31">
        <v>1051</v>
      </c>
      <c r="I23" t="s" s="31">
        <v>1052</v>
      </c>
      <c r="J23" t="s" s="31">
        <v>1053</v>
      </c>
      <c r="K23" t="s" s="31">
        <v>1054</v>
      </c>
      <c r="L23" t="s" s="31">
        <v>1055</v>
      </c>
      <c r="M23" t="s" s="31">
        <v>35</v>
      </c>
      <c r="N23" t="s" s="31">
        <v>35</v>
      </c>
      <c r="O23" s="29"/>
    </row>
    <row r="24" ht="62.7" customHeight="1">
      <c r="A24" t="s" s="10">
        <v>1056</v>
      </c>
      <c r="B24" t="s" s="25">
        <v>946</v>
      </c>
      <c r="C24" s="29"/>
      <c r="D24" s="30">
        <v>75</v>
      </c>
      <c r="E24" s="30">
        <v>75</v>
      </c>
      <c r="F24" t="s" s="31">
        <v>9</v>
      </c>
      <c r="G24" s="29"/>
      <c r="H24" t="s" s="31">
        <v>39</v>
      </c>
      <c r="I24" t="s" s="31">
        <v>39</v>
      </c>
      <c r="J24" t="s" s="31">
        <v>1057</v>
      </c>
      <c r="K24" t="s" s="31">
        <v>1058</v>
      </c>
      <c r="L24" t="s" s="31">
        <v>1059</v>
      </c>
      <c r="M24" t="s" s="31">
        <v>35</v>
      </c>
      <c r="N24" t="s" s="31">
        <v>35</v>
      </c>
      <c r="O24" s="29"/>
    </row>
    <row r="25" ht="62.7" customHeight="1">
      <c r="A25" t="s" s="10">
        <v>1060</v>
      </c>
      <c r="B25" t="s" s="25">
        <v>946</v>
      </c>
      <c r="C25" s="29"/>
      <c r="D25" s="30">
        <v>125</v>
      </c>
      <c r="E25" s="30">
        <v>50</v>
      </c>
      <c r="F25" t="s" s="31">
        <v>7</v>
      </c>
      <c r="G25" s="29"/>
      <c r="H25" t="s" s="31">
        <v>1061</v>
      </c>
      <c r="I25" t="s" s="31">
        <v>1062</v>
      </c>
      <c r="J25" t="s" s="31">
        <v>1063</v>
      </c>
      <c r="K25" t="s" s="31">
        <v>1064</v>
      </c>
      <c r="L25" t="s" s="31">
        <v>1065</v>
      </c>
      <c r="M25" t="s" s="31">
        <v>35</v>
      </c>
      <c r="N25" t="s" s="31">
        <v>35</v>
      </c>
      <c r="O25" s="29"/>
    </row>
    <row r="26" ht="62.7" customHeight="1">
      <c r="A26" t="s" s="10">
        <v>1066</v>
      </c>
      <c r="B26" t="s" s="25">
        <v>946</v>
      </c>
      <c r="C26" s="29"/>
      <c r="D26" s="30">
        <v>40</v>
      </c>
      <c r="E26" s="30">
        <v>0</v>
      </c>
      <c r="F26" t="s" s="31">
        <v>9</v>
      </c>
      <c r="G26" s="29"/>
      <c r="H26" t="s" s="31">
        <v>39</v>
      </c>
      <c r="I26" t="s" s="31">
        <v>39</v>
      </c>
      <c r="J26" t="s" s="31">
        <v>1067</v>
      </c>
      <c r="K26" t="s" s="31">
        <v>1068</v>
      </c>
      <c r="L26" t="s" s="31">
        <v>1069</v>
      </c>
      <c r="M26" t="s" s="31">
        <v>35</v>
      </c>
      <c r="N26" t="s" s="31">
        <v>35</v>
      </c>
      <c r="O26" s="29"/>
    </row>
    <row r="27" ht="74.7" customHeight="1">
      <c r="A27" t="s" s="10">
        <v>1070</v>
      </c>
      <c r="B27" t="s" s="25">
        <v>946</v>
      </c>
      <c r="C27" s="29"/>
      <c r="D27" s="30">
        <v>10</v>
      </c>
      <c r="E27" s="30">
        <v>60</v>
      </c>
      <c r="F27" t="s" s="31">
        <v>3</v>
      </c>
      <c r="G27" s="29"/>
      <c r="H27" t="s" s="31">
        <v>1071</v>
      </c>
      <c r="I27" t="s" s="31">
        <v>1072</v>
      </c>
      <c r="J27" t="s" s="31">
        <v>1073</v>
      </c>
      <c r="K27" t="s" s="31">
        <v>1074</v>
      </c>
      <c r="L27" t="s" s="31">
        <v>1075</v>
      </c>
      <c r="M27" t="s" s="31">
        <v>35</v>
      </c>
      <c r="N27" t="s" s="31">
        <v>35</v>
      </c>
      <c r="O27" s="29"/>
    </row>
    <row r="28" ht="62.7" customHeight="1">
      <c r="A28" t="s" s="10">
        <v>1076</v>
      </c>
      <c r="B28" t="s" s="25">
        <v>946</v>
      </c>
      <c r="C28" s="29"/>
      <c r="D28" s="30">
        <v>40</v>
      </c>
      <c r="E28" s="30">
        <v>40</v>
      </c>
      <c r="F28" t="s" s="31">
        <v>7</v>
      </c>
      <c r="G28" s="29"/>
      <c r="H28" t="s" s="31">
        <v>1077</v>
      </c>
      <c r="I28" t="s" s="31">
        <v>1078</v>
      </c>
      <c r="J28" t="s" s="31">
        <v>1079</v>
      </c>
      <c r="K28" t="s" s="31">
        <v>1080</v>
      </c>
      <c r="L28" t="s" s="31">
        <v>1081</v>
      </c>
      <c r="M28" t="s" s="31">
        <v>35</v>
      </c>
      <c r="N28" t="s" s="31">
        <v>35</v>
      </c>
      <c r="O28" s="29"/>
    </row>
    <row r="29" ht="74.7" customHeight="1">
      <c r="A29" t="s" s="10">
        <v>1082</v>
      </c>
      <c r="B29" t="s" s="25">
        <v>946</v>
      </c>
      <c r="C29" s="29"/>
      <c r="D29" s="30">
        <v>45</v>
      </c>
      <c r="E29" s="30">
        <v>40</v>
      </c>
      <c r="F29" t="s" s="31">
        <v>15</v>
      </c>
      <c r="G29" s="29"/>
      <c r="H29" t="s" s="31">
        <v>39</v>
      </c>
      <c r="I29" t="s" s="31">
        <v>39</v>
      </c>
      <c r="J29" t="s" s="31">
        <v>1053</v>
      </c>
      <c r="K29" t="s" s="31">
        <v>1083</v>
      </c>
      <c r="L29" t="s" s="31">
        <v>1084</v>
      </c>
      <c r="M29" t="s" s="31">
        <v>35</v>
      </c>
      <c r="N29" t="s" s="31">
        <v>35</v>
      </c>
      <c r="O29" s="29"/>
    </row>
    <row r="30" ht="74.7" customHeight="1">
      <c r="A30" t="s" s="10">
        <v>1085</v>
      </c>
      <c r="B30" t="s" s="25">
        <v>946</v>
      </c>
      <c r="C30" s="29"/>
      <c r="D30" s="30">
        <v>50</v>
      </c>
      <c r="E30" s="30">
        <v>45</v>
      </c>
      <c r="F30" t="s" s="31">
        <v>11</v>
      </c>
      <c r="G30" s="29"/>
      <c r="H30" t="s" s="31">
        <v>1086</v>
      </c>
      <c r="I30" t="s" s="31">
        <v>1087</v>
      </c>
      <c r="J30" t="s" s="31">
        <v>953</v>
      </c>
      <c r="K30" t="s" s="31">
        <v>1088</v>
      </c>
      <c r="L30" t="s" s="31">
        <v>1089</v>
      </c>
      <c r="M30" t="s" s="31">
        <v>35</v>
      </c>
      <c r="N30" t="s" s="31">
        <v>35</v>
      </c>
      <c r="O30" s="29"/>
    </row>
    <row r="31" ht="74.7" customHeight="1">
      <c r="A31" t="s" s="10">
        <v>1090</v>
      </c>
      <c r="B31" t="s" s="25">
        <v>946</v>
      </c>
      <c r="C31" s="29"/>
      <c r="D31" s="30">
        <v>25</v>
      </c>
      <c r="E31" s="30">
        <v>55</v>
      </c>
      <c r="F31" t="s" s="31">
        <v>13</v>
      </c>
      <c r="G31" s="29"/>
      <c r="H31" t="s" s="31">
        <v>1091</v>
      </c>
      <c r="I31" t="s" s="31">
        <v>1092</v>
      </c>
      <c r="J31" t="s" s="31">
        <v>1006</v>
      </c>
      <c r="K31" t="s" s="31">
        <v>1093</v>
      </c>
      <c r="L31" t="s" s="31">
        <v>1094</v>
      </c>
      <c r="M31" t="s" s="31">
        <v>35</v>
      </c>
      <c r="N31" t="s" s="31">
        <v>35</v>
      </c>
      <c r="O31" s="29"/>
    </row>
    <row r="32" ht="74.7" customHeight="1">
      <c r="A32" t="s" s="10">
        <v>1095</v>
      </c>
      <c r="B32" t="s" s="25">
        <v>946</v>
      </c>
      <c r="C32" s="29"/>
      <c r="D32" s="30">
        <v>60</v>
      </c>
      <c r="E32" s="30">
        <v>40</v>
      </c>
      <c r="F32" t="s" s="31">
        <v>15</v>
      </c>
      <c r="G32" s="29"/>
      <c r="H32" t="s" s="31">
        <v>1096</v>
      </c>
      <c r="I32" t="s" s="31">
        <v>1097</v>
      </c>
      <c r="J32" t="s" s="31">
        <v>1098</v>
      </c>
      <c r="K32" t="s" s="31">
        <v>1099</v>
      </c>
      <c r="L32" t="s" s="31">
        <v>1100</v>
      </c>
      <c r="M32" t="s" s="31">
        <v>35</v>
      </c>
      <c r="N32" t="s" s="31">
        <v>35</v>
      </c>
      <c r="O32" s="29"/>
    </row>
    <row r="33" ht="74.7" customHeight="1">
      <c r="A33" t="s" s="10">
        <v>1101</v>
      </c>
      <c r="B33" t="s" s="25">
        <v>946</v>
      </c>
      <c r="C33" s="29"/>
      <c r="D33" s="30">
        <v>80</v>
      </c>
      <c r="E33" s="30">
        <v>55</v>
      </c>
      <c r="F33" t="s" s="31">
        <v>15</v>
      </c>
      <c r="G33" s="29"/>
      <c r="H33" t="s" s="31">
        <v>1102</v>
      </c>
      <c r="I33" t="s" s="31">
        <v>1103</v>
      </c>
      <c r="J33" t="s" s="31">
        <v>1104</v>
      </c>
      <c r="K33" t="s" s="31">
        <v>1105</v>
      </c>
      <c r="L33" t="s" s="31">
        <v>1106</v>
      </c>
      <c r="M33" t="s" s="31">
        <v>35</v>
      </c>
      <c r="N33" t="s" s="31">
        <v>35</v>
      </c>
      <c r="O33" s="29"/>
    </row>
    <row r="34" ht="74.7" customHeight="1">
      <c r="A34" t="s" s="10">
        <v>1107</v>
      </c>
      <c r="B34" t="s" s="25">
        <v>946</v>
      </c>
      <c r="C34" s="29"/>
      <c r="D34" s="30">
        <v>65</v>
      </c>
      <c r="E34" s="30">
        <v>50</v>
      </c>
      <c r="F34" t="s" s="31">
        <v>15</v>
      </c>
      <c r="G34" s="29"/>
      <c r="H34" t="s" s="31">
        <v>1108</v>
      </c>
      <c r="I34" t="s" s="31">
        <v>1109</v>
      </c>
      <c r="J34" t="s" s="31">
        <v>1098</v>
      </c>
      <c r="K34" t="s" s="31">
        <v>1110</v>
      </c>
      <c r="L34" t="s" s="31">
        <v>1111</v>
      </c>
      <c r="M34" t="s" s="31">
        <v>35</v>
      </c>
      <c r="N34" t="s" s="31">
        <v>35</v>
      </c>
      <c r="O34" s="29"/>
    </row>
    <row r="35" ht="74.7" customHeight="1">
      <c r="A35" t="s" s="10">
        <v>1112</v>
      </c>
      <c r="B35" t="s" s="25">
        <v>946</v>
      </c>
      <c r="C35" s="29"/>
      <c r="D35" s="30">
        <v>45</v>
      </c>
      <c r="E35" s="30">
        <v>30</v>
      </c>
      <c r="F35" t="s" s="31">
        <v>13</v>
      </c>
      <c r="G35" s="29"/>
      <c r="H35" t="s" s="31">
        <v>39</v>
      </c>
      <c r="I35" t="s" s="31">
        <v>39</v>
      </c>
      <c r="J35" t="s" s="31">
        <v>1113</v>
      </c>
      <c r="K35" t="s" s="31">
        <v>1114</v>
      </c>
      <c r="L35" t="s" s="31">
        <v>1115</v>
      </c>
      <c r="M35" t="s" s="31">
        <v>35</v>
      </c>
      <c r="N35" t="s" s="31">
        <v>35</v>
      </c>
      <c r="O35" s="29"/>
    </row>
    <row r="36" ht="74.7" customHeight="1">
      <c r="A36" t="s" s="10">
        <v>1116</v>
      </c>
      <c r="B36" t="s" s="25">
        <v>946</v>
      </c>
      <c r="C36" s="29"/>
      <c r="D36" s="30">
        <v>60</v>
      </c>
      <c r="E36" s="30">
        <v>0</v>
      </c>
      <c r="F36" t="s" s="31">
        <v>13</v>
      </c>
      <c r="G36" s="29"/>
      <c r="H36" t="s" s="31">
        <v>1117</v>
      </c>
      <c r="I36" t="s" s="31">
        <v>1118</v>
      </c>
      <c r="J36" t="s" s="31">
        <v>1104</v>
      </c>
      <c r="K36" t="s" s="31">
        <v>1119</v>
      </c>
      <c r="L36" t="s" s="31">
        <v>1120</v>
      </c>
      <c r="M36" t="s" s="31">
        <v>35</v>
      </c>
      <c r="N36" t="s" s="31">
        <v>35</v>
      </c>
      <c r="O36" s="29"/>
    </row>
    <row r="37" ht="62.7" customHeight="1">
      <c r="A37" t="s" s="10">
        <v>1121</v>
      </c>
      <c r="B37" t="s" s="25">
        <v>946</v>
      </c>
      <c r="C37" s="29"/>
      <c r="D37" s="30">
        <v>55</v>
      </c>
      <c r="E37" s="30">
        <v>40</v>
      </c>
      <c r="F37" t="s" s="31">
        <v>11</v>
      </c>
      <c r="G37" s="29"/>
      <c r="H37" t="s" s="31">
        <v>1122</v>
      </c>
      <c r="I37" t="s" s="31">
        <v>1123</v>
      </c>
      <c r="J37" t="s" s="31">
        <v>1124</v>
      </c>
      <c r="K37" t="s" s="31">
        <v>1125</v>
      </c>
      <c r="L37" t="s" s="31">
        <v>1126</v>
      </c>
      <c r="M37" t="s" s="31">
        <v>35</v>
      </c>
      <c r="N37" s="31"/>
      <c r="O37" s="29"/>
    </row>
    <row r="38" ht="74.7" customHeight="1">
      <c r="A38" t="s" s="10">
        <v>1127</v>
      </c>
      <c r="B38" t="s" s="25">
        <v>946</v>
      </c>
      <c r="C38" s="29"/>
      <c r="D38" s="30">
        <v>30</v>
      </c>
      <c r="E38" s="30">
        <v>20</v>
      </c>
      <c r="F38" t="s" s="31">
        <v>11</v>
      </c>
      <c r="G38" s="29"/>
      <c r="H38" t="s" s="31">
        <v>1128</v>
      </c>
      <c r="I38" t="s" s="31">
        <v>1129</v>
      </c>
      <c r="J38" t="s" s="31">
        <v>1104</v>
      </c>
      <c r="K38" t="s" s="31">
        <v>1130</v>
      </c>
      <c r="L38" t="s" s="31">
        <v>1131</v>
      </c>
      <c r="M38" t="s" s="31">
        <v>35</v>
      </c>
      <c r="N38" t="s" s="31">
        <v>35</v>
      </c>
      <c r="O38" s="29"/>
    </row>
    <row r="39" ht="62.7" customHeight="1">
      <c r="A39" t="s" s="10">
        <v>1132</v>
      </c>
      <c r="B39" t="s" s="25">
        <v>946</v>
      </c>
      <c r="C39" s="29"/>
      <c r="D39" s="30">
        <v>90</v>
      </c>
      <c r="E39" s="30">
        <v>110</v>
      </c>
      <c r="F39" t="s" s="31">
        <v>11</v>
      </c>
      <c r="G39" s="29"/>
      <c r="H39" t="s" s="31">
        <v>1133</v>
      </c>
      <c r="I39" t="s" s="31">
        <v>1134</v>
      </c>
      <c r="J39" t="s" s="31">
        <v>1135</v>
      </c>
      <c r="K39" t="s" s="31">
        <v>1136</v>
      </c>
      <c r="L39" t="s" s="31">
        <v>1137</v>
      </c>
      <c r="M39" s="29"/>
      <c r="N39" s="29"/>
      <c r="O39" s="29"/>
    </row>
    <row r="40" ht="74.7" customHeight="1">
      <c r="A40" t="s" s="10">
        <v>1138</v>
      </c>
      <c r="B40" t="s" s="25">
        <v>946</v>
      </c>
      <c r="C40" s="29"/>
      <c r="D40" s="30">
        <v>145</v>
      </c>
      <c r="E40" s="30">
        <v>60</v>
      </c>
      <c r="F40" t="s" s="31">
        <v>13</v>
      </c>
      <c r="G40" s="29"/>
      <c r="H40" t="s" s="31">
        <v>1139</v>
      </c>
      <c r="I40" t="s" s="31">
        <v>1140</v>
      </c>
      <c r="J40" t="s" s="31">
        <v>982</v>
      </c>
      <c r="K40" t="s" s="31">
        <v>1141</v>
      </c>
      <c r="L40" t="s" s="31">
        <v>1008</v>
      </c>
      <c r="M40" t="s" s="31">
        <v>35</v>
      </c>
      <c r="N40" t="s" s="31">
        <v>35</v>
      </c>
      <c r="O40" s="29"/>
    </row>
    <row r="41" ht="62.7" customHeight="1">
      <c r="A41" t="s" s="10">
        <v>1142</v>
      </c>
      <c r="B41" t="s" s="25">
        <v>946</v>
      </c>
      <c r="C41" s="29"/>
      <c r="D41" s="30">
        <v>80</v>
      </c>
      <c r="E41" s="30">
        <v>60</v>
      </c>
      <c r="F41" t="s" s="31">
        <v>13</v>
      </c>
      <c r="G41" s="29"/>
      <c r="H41" t="s" s="31">
        <v>1143</v>
      </c>
      <c r="I41" t="s" s="31">
        <v>1144</v>
      </c>
      <c r="J41" t="s" s="31">
        <v>953</v>
      </c>
      <c r="K41" t="s" s="31">
        <v>1145</v>
      </c>
      <c r="L41" t="s" s="31">
        <v>1146</v>
      </c>
      <c r="M41" s="29"/>
      <c r="N41" s="29"/>
      <c r="O41" s="29"/>
    </row>
    <row r="42" ht="62.7" customHeight="1">
      <c r="A42" t="s" s="10">
        <v>1147</v>
      </c>
      <c r="B42" t="s" s="25">
        <v>946</v>
      </c>
      <c r="C42" s="29"/>
      <c r="D42" s="30">
        <v>50</v>
      </c>
      <c r="E42" s="30">
        <v>70</v>
      </c>
      <c r="F42" t="s" s="31">
        <v>13</v>
      </c>
      <c r="G42" s="29"/>
      <c r="H42" t="s" s="31">
        <v>1148</v>
      </c>
      <c r="I42" t="s" s="31">
        <v>1149</v>
      </c>
      <c r="J42" t="s" s="31">
        <v>959</v>
      </c>
      <c r="K42" t="s" s="31">
        <v>1150</v>
      </c>
      <c r="L42" t="s" s="31">
        <v>1151</v>
      </c>
      <c r="M42" s="29"/>
      <c r="N42" s="29"/>
      <c r="O42" s="29"/>
    </row>
    <row r="43" ht="62.7" customHeight="1">
      <c r="A43" t="s" s="10">
        <v>1152</v>
      </c>
      <c r="B43" t="s" s="25">
        <v>946</v>
      </c>
      <c r="C43" s="29"/>
      <c r="D43" s="30">
        <v>150</v>
      </c>
      <c r="E43" s="30">
        <v>0</v>
      </c>
      <c r="F43" t="s" s="31">
        <v>11</v>
      </c>
      <c r="G43" s="29"/>
      <c r="H43" t="s" s="31">
        <v>1153</v>
      </c>
      <c r="I43" t="s" s="31">
        <v>1154</v>
      </c>
      <c r="J43" t="s" s="31">
        <v>1155</v>
      </c>
      <c r="K43" t="s" s="31">
        <v>1156</v>
      </c>
      <c r="L43" t="s" s="31">
        <v>1157</v>
      </c>
      <c r="M43" t="s" s="31">
        <v>35</v>
      </c>
      <c r="N43" t="s" s="31">
        <v>35</v>
      </c>
      <c r="O43" s="29"/>
    </row>
    <row r="44" ht="62.7" customHeight="1">
      <c r="A44" t="s" s="10">
        <v>1158</v>
      </c>
      <c r="B44" t="s" s="25">
        <v>946</v>
      </c>
      <c r="C44" s="29"/>
      <c r="D44" s="30">
        <v>120</v>
      </c>
      <c r="E44" s="30">
        <v>120</v>
      </c>
      <c r="F44" t="s" s="31">
        <v>3</v>
      </c>
      <c r="G44" s="29"/>
      <c r="H44" t="s" s="31">
        <v>1159</v>
      </c>
      <c r="I44" t="s" s="31">
        <v>1160</v>
      </c>
      <c r="J44" t="s" s="31">
        <v>959</v>
      </c>
      <c r="K44" t="s" s="31">
        <v>1161</v>
      </c>
      <c r="L44" t="s" s="31">
        <v>1162</v>
      </c>
      <c r="M44" s="29"/>
      <c r="N44" s="29"/>
      <c r="O44" s="29"/>
    </row>
    <row r="45" ht="62.7" customHeight="1">
      <c r="A45" t="s" s="10">
        <v>1163</v>
      </c>
      <c r="B45" t="s" s="25">
        <v>946</v>
      </c>
      <c r="C45" s="29"/>
      <c r="D45" s="30">
        <v>60</v>
      </c>
      <c r="E45" s="30">
        <v>40</v>
      </c>
      <c r="F45" t="s" s="31">
        <v>3</v>
      </c>
      <c r="G45" s="29"/>
      <c r="H45" t="s" s="31">
        <v>1164</v>
      </c>
      <c r="I45" t="s" s="31">
        <v>1165</v>
      </c>
      <c r="J45" t="s" s="31">
        <v>953</v>
      </c>
      <c r="K45" t="s" s="31">
        <v>1166</v>
      </c>
      <c r="L45" t="s" s="31">
        <v>1167</v>
      </c>
      <c r="M45" s="29"/>
      <c r="N45" s="29"/>
      <c r="O45" s="29"/>
    </row>
    <row r="46" ht="62.7" customHeight="1">
      <c r="A46" t="s" s="10">
        <v>1168</v>
      </c>
      <c r="B46" t="s" s="25">
        <v>946</v>
      </c>
      <c r="C46" s="29"/>
      <c r="D46" s="30">
        <v>40</v>
      </c>
      <c r="E46" s="30">
        <v>65</v>
      </c>
      <c r="F46" t="s" s="31">
        <v>3</v>
      </c>
      <c r="G46" s="29"/>
      <c r="H46" t="s" s="31">
        <v>1169</v>
      </c>
      <c r="I46" t="s" s="31">
        <v>1170</v>
      </c>
      <c r="J46" t="s" s="31">
        <v>1171</v>
      </c>
      <c r="K46" t="s" s="31">
        <v>1172</v>
      </c>
      <c r="L46" t="s" s="31">
        <v>1173</v>
      </c>
      <c r="M46" s="29"/>
      <c r="N46" s="29"/>
      <c r="O46" s="29"/>
    </row>
    <row r="47" ht="62.7" customHeight="1">
      <c r="A47" t="s" s="10">
        <v>1174</v>
      </c>
      <c r="B47" t="s" s="25">
        <v>946</v>
      </c>
      <c r="C47" s="29"/>
      <c r="D47" s="30">
        <v>70</v>
      </c>
      <c r="E47" s="30">
        <v>35</v>
      </c>
      <c r="F47" t="s" s="31">
        <v>3</v>
      </c>
      <c r="G47" s="29"/>
      <c r="H47" t="s" s="31">
        <v>1175</v>
      </c>
      <c r="I47" t="s" s="31">
        <v>1176</v>
      </c>
      <c r="J47" t="s" s="31">
        <v>1177</v>
      </c>
      <c r="K47" t="s" s="31">
        <v>1178</v>
      </c>
      <c r="L47" t="s" s="31">
        <v>1179</v>
      </c>
      <c r="M47" s="29"/>
      <c r="N47" s="29"/>
      <c r="O47" s="29"/>
    </row>
    <row r="48" ht="62.7" customHeight="1">
      <c r="A48" t="s" s="10">
        <v>1180</v>
      </c>
      <c r="B48" t="s" s="25">
        <v>946</v>
      </c>
      <c r="C48" s="29"/>
      <c r="D48" s="30">
        <v>90</v>
      </c>
      <c r="E48" s="30">
        <v>80</v>
      </c>
      <c r="F48" t="s" s="31">
        <v>3</v>
      </c>
      <c r="G48" s="29"/>
      <c r="H48" t="s" s="31">
        <v>1181</v>
      </c>
      <c r="I48" t="s" s="31">
        <v>1182</v>
      </c>
      <c r="J48" t="s" s="31">
        <v>1183</v>
      </c>
      <c r="K48" t="s" s="31">
        <v>1184</v>
      </c>
      <c r="L48" t="s" s="31">
        <v>1185</v>
      </c>
      <c r="M48" s="29"/>
      <c r="N48" s="29"/>
      <c r="O48" s="29"/>
    </row>
    <row r="49" ht="62.7" customHeight="1">
      <c r="A49" t="s" s="10">
        <v>1186</v>
      </c>
      <c r="B49" t="s" s="25">
        <v>946</v>
      </c>
      <c r="C49" s="29"/>
      <c r="D49" s="30">
        <v>70</v>
      </c>
      <c r="E49" s="30">
        <v>50</v>
      </c>
      <c r="F49" t="s" s="31">
        <v>3</v>
      </c>
      <c r="G49" s="29"/>
      <c r="H49" t="s" s="31">
        <v>1187</v>
      </c>
      <c r="I49" t="s" s="31">
        <v>1188</v>
      </c>
      <c r="J49" t="s" s="31">
        <v>953</v>
      </c>
      <c r="K49" t="s" s="31">
        <v>1189</v>
      </c>
      <c r="L49" t="s" s="31">
        <v>1190</v>
      </c>
      <c r="M49" s="29"/>
      <c r="N49" s="29"/>
      <c r="O49" s="29"/>
    </row>
    <row r="50" ht="62.7" customHeight="1">
      <c r="A50" t="s" s="10">
        <v>1191</v>
      </c>
      <c r="B50" t="s" s="25">
        <v>946</v>
      </c>
      <c r="C50" s="29"/>
      <c r="D50" s="30">
        <v>45</v>
      </c>
      <c r="E50" s="30">
        <v>45</v>
      </c>
      <c r="F50" t="s" s="31">
        <v>3</v>
      </c>
      <c r="G50" s="29"/>
      <c r="H50" t="s" s="31">
        <v>1192</v>
      </c>
      <c r="I50" t="s" s="31">
        <v>1193</v>
      </c>
      <c r="J50" t="s" s="31">
        <v>953</v>
      </c>
      <c r="K50" t="s" s="31">
        <v>1194</v>
      </c>
      <c r="L50" t="s" s="31">
        <v>1195</v>
      </c>
      <c r="M50" s="29"/>
      <c r="N50" s="29"/>
      <c r="O50" s="29"/>
    </row>
    <row r="51" ht="62.7" customHeight="1">
      <c r="A51" t="s" s="10">
        <v>1196</v>
      </c>
      <c r="B51" t="s" s="25">
        <v>946</v>
      </c>
      <c r="C51" s="29"/>
      <c r="D51" s="30">
        <v>40</v>
      </c>
      <c r="E51" s="30">
        <v>30</v>
      </c>
      <c r="F51" t="s" s="31">
        <v>3</v>
      </c>
      <c r="G51" s="29"/>
      <c r="H51" t="s" s="31">
        <v>1197</v>
      </c>
      <c r="I51" t="s" s="31">
        <v>1198</v>
      </c>
      <c r="J51" t="s" s="31">
        <v>1199</v>
      </c>
      <c r="K51" t="s" s="31">
        <v>1200</v>
      </c>
      <c r="L51" t="s" s="31">
        <v>1201</v>
      </c>
      <c r="M51" s="29"/>
      <c r="N51" s="29"/>
      <c r="O51" s="29"/>
    </row>
    <row r="52" ht="62.7" customHeight="1">
      <c r="A52" t="s" s="10">
        <v>1202</v>
      </c>
      <c r="B52" t="s" s="25">
        <v>946</v>
      </c>
      <c r="C52" s="29"/>
      <c r="D52" s="30">
        <v>100</v>
      </c>
      <c r="E52" s="30">
        <v>50</v>
      </c>
      <c r="F52" t="s" s="31">
        <v>3</v>
      </c>
      <c r="G52" s="29"/>
      <c r="H52" t="s" s="31">
        <v>39</v>
      </c>
      <c r="I52" t="s" s="31">
        <v>39</v>
      </c>
      <c r="J52" t="s" s="31">
        <v>953</v>
      </c>
      <c r="K52" t="s" s="31">
        <v>1203</v>
      </c>
      <c r="L52" t="s" s="31">
        <v>1204</v>
      </c>
      <c r="M52" s="29"/>
      <c r="N52" s="29"/>
      <c r="O52" s="29"/>
    </row>
    <row r="53" ht="62.7" customHeight="1">
      <c r="A53" t="s" s="10">
        <v>1205</v>
      </c>
      <c r="B53" t="s" s="25">
        <v>946</v>
      </c>
      <c r="C53" s="29"/>
      <c r="D53" s="30">
        <v>100</v>
      </c>
      <c r="E53" s="30">
        <v>100</v>
      </c>
      <c r="F53" t="s" s="31">
        <v>3</v>
      </c>
      <c r="G53" s="29"/>
      <c r="H53" t="s" s="31">
        <v>1206</v>
      </c>
      <c r="I53" t="s" s="31">
        <v>1207</v>
      </c>
      <c r="J53" t="s" s="31">
        <v>982</v>
      </c>
      <c r="K53" t="s" s="31">
        <v>1208</v>
      </c>
      <c r="L53" t="s" s="31">
        <v>1209</v>
      </c>
      <c r="M53" s="29"/>
      <c r="N53" s="29"/>
      <c r="O53" s="29"/>
    </row>
    <row r="54" ht="62.7" customHeight="1">
      <c r="A54" t="s" s="10">
        <v>1210</v>
      </c>
      <c r="B54" t="s" s="25">
        <v>946</v>
      </c>
      <c r="C54" s="29"/>
      <c r="D54" s="30">
        <v>200</v>
      </c>
      <c r="E54" s="30">
        <v>0</v>
      </c>
      <c r="F54" t="s" s="31">
        <v>5</v>
      </c>
      <c r="G54" s="29"/>
      <c r="H54" t="s" s="31">
        <v>1211</v>
      </c>
      <c r="I54" t="s" s="31">
        <v>1212</v>
      </c>
      <c r="J54" t="s" s="31">
        <v>1213</v>
      </c>
      <c r="K54" t="s" s="31">
        <v>1214</v>
      </c>
      <c r="L54" t="s" s="31">
        <v>1215</v>
      </c>
      <c r="M54" s="29"/>
      <c r="N54" s="29"/>
      <c r="O54" s="29"/>
    </row>
    <row r="55" ht="62.7" customHeight="1">
      <c r="A55" t="s" s="10">
        <v>1216</v>
      </c>
      <c r="B55" t="s" s="25">
        <v>946</v>
      </c>
      <c r="C55" s="29"/>
      <c r="D55" s="30">
        <v>250</v>
      </c>
      <c r="E55" s="30">
        <v>180</v>
      </c>
      <c r="F55" t="s" s="31">
        <v>9</v>
      </c>
      <c r="G55" s="29"/>
      <c r="H55" t="s" s="31">
        <v>1217</v>
      </c>
      <c r="I55" t="s" s="31">
        <v>1218</v>
      </c>
      <c r="J55" t="s" s="31">
        <v>1219</v>
      </c>
      <c r="K55" t="s" s="31">
        <v>1220</v>
      </c>
      <c r="L55" t="s" s="31">
        <v>1221</v>
      </c>
      <c r="M55" s="29"/>
      <c r="N55" s="29"/>
      <c r="O55" s="29"/>
    </row>
    <row r="56" ht="62.7" customHeight="1">
      <c r="A56" t="s" s="10">
        <v>1222</v>
      </c>
      <c r="B56" t="s" s="25">
        <v>946</v>
      </c>
      <c r="C56" s="29"/>
      <c r="D56" s="30">
        <v>55</v>
      </c>
      <c r="E56" s="30">
        <v>50</v>
      </c>
      <c r="F56" t="s" s="31">
        <v>9</v>
      </c>
      <c r="G56" s="29"/>
      <c r="H56" t="s" s="31">
        <v>1223</v>
      </c>
      <c r="I56" t="s" s="31">
        <v>1224</v>
      </c>
      <c r="J56" t="s" s="31">
        <v>953</v>
      </c>
      <c r="K56" t="s" s="31">
        <v>1225</v>
      </c>
      <c r="L56" t="s" s="31">
        <v>1226</v>
      </c>
      <c r="M56" s="29"/>
      <c r="N56" s="29"/>
      <c r="O56" s="29"/>
    </row>
    <row r="57" ht="74.7" customHeight="1">
      <c r="A57" t="s" s="10">
        <v>1227</v>
      </c>
      <c r="B57" t="s" s="25">
        <v>946</v>
      </c>
      <c r="C57" s="29"/>
      <c r="D57" s="30">
        <v>80</v>
      </c>
      <c r="E57" s="30">
        <v>70</v>
      </c>
      <c r="F57" t="s" s="31">
        <v>9</v>
      </c>
      <c r="G57" s="29"/>
      <c r="H57" t="s" s="31">
        <v>1228</v>
      </c>
      <c r="I57" t="s" s="31">
        <v>1229</v>
      </c>
      <c r="J57" t="s" s="31">
        <v>953</v>
      </c>
      <c r="K57" t="s" s="31">
        <v>1230</v>
      </c>
      <c r="L57" t="s" s="31">
        <v>1231</v>
      </c>
      <c r="M57" s="29"/>
      <c r="N57" s="29"/>
      <c r="O57" s="29"/>
    </row>
    <row r="58" ht="62.7" customHeight="1">
      <c r="A58" t="s" s="10">
        <v>1232</v>
      </c>
      <c r="B58" t="s" s="25">
        <v>946</v>
      </c>
      <c r="C58" s="29"/>
      <c r="D58" s="30">
        <v>90</v>
      </c>
      <c r="E58" s="30">
        <v>90</v>
      </c>
      <c r="F58" t="s" s="31">
        <v>15</v>
      </c>
      <c r="G58" s="29"/>
      <c r="H58" t="s" s="31">
        <v>1233</v>
      </c>
      <c r="I58" t="s" s="31">
        <v>1234</v>
      </c>
      <c r="J58" t="s" s="31">
        <v>1235</v>
      </c>
      <c r="K58" t="s" s="31">
        <v>1236</v>
      </c>
      <c r="L58" t="s" s="31">
        <v>1237</v>
      </c>
      <c r="M58" s="29"/>
      <c r="N58" s="29"/>
      <c r="O58" s="29"/>
    </row>
    <row r="59" ht="62.7" customHeight="1">
      <c r="A59" t="s" s="10">
        <v>1238</v>
      </c>
      <c r="B59" t="s" s="25">
        <v>946</v>
      </c>
      <c r="C59" s="29"/>
      <c r="D59" s="30">
        <v>100</v>
      </c>
      <c r="E59" s="30">
        <v>85</v>
      </c>
      <c r="F59" t="s" s="31">
        <v>9</v>
      </c>
      <c r="G59" s="29"/>
      <c r="H59" t="s" s="31">
        <v>1239</v>
      </c>
      <c r="I59" t="s" s="31">
        <v>1240</v>
      </c>
      <c r="J59" t="s" s="31">
        <v>1241</v>
      </c>
      <c r="K59" t="s" s="31">
        <v>1242</v>
      </c>
      <c r="L59" t="s" s="31">
        <v>1243</v>
      </c>
      <c r="M59" s="29"/>
      <c r="N59" s="29"/>
      <c r="O59" s="29"/>
    </row>
    <row r="60" ht="62.7" customHeight="1">
      <c r="A60" t="s" s="10">
        <v>1244</v>
      </c>
      <c r="B60" t="s" s="25">
        <v>946</v>
      </c>
      <c r="C60" s="29"/>
      <c r="D60" s="30">
        <v>80</v>
      </c>
      <c r="E60" s="30">
        <v>25</v>
      </c>
      <c r="F60" t="s" s="31">
        <v>9</v>
      </c>
      <c r="G60" s="29"/>
      <c r="H60" t="s" s="31">
        <v>1245</v>
      </c>
      <c r="I60" t="s" s="31">
        <v>1246</v>
      </c>
      <c r="J60" t="s" s="31">
        <v>953</v>
      </c>
      <c r="K60" t="s" s="31">
        <v>1247</v>
      </c>
      <c r="L60" t="s" s="31">
        <v>1248</v>
      </c>
      <c r="M60" s="29"/>
      <c r="N60" s="29"/>
      <c r="O60" s="29"/>
    </row>
    <row r="61" ht="62.7" customHeight="1">
      <c r="A61" t="s" s="10">
        <v>1249</v>
      </c>
      <c r="B61" t="s" s="25">
        <v>946</v>
      </c>
      <c r="C61" s="29"/>
      <c r="D61" s="30">
        <v>60</v>
      </c>
      <c r="E61" s="30">
        <v>60</v>
      </c>
      <c r="F61" t="s" s="31">
        <v>13</v>
      </c>
      <c r="G61" s="29"/>
      <c r="H61" t="s" s="31">
        <v>1250</v>
      </c>
      <c r="I61" t="s" s="31">
        <v>1251</v>
      </c>
      <c r="J61" t="s" s="31">
        <v>953</v>
      </c>
      <c r="K61" t="s" s="31">
        <v>1252</v>
      </c>
      <c r="L61" t="s" s="31">
        <v>1059</v>
      </c>
      <c r="M61" s="29"/>
      <c r="N61" s="29"/>
      <c r="O61" s="29"/>
    </row>
    <row r="62" ht="62.7" customHeight="1">
      <c r="A62" t="s" s="10">
        <v>1253</v>
      </c>
      <c r="B62" t="s" s="25">
        <v>946</v>
      </c>
      <c r="C62" s="29"/>
      <c r="D62" s="30">
        <v>35</v>
      </c>
      <c r="E62" s="30">
        <v>25</v>
      </c>
      <c r="F62" t="s" s="31">
        <v>9</v>
      </c>
      <c r="G62" s="29"/>
      <c r="H62" t="s" s="31">
        <v>1254</v>
      </c>
      <c r="I62" t="s" s="31">
        <v>1255</v>
      </c>
      <c r="J62" t="s" s="31">
        <v>1171</v>
      </c>
      <c r="K62" t="s" s="31">
        <v>1256</v>
      </c>
      <c r="L62" t="s" s="31">
        <v>1257</v>
      </c>
      <c r="M62" s="29"/>
      <c r="N62" s="29"/>
      <c r="O62" s="29"/>
    </row>
    <row r="63" ht="62.7" customHeight="1">
      <c r="A63" t="s" s="10">
        <v>1258</v>
      </c>
      <c r="B63" t="s" s="25">
        <v>946</v>
      </c>
      <c r="C63" s="29"/>
      <c r="D63" s="30">
        <v>55</v>
      </c>
      <c r="E63" s="30">
        <v>80</v>
      </c>
      <c r="F63" t="s" s="31">
        <v>7</v>
      </c>
      <c r="G63" s="29"/>
      <c r="H63" t="s" s="31">
        <v>1259</v>
      </c>
      <c r="I63" t="s" s="31">
        <v>1260</v>
      </c>
      <c r="J63" t="s" s="31">
        <v>1261</v>
      </c>
      <c r="K63" t="s" s="31">
        <v>1262</v>
      </c>
      <c r="L63" t="s" s="31">
        <v>1263</v>
      </c>
      <c r="M63" s="29"/>
      <c r="N63" s="29"/>
      <c r="O63" s="29"/>
    </row>
    <row r="64" ht="62.7" customHeight="1">
      <c r="A64" t="s" s="10">
        <v>1264</v>
      </c>
      <c r="B64" t="s" s="25">
        <v>946</v>
      </c>
      <c r="C64" s="29"/>
      <c r="D64" s="30">
        <v>40</v>
      </c>
      <c r="E64" s="30">
        <v>30</v>
      </c>
      <c r="F64" t="s" s="31">
        <v>7</v>
      </c>
      <c r="G64" s="29"/>
      <c r="H64" t="s" s="31">
        <v>1265</v>
      </c>
      <c r="I64" t="s" s="31">
        <v>1266</v>
      </c>
      <c r="J64" t="s" s="31">
        <v>953</v>
      </c>
      <c r="K64" t="s" s="31">
        <v>1267</v>
      </c>
      <c r="L64" t="s" s="31">
        <v>1268</v>
      </c>
      <c r="M64" s="29"/>
      <c r="N64" s="29"/>
      <c r="O64" s="29"/>
    </row>
    <row r="65" ht="74.7" customHeight="1">
      <c r="A65" t="s" s="10">
        <v>1269</v>
      </c>
      <c r="B65" t="s" s="25">
        <v>946</v>
      </c>
      <c r="C65" s="29"/>
      <c r="D65" s="30">
        <v>90</v>
      </c>
      <c r="E65" s="30">
        <v>75</v>
      </c>
      <c r="F65" t="s" s="31">
        <v>5</v>
      </c>
      <c r="G65" s="29"/>
      <c r="H65" t="s" s="31">
        <v>1270</v>
      </c>
      <c r="I65" t="s" s="31">
        <v>1271</v>
      </c>
      <c r="J65" s="29"/>
      <c r="K65" t="s" s="31">
        <v>1272</v>
      </c>
      <c r="L65" t="s" s="31">
        <v>1273</v>
      </c>
      <c r="M65" s="29"/>
      <c r="N65" s="29"/>
      <c r="O65" s="29"/>
    </row>
    <row r="66" ht="62.7" customHeight="1">
      <c r="A66" t="s" s="10">
        <v>1274</v>
      </c>
      <c r="B66" t="s" s="25">
        <v>946</v>
      </c>
      <c r="C66" s="29"/>
      <c r="D66" s="30">
        <v>195</v>
      </c>
      <c r="E66" s="30">
        <v>180</v>
      </c>
      <c r="F66" t="s" s="31">
        <v>7</v>
      </c>
      <c r="G66" s="29"/>
      <c r="H66" t="s" s="31">
        <v>1275</v>
      </c>
      <c r="I66" t="s" s="31">
        <v>1276</v>
      </c>
      <c r="J66" s="29"/>
      <c r="K66" t="s" s="31">
        <v>1277</v>
      </c>
      <c r="L66" t="s" s="31">
        <v>1278</v>
      </c>
      <c r="M66" s="29"/>
      <c r="N66" s="29"/>
      <c r="O66" s="29"/>
    </row>
    <row r="67" ht="74.7" customHeight="1">
      <c r="A67" t="s" s="10">
        <v>1279</v>
      </c>
      <c r="B67" t="s" s="25">
        <v>946</v>
      </c>
      <c r="C67" s="29"/>
      <c r="D67" s="30">
        <v>30</v>
      </c>
      <c r="E67" s="30">
        <v>50</v>
      </c>
      <c r="F67" t="s" s="31">
        <v>7</v>
      </c>
      <c r="G67" s="29"/>
      <c r="H67" t="s" s="31">
        <v>1280</v>
      </c>
      <c r="I67" t="s" s="31">
        <v>1281</v>
      </c>
      <c r="J67" s="29"/>
      <c r="K67" t="s" s="31">
        <v>1282</v>
      </c>
      <c r="L67" t="s" s="31">
        <v>1283</v>
      </c>
      <c r="M67" s="29"/>
      <c r="N67" s="29"/>
      <c r="O67" s="29"/>
    </row>
    <row r="68" ht="74.7" customHeight="1">
      <c r="A68" t="s" s="10">
        <v>1284</v>
      </c>
      <c r="B68" t="s" s="25">
        <v>946</v>
      </c>
      <c r="C68" s="29"/>
      <c r="D68" s="30">
        <v>60</v>
      </c>
      <c r="E68" s="30">
        <v>80</v>
      </c>
      <c r="F68" t="s" s="31">
        <v>7</v>
      </c>
      <c r="G68" s="29"/>
      <c r="H68" t="s" s="31">
        <v>1285</v>
      </c>
      <c r="I68" t="s" s="31">
        <v>1286</v>
      </c>
      <c r="J68" s="29"/>
      <c r="K68" t="s" s="31">
        <v>1287</v>
      </c>
      <c r="L68" t="s" s="31">
        <v>1288</v>
      </c>
      <c r="M68" s="29"/>
      <c r="N68" s="29"/>
      <c r="O68" s="29"/>
    </row>
    <row r="69" ht="74.7" customHeight="1">
      <c r="A69" t="s" s="10">
        <v>1289</v>
      </c>
      <c r="B69" t="s" s="25">
        <v>946</v>
      </c>
      <c r="C69" s="29"/>
      <c r="D69" s="30">
        <v>225</v>
      </c>
      <c r="E69" s="30">
        <v>150</v>
      </c>
      <c r="F69" t="s" s="31">
        <v>11</v>
      </c>
      <c r="G69" s="29"/>
      <c r="H69" t="s" s="31">
        <v>1290</v>
      </c>
      <c r="I69" t="s" s="31">
        <v>1291</v>
      </c>
      <c r="J69" s="29"/>
      <c r="K69" t="s" s="31">
        <v>1292</v>
      </c>
      <c r="L69" t="s" s="31">
        <v>1293</v>
      </c>
      <c r="M69" s="29"/>
      <c r="N69" s="29"/>
      <c r="O69" s="29"/>
    </row>
    <row r="70" ht="74.7" customHeight="1">
      <c r="A70" t="s" s="10">
        <v>1294</v>
      </c>
      <c r="B70" t="s" s="25">
        <v>946</v>
      </c>
      <c r="C70" s="29"/>
      <c r="D70" s="30">
        <v>60</v>
      </c>
      <c r="E70" s="30">
        <v>100</v>
      </c>
      <c r="F70" t="s" s="31">
        <v>7</v>
      </c>
      <c r="G70" s="29"/>
      <c r="H70" t="s" s="31">
        <v>39</v>
      </c>
      <c r="I70" t="s" s="31">
        <v>39</v>
      </c>
      <c r="J70" t="s" s="31">
        <v>1104</v>
      </c>
      <c r="K70" t="s" s="31">
        <v>1295</v>
      </c>
      <c r="L70" t="s" s="31">
        <v>1296</v>
      </c>
      <c r="M70" t="s" s="31">
        <v>35</v>
      </c>
      <c r="N70" t="s" s="31">
        <v>35</v>
      </c>
      <c r="O70" s="29"/>
    </row>
    <row r="71" ht="74.7" customHeight="1">
      <c r="A71" t="s" s="10">
        <v>1297</v>
      </c>
      <c r="B71" t="s" s="25">
        <v>946</v>
      </c>
      <c r="C71" s="29"/>
      <c r="D71" s="30">
        <v>80</v>
      </c>
      <c r="E71" s="30">
        <v>50</v>
      </c>
      <c r="F71" t="s" s="31">
        <v>7</v>
      </c>
      <c r="G71" s="29"/>
      <c r="H71" t="s" s="31">
        <v>1298</v>
      </c>
      <c r="I71" t="s" s="31">
        <v>1299</v>
      </c>
      <c r="J71" t="s" s="31">
        <v>1104</v>
      </c>
      <c r="K71" t="s" s="31">
        <v>1300</v>
      </c>
      <c r="L71" t="s" s="31">
        <v>1301</v>
      </c>
      <c r="M71" t="s" s="31">
        <v>35</v>
      </c>
      <c r="N71" t="s" s="31">
        <v>35</v>
      </c>
      <c r="O71" s="29"/>
    </row>
    <row r="72" ht="74.7" customHeight="1">
      <c r="A72" t="s" s="10">
        <v>1302</v>
      </c>
      <c r="B72" t="s" s="25">
        <v>946</v>
      </c>
      <c r="C72" s="29"/>
      <c r="D72" s="30">
        <v>65</v>
      </c>
      <c r="E72" s="30">
        <v>65</v>
      </c>
      <c r="F72" t="s" s="31">
        <v>7</v>
      </c>
      <c r="G72" s="29"/>
      <c r="H72" t="s" s="31">
        <v>1303</v>
      </c>
      <c r="I72" t="s" s="31">
        <v>153</v>
      </c>
      <c r="J72" t="s" s="31">
        <v>1104</v>
      </c>
      <c r="K72" t="s" s="31">
        <v>1304</v>
      </c>
      <c r="L72" t="s" s="31">
        <v>1305</v>
      </c>
      <c r="M72" t="s" s="31">
        <v>35</v>
      </c>
      <c r="N72" t="s" s="31">
        <v>35</v>
      </c>
      <c r="O72" s="29"/>
    </row>
    <row r="73" ht="74.7" customHeight="1">
      <c r="A73" t="s" s="10">
        <v>1306</v>
      </c>
      <c r="B73" t="s" s="25">
        <v>946</v>
      </c>
      <c r="C73" s="29"/>
      <c r="D73" s="30">
        <v>90</v>
      </c>
      <c r="E73" s="30">
        <v>55</v>
      </c>
      <c r="F73" t="s" s="31">
        <v>7</v>
      </c>
      <c r="G73" s="29"/>
      <c r="H73" t="s" s="31">
        <v>1307</v>
      </c>
      <c r="I73" t="s" s="31">
        <v>1308</v>
      </c>
      <c r="J73" t="s" s="31">
        <v>1104</v>
      </c>
      <c r="K73" t="s" s="31">
        <v>1309</v>
      </c>
      <c r="L73" t="s" s="31">
        <v>1310</v>
      </c>
      <c r="M73" t="s" s="31">
        <v>35</v>
      </c>
      <c r="N73" t="s" s="31">
        <v>35</v>
      </c>
      <c r="O73" s="29"/>
    </row>
    <row r="74" ht="74.7" customHeight="1">
      <c r="A74" t="s" s="10">
        <v>1311</v>
      </c>
      <c r="B74" t="s" s="25">
        <v>946</v>
      </c>
      <c r="C74" s="29"/>
      <c r="D74" s="30">
        <v>65</v>
      </c>
      <c r="E74" s="30">
        <v>85</v>
      </c>
      <c r="F74" t="s" s="31">
        <v>7</v>
      </c>
      <c r="G74" s="29"/>
      <c r="H74" t="s" s="31">
        <v>1312</v>
      </c>
      <c r="I74" t="s" s="31">
        <v>1313</v>
      </c>
      <c r="J74" t="s" s="31">
        <v>1104</v>
      </c>
      <c r="K74" t="s" s="31">
        <v>1314</v>
      </c>
      <c r="L74" t="s" s="31">
        <v>1273</v>
      </c>
      <c r="M74" t="s" s="31">
        <v>35</v>
      </c>
      <c r="N74" t="s" s="31">
        <v>35</v>
      </c>
      <c r="O74" s="29"/>
    </row>
    <row r="75" ht="74.7" customHeight="1">
      <c r="A75" t="s" s="10">
        <v>1315</v>
      </c>
      <c r="B75" t="s" s="25">
        <v>946</v>
      </c>
      <c r="C75" s="29"/>
      <c r="D75" s="30">
        <v>40</v>
      </c>
      <c r="E75" s="30">
        <v>40</v>
      </c>
      <c r="F75" t="s" s="31">
        <v>7</v>
      </c>
      <c r="G75" s="29"/>
      <c r="H75" t="s" s="31">
        <v>1316</v>
      </c>
      <c r="I75" t="s" s="31">
        <v>1317</v>
      </c>
      <c r="J75" t="s" s="31">
        <v>1104</v>
      </c>
      <c r="K75" t="s" s="31">
        <v>1318</v>
      </c>
      <c r="L75" t="s" s="31">
        <v>1319</v>
      </c>
      <c r="M75" t="s" s="31">
        <v>35</v>
      </c>
      <c r="N75" t="s" s="31">
        <v>35</v>
      </c>
      <c r="O75" s="29"/>
    </row>
    <row r="76" ht="74.7" customHeight="1">
      <c r="A76" t="s" s="10">
        <v>1320</v>
      </c>
      <c r="B76" t="s" s="25">
        <v>946</v>
      </c>
      <c r="C76" s="29"/>
      <c r="D76" s="30">
        <v>120</v>
      </c>
      <c r="E76" s="30">
        <v>80</v>
      </c>
      <c r="F76" t="s" s="31">
        <v>7</v>
      </c>
      <c r="G76" s="29"/>
      <c r="H76" t="s" s="31">
        <v>1321</v>
      </c>
      <c r="I76" t="s" s="31">
        <v>1322</v>
      </c>
      <c r="J76" s="29"/>
      <c r="K76" t="s" s="31">
        <v>1323</v>
      </c>
      <c r="L76" t="s" s="31">
        <v>1319</v>
      </c>
      <c r="M76" s="29"/>
      <c r="N76" s="29"/>
      <c r="O76" s="29"/>
    </row>
    <row r="77" ht="74.7" customHeight="1">
      <c r="A77" t="s" s="10">
        <v>1324</v>
      </c>
      <c r="B77" t="s" s="25">
        <v>946</v>
      </c>
      <c r="C77" s="29"/>
      <c r="D77" s="30">
        <v>50</v>
      </c>
      <c r="E77" s="30">
        <v>120</v>
      </c>
      <c r="F77" t="s" s="31">
        <v>7</v>
      </c>
      <c r="G77" s="29"/>
      <c r="H77" t="s" s="31">
        <v>1325</v>
      </c>
      <c r="I77" t="s" s="31">
        <v>1326</v>
      </c>
      <c r="J77" s="29"/>
      <c r="K77" t="s" s="31">
        <v>1327</v>
      </c>
      <c r="L77" t="s" s="31">
        <v>1319</v>
      </c>
      <c r="M77" s="29"/>
      <c r="N77" s="29"/>
      <c r="O77" s="29"/>
    </row>
    <row r="78" ht="74.7" customHeight="1">
      <c r="A78" t="s" s="10">
        <v>1328</v>
      </c>
      <c r="B78" t="s" s="25">
        <v>946</v>
      </c>
      <c r="C78" s="29"/>
      <c r="D78" s="30">
        <v>175</v>
      </c>
      <c r="E78" s="30">
        <v>0</v>
      </c>
      <c r="F78" t="s" s="31">
        <v>7</v>
      </c>
      <c r="G78" s="29"/>
      <c r="H78" t="s" s="31">
        <v>39</v>
      </c>
      <c r="I78" t="s" s="31">
        <v>39</v>
      </c>
      <c r="J78" s="29"/>
      <c r="K78" t="s" s="31">
        <v>1329</v>
      </c>
      <c r="L78" t="s" s="31">
        <v>1319</v>
      </c>
      <c r="M78" s="29"/>
      <c r="N78" s="29"/>
      <c r="O78" s="29"/>
    </row>
    <row r="79" ht="74.7" customHeight="1">
      <c r="A79" t="s" s="10">
        <v>1330</v>
      </c>
      <c r="B79" t="s" s="25">
        <v>946</v>
      </c>
      <c r="C79" s="29"/>
      <c r="D79" s="30">
        <v>10</v>
      </c>
      <c r="E79" s="30">
        <v>135</v>
      </c>
      <c r="F79" t="s" s="31">
        <v>7</v>
      </c>
      <c r="G79" s="29"/>
      <c r="H79" s="29"/>
      <c r="I79" t="s" s="31">
        <v>1331</v>
      </c>
      <c r="J79" s="29"/>
      <c r="K79" t="s" s="31">
        <v>1332</v>
      </c>
      <c r="L79" t="s" s="31">
        <v>1319</v>
      </c>
      <c r="M79" s="29"/>
      <c r="N79" s="29"/>
      <c r="O79" s="29"/>
    </row>
    <row r="80" ht="74.7" customHeight="1">
      <c r="A80" t="s" s="10">
        <v>1333</v>
      </c>
      <c r="B80" t="s" s="25">
        <v>946</v>
      </c>
      <c r="C80" s="29"/>
      <c r="D80" s="30">
        <v>120</v>
      </c>
      <c r="E80" s="30">
        <v>0</v>
      </c>
      <c r="F80" t="s" s="31">
        <v>7</v>
      </c>
      <c r="G80" s="29"/>
      <c r="H80" s="29"/>
      <c r="I80" t="s" s="31">
        <v>1334</v>
      </c>
      <c r="J80" s="29"/>
      <c r="K80" t="s" s="31">
        <v>1335</v>
      </c>
      <c r="L80" t="s" s="31">
        <v>1336</v>
      </c>
      <c r="M80" s="29"/>
      <c r="N80" s="29"/>
      <c r="O80" s="29"/>
    </row>
    <row r="81" ht="74.7" customHeight="1">
      <c r="A81" t="s" s="10">
        <v>1337</v>
      </c>
      <c r="B81" t="s" s="25">
        <v>946</v>
      </c>
      <c r="C81" s="29"/>
      <c r="D81" s="30">
        <v>50</v>
      </c>
      <c r="E81" s="30">
        <v>200</v>
      </c>
      <c r="F81" t="s" s="31">
        <v>13</v>
      </c>
      <c r="G81" s="29"/>
      <c r="H81" s="29"/>
      <c r="I81" t="s" s="31">
        <v>1338</v>
      </c>
      <c r="J81" s="29"/>
      <c r="K81" t="s" s="31">
        <v>1339</v>
      </c>
      <c r="L81" t="s" s="31">
        <v>1340</v>
      </c>
      <c r="M81" s="29"/>
      <c r="N81" s="29"/>
      <c r="O81" s="29"/>
    </row>
    <row r="82" ht="74.7" customHeight="1">
      <c r="A82" t="s" s="10">
        <v>1341</v>
      </c>
      <c r="B82" t="s" s="25">
        <v>946</v>
      </c>
      <c r="C82" s="29"/>
      <c r="D82" s="30">
        <v>50</v>
      </c>
      <c r="E82" s="30">
        <v>30</v>
      </c>
      <c r="F82" t="s" s="31">
        <v>13</v>
      </c>
      <c r="G82" s="29"/>
      <c r="H82" s="29"/>
      <c r="I82" t="s" s="31">
        <v>1342</v>
      </c>
      <c r="J82" s="29"/>
      <c r="K82" t="s" s="31">
        <v>1343</v>
      </c>
      <c r="L82" t="s" s="31">
        <v>1344</v>
      </c>
      <c r="M82" s="29"/>
      <c r="N82" s="29"/>
      <c r="O82" s="29"/>
    </row>
    <row r="83" ht="74.7" customHeight="1">
      <c r="A83" t="s" s="10">
        <v>1345</v>
      </c>
      <c r="B83" t="s" s="25">
        <v>946</v>
      </c>
      <c r="C83" s="29"/>
      <c r="D83" s="30">
        <v>85</v>
      </c>
      <c r="E83" s="30">
        <v>105</v>
      </c>
      <c r="F83" t="s" s="31">
        <v>13</v>
      </c>
      <c r="G83" s="29"/>
      <c r="H83" s="29"/>
      <c r="I83" t="s" s="31">
        <v>1346</v>
      </c>
      <c r="J83" s="29"/>
      <c r="K83" t="s" s="31">
        <v>1347</v>
      </c>
      <c r="L83" t="s" s="31">
        <v>1348</v>
      </c>
      <c r="M83" s="29"/>
      <c r="N83" s="29"/>
      <c r="O83" s="29"/>
    </row>
    <row r="84" ht="74.7" customHeight="1">
      <c r="A84" t="s" s="10">
        <v>1349</v>
      </c>
      <c r="B84" t="s" s="25">
        <v>946</v>
      </c>
      <c r="C84" s="29"/>
      <c r="D84" s="30">
        <v>125</v>
      </c>
      <c r="E84" s="30">
        <v>100</v>
      </c>
      <c r="F84" t="s" s="31">
        <v>11</v>
      </c>
      <c r="G84" s="29"/>
      <c r="H84" s="29"/>
      <c r="I84" t="s" s="31">
        <v>1350</v>
      </c>
      <c r="J84" s="29"/>
      <c r="K84" t="s" s="31">
        <v>1351</v>
      </c>
      <c r="L84" t="s" s="31">
        <v>1352</v>
      </c>
      <c r="M84" s="29"/>
      <c r="N84" s="29"/>
      <c r="O84" s="29"/>
    </row>
    <row r="85" ht="74.7" customHeight="1">
      <c r="A85" t="s" s="10">
        <v>1353</v>
      </c>
      <c r="B85" t="s" s="25">
        <v>946</v>
      </c>
      <c r="C85" s="30">
        <v>0</v>
      </c>
      <c r="D85" s="30">
        <v>0</v>
      </c>
      <c r="E85" s="30">
        <v>180</v>
      </c>
      <c r="F85" t="s" s="31">
        <v>7</v>
      </c>
      <c r="G85" s="29"/>
      <c r="H85" t="s" s="31">
        <v>1354</v>
      </c>
      <c r="I85" t="s" s="31">
        <v>1355</v>
      </c>
      <c r="J85" t="s" s="31">
        <v>1356</v>
      </c>
      <c r="K85" t="s" s="31">
        <v>1357</v>
      </c>
      <c r="L85" t="s" s="31">
        <v>1319</v>
      </c>
      <c r="M85" s="29"/>
      <c r="N85" s="29"/>
      <c r="O85" s="29"/>
    </row>
    <row r="86" ht="74.7" customHeight="1">
      <c r="A86" t="s" s="10">
        <v>1358</v>
      </c>
      <c r="B86" t="s" s="25">
        <v>946</v>
      </c>
      <c r="C86" s="29"/>
      <c r="D86" s="30">
        <v>40</v>
      </c>
      <c r="E86" s="30">
        <v>60</v>
      </c>
      <c r="F86" t="s" s="31">
        <v>15</v>
      </c>
      <c r="G86" s="29"/>
      <c r="H86" t="s" s="31">
        <v>1359</v>
      </c>
      <c r="I86" t="s" s="31">
        <v>1360</v>
      </c>
      <c r="J86" s="29"/>
      <c r="K86" t="s" s="31">
        <v>1361</v>
      </c>
      <c r="L86" t="s" s="31">
        <v>1131</v>
      </c>
      <c r="M86" s="29"/>
      <c r="N86" s="29"/>
      <c r="O86" s="29"/>
    </row>
    <row r="87" ht="74.7" customHeight="1">
      <c r="A87" t="s" s="10">
        <v>1362</v>
      </c>
      <c r="B87" t="s" s="25">
        <v>946</v>
      </c>
      <c r="C87" s="29"/>
      <c r="D87" s="30">
        <v>170</v>
      </c>
      <c r="E87" s="30">
        <v>150</v>
      </c>
      <c r="F87" t="s" s="31">
        <v>5</v>
      </c>
      <c r="G87" s="29"/>
      <c r="H87" t="s" s="31">
        <v>1363</v>
      </c>
      <c r="I87" t="s" s="31">
        <v>1364</v>
      </c>
      <c r="J87" s="29"/>
      <c r="K87" t="s" s="31">
        <v>1365</v>
      </c>
      <c r="L87" t="s" s="31">
        <v>1366</v>
      </c>
      <c r="M87" s="29"/>
      <c r="N87" s="29"/>
      <c r="O87" s="29"/>
    </row>
    <row r="88" ht="74.7" customHeight="1">
      <c r="A88" t="s" s="10">
        <v>1367</v>
      </c>
      <c r="B88" t="s" s="25">
        <v>946</v>
      </c>
      <c r="C88" s="29"/>
      <c r="D88" s="30">
        <v>35</v>
      </c>
      <c r="E88" s="30">
        <v>60</v>
      </c>
      <c r="F88" t="s" s="31">
        <v>15</v>
      </c>
      <c r="G88" s="29"/>
      <c r="H88" t="s" s="31">
        <v>1368</v>
      </c>
      <c r="I88" t="s" s="31">
        <v>1369</v>
      </c>
      <c r="J88" t="s" s="31">
        <v>994</v>
      </c>
      <c r="K88" t="s" s="31">
        <v>1370</v>
      </c>
      <c r="L88" t="s" s="31">
        <v>1371</v>
      </c>
      <c r="M88" t="s" s="31">
        <v>35</v>
      </c>
      <c r="N88" t="s" s="31">
        <v>35</v>
      </c>
      <c r="O88" s="29"/>
    </row>
    <row r="89" ht="74.7" customHeight="1">
      <c r="A89" t="s" s="10">
        <v>1372</v>
      </c>
      <c r="B89" t="s" s="25">
        <v>946</v>
      </c>
      <c r="C89" s="29"/>
      <c r="D89" s="30">
        <v>55</v>
      </c>
      <c r="E89" s="32">
        <v>40</v>
      </c>
      <c r="F89" t="s" s="25">
        <v>3</v>
      </c>
      <c r="G89" s="29"/>
      <c r="H89" t="s" s="31">
        <v>1373</v>
      </c>
      <c r="I89" t="s" s="31">
        <v>1374</v>
      </c>
      <c r="J89" t="s" s="31">
        <v>994</v>
      </c>
      <c r="K89" t="s" s="31">
        <v>1375</v>
      </c>
      <c r="L89" t="s" s="31">
        <v>1376</v>
      </c>
      <c r="M89" s="29"/>
      <c r="N89" s="29"/>
      <c r="O89" s="29"/>
    </row>
    <row r="90" ht="74.7" customHeight="1">
      <c r="A90" t="s" s="10">
        <v>1377</v>
      </c>
      <c r="B90" t="s" s="25">
        <v>946</v>
      </c>
      <c r="C90" s="29"/>
      <c r="D90" s="30">
        <v>85</v>
      </c>
      <c r="E90" s="30">
        <v>85</v>
      </c>
      <c r="F90" t="s" s="31">
        <v>13</v>
      </c>
      <c r="G90" s="29"/>
      <c r="H90" t="s" s="31">
        <v>1378</v>
      </c>
      <c r="I90" t="s" s="31">
        <v>1379</v>
      </c>
      <c r="J90" t="s" s="31">
        <v>994</v>
      </c>
      <c r="K90" t="s" s="31">
        <v>1380</v>
      </c>
      <c r="L90" t="s" s="31">
        <v>1381</v>
      </c>
      <c r="M90" t="s" s="31">
        <v>35</v>
      </c>
      <c r="N90" t="s" s="31">
        <v>35</v>
      </c>
      <c r="O90" s="29"/>
    </row>
    <row r="91" ht="98.7" customHeight="1">
      <c r="A91" t="s" s="10">
        <v>1382</v>
      </c>
      <c r="B91" t="s" s="25">
        <v>946</v>
      </c>
      <c r="C91" s="29"/>
      <c r="D91" s="30">
        <v>0</v>
      </c>
      <c r="E91" s="30">
        <v>0</v>
      </c>
      <c r="F91" t="s" s="31">
        <v>11</v>
      </c>
      <c r="G91" s="29"/>
      <c r="H91" t="s" s="31">
        <v>1383</v>
      </c>
      <c r="I91" t="s" s="31">
        <v>1384</v>
      </c>
      <c r="J91" t="s" s="31">
        <v>959</v>
      </c>
      <c r="K91" t="s" s="31">
        <v>1385</v>
      </c>
      <c r="L91" t="s" s="31">
        <v>1386</v>
      </c>
      <c r="M91" t="s" s="31">
        <v>35</v>
      </c>
      <c r="N91" t="s" s="31">
        <v>35</v>
      </c>
      <c r="O91" s="29"/>
    </row>
    <row r="92" ht="74.7" customHeight="1">
      <c r="A92" t="s" s="10">
        <v>1387</v>
      </c>
      <c r="B92" t="s" s="25">
        <v>946</v>
      </c>
      <c r="C92" s="29"/>
      <c r="D92" s="30">
        <v>100</v>
      </c>
      <c r="E92" s="30">
        <v>55</v>
      </c>
      <c r="F92" t="s" s="31">
        <v>7</v>
      </c>
      <c r="G92" s="29"/>
      <c r="H92" t="s" s="31">
        <v>1388</v>
      </c>
      <c r="I92" t="s" s="31">
        <v>1389</v>
      </c>
      <c r="J92" s="29"/>
      <c r="K92" t="s" s="31">
        <v>1390</v>
      </c>
      <c r="L92" t="s" s="31">
        <v>1391</v>
      </c>
      <c r="M92" s="29"/>
      <c r="N92" s="29"/>
      <c r="O92" s="29"/>
    </row>
    <row r="93" ht="74.7" customHeight="1">
      <c r="A93" t="s" s="10">
        <v>1392</v>
      </c>
      <c r="B93" t="s" s="25">
        <v>946</v>
      </c>
      <c r="C93" s="29"/>
      <c r="D93" s="30">
        <v>140</v>
      </c>
      <c r="E93" s="30">
        <v>65</v>
      </c>
      <c r="F93" t="s" s="31">
        <v>7</v>
      </c>
      <c r="G93" s="29"/>
      <c r="H93" t="s" s="31">
        <v>1393</v>
      </c>
      <c r="I93" t="s" s="31">
        <v>1393</v>
      </c>
      <c r="J93" s="29"/>
      <c r="K93" t="s" s="31">
        <v>1394</v>
      </c>
      <c r="L93" t="s" s="31">
        <v>1395</v>
      </c>
      <c r="M93" s="29"/>
      <c r="N93" s="29"/>
      <c r="O93" s="29"/>
    </row>
    <row r="94" ht="74.7" customHeight="1">
      <c r="A94" t="s" s="10">
        <v>1396</v>
      </c>
      <c r="B94" t="s" s="25">
        <v>946</v>
      </c>
      <c r="C94" s="29"/>
      <c r="D94" s="30">
        <v>130</v>
      </c>
      <c r="E94" s="30">
        <v>70</v>
      </c>
      <c r="F94" t="s" s="31">
        <v>5</v>
      </c>
      <c r="G94" s="29"/>
      <c r="H94" t="s" s="31">
        <v>1397</v>
      </c>
      <c r="I94" t="s" s="31">
        <v>1398</v>
      </c>
      <c r="J94" s="29"/>
      <c r="K94" t="s" s="31">
        <v>1399</v>
      </c>
      <c r="L94" t="s" s="31">
        <v>1400</v>
      </c>
      <c r="M94" s="29"/>
      <c r="N94" s="29"/>
      <c r="O94" s="29"/>
    </row>
    <row r="95" ht="74.7" customHeight="1">
      <c r="A95" t="s" s="10">
        <v>1401</v>
      </c>
      <c r="B95" t="s" s="25">
        <v>946</v>
      </c>
      <c r="C95" s="29"/>
      <c r="D95" s="30">
        <v>100</v>
      </c>
      <c r="E95" s="30">
        <v>100</v>
      </c>
      <c r="F95" t="s" s="31">
        <v>5</v>
      </c>
      <c r="G95" s="29"/>
      <c r="H95" t="s" s="31">
        <v>1402</v>
      </c>
      <c r="I95" t="s" s="31">
        <v>1403</v>
      </c>
      <c r="J95" s="29"/>
      <c r="K95" t="s" s="31">
        <v>1404</v>
      </c>
      <c r="L95" t="s" s="31">
        <v>1405</v>
      </c>
      <c r="M95" s="29"/>
      <c r="N95" s="29"/>
      <c r="O95" s="29"/>
    </row>
    <row r="96" ht="74.7" customHeight="1">
      <c r="A96" t="s" s="10">
        <v>1406</v>
      </c>
      <c r="B96" t="s" s="25">
        <v>946</v>
      </c>
      <c r="C96" s="29"/>
      <c r="D96" s="30">
        <v>80</v>
      </c>
      <c r="E96" s="30">
        <v>80</v>
      </c>
      <c r="F96" t="s" s="31">
        <v>9</v>
      </c>
      <c r="G96" s="29"/>
      <c r="H96" t="s" s="31">
        <v>1407</v>
      </c>
      <c r="I96" t="s" s="31">
        <v>1408</v>
      </c>
      <c r="J96" s="29"/>
      <c r="K96" t="s" s="31">
        <v>1409</v>
      </c>
      <c r="L96" t="s" s="31">
        <v>1410</v>
      </c>
      <c r="M96" s="29"/>
      <c r="N96" s="29"/>
      <c r="O96" s="29"/>
    </row>
    <row r="97" ht="74.7" customHeight="1">
      <c r="A97" t="s" s="10">
        <v>1411</v>
      </c>
      <c r="B97" t="s" s="25">
        <v>946</v>
      </c>
      <c r="C97" s="29"/>
      <c r="D97" s="30">
        <v>90</v>
      </c>
      <c r="E97" s="30">
        <v>70</v>
      </c>
      <c r="F97" t="s" s="31">
        <v>15</v>
      </c>
      <c r="G97" s="29"/>
      <c r="H97" t="s" s="31">
        <v>1412</v>
      </c>
      <c r="I97" t="s" s="31">
        <v>1413</v>
      </c>
      <c r="J97" s="29"/>
      <c r="K97" t="s" s="31">
        <v>1414</v>
      </c>
      <c r="L97" t="s" s="31">
        <v>1415</v>
      </c>
      <c r="M97" s="29"/>
      <c r="N97" s="29"/>
      <c r="O97" s="29"/>
    </row>
    <row r="98" ht="74.7" customHeight="1">
      <c r="A98" t="s" s="33">
        <v>1416</v>
      </c>
      <c r="B98" t="s" s="25">
        <v>946</v>
      </c>
      <c r="C98" s="29"/>
      <c r="D98" s="30">
        <v>50</v>
      </c>
      <c r="E98" s="30">
        <v>60</v>
      </c>
      <c r="F98" t="s" s="31">
        <v>15</v>
      </c>
      <c r="G98" s="29"/>
      <c r="H98" t="s" s="31">
        <v>1245</v>
      </c>
      <c r="I98" t="s" s="31">
        <v>1417</v>
      </c>
      <c r="J98" s="29"/>
      <c r="K98" t="s" s="31">
        <v>1418</v>
      </c>
      <c r="L98" t="s" s="31">
        <v>1419</v>
      </c>
      <c r="M98" s="29"/>
      <c r="N98" s="29"/>
      <c r="O98" s="29"/>
    </row>
    <row r="99" ht="74.7" customHeight="1">
      <c r="A99" t="s" s="10">
        <v>1420</v>
      </c>
      <c r="B99" t="s" s="25">
        <v>946</v>
      </c>
      <c r="C99" s="29"/>
      <c r="D99" s="30">
        <v>100</v>
      </c>
      <c r="E99" s="30">
        <v>120</v>
      </c>
      <c r="F99" t="s" s="31">
        <v>15</v>
      </c>
      <c r="G99" s="29"/>
      <c r="H99" t="s" s="31">
        <v>1421</v>
      </c>
      <c r="I99" t="s" s="31">
        <v>1422</v>
      </c>
      <c r="J99" s="29"/>
      <c r="K99" t="s" s="31">
        <v>1423</v>
      </c>
      <c r="L99" t="s" s="31">
        <v>1424</v>
      </c>
      <c r="M99" s="29"/>
      <c r="N99" s="29"/>
      <c r="O99" s="29"/>
    </row>
    <row r="100" ht="74.7" customHeight="1">
      <c r="A100" t="s" s="10">
        <v>1425</v>
      </c>
      <c r="B100" t="s" s="25">
        <v>946</v>
      </c>
      <c r="C100" s="29"/>
      <c r="D100" s="30">
        <v>60</v>
      </c>
      <c r="E100" s="30">
        <v>180</v>
      </c>
      <c r="F100" t="s" s="31">
        <v>11</v>
      </c>
      <c r="G100" s="29"/>
      <c r="H100" t="s" s="31">
        <v>1426</v>
      </c>
      <c r="I100" t="s" s="31">
        <v>1427</v>
      </c>
      <c r="J100" s="29"/>
      <c r="K100" t="s" s="31">
        <v>1428</v>
      </c>
      <c r="L100" t="s" s="31">
        <v>1429</v>
      </c>
      <c r="M100" s="29"/>
      <c r="N100" s="29"/>
      <c r="O100" s="29"/>
    </row>
    <row r="101" ht="74.7" customHeight="1">
      <c r="A101" t="s" s="10">
        <v>1430</v>
      </c>
      <c r="B101" t="s" s="25">
        <v>946</v>
      </c>
      <c r="C101" s="29"/>
      <c r="D101" s="30">
        <v>40</v>
      </c>
      <c r="E101" s="30">
        <v>80</v>
      </c>
      <c r="F101" t="s" s="31">
        <v>15</v>
      </c>
      <c r="G101" s="29"/>
      <c r="H101" s="29"/>
      <c r="I101" t="s" s="31">
        <v>1431</v>
      </c>
      <c r="J101" s="29"/>
      <c r="K101" t="s" s="31">
        <v>1432</v>
      </c>
      <c r="L101" t="s" s="31">
        <v>1433</v>
      </c>
      <c r="M101" s="29"/>
      <c r="N101" s="29"/>
      <c r="O101" s="29"/>
    </row>
    <row r="102" ht="74.7" customHeight="1">
      <c r="A102" t="s" s="10">
        <v>1434</v>
      </c>
      <c r="B102" t="s" s="25">
        <v>946</v>
      </c>
      <c r="C102" s="29"/>
      <c r="D102" s="30">
        <v>80</v>
      </c>
      <c r="E102" s="30">
        <v>95</v>
      </c>
      <c r="F102" t="s" s="31">
        <v>15</v>
      </c>
      <c r="G102" s="29"/>
      <c r="H102" s="29"/>
      <c r="I102" t="s" s="31">
        <v>1435</v>
      </c>
      <c r="J102" s="29"/>
      <c r="K102" t="s" s="31">
        <v>1436</v>
      </c>
      <c r="L102" t="s" s="31">
        <v>1437</v>
      </c>
      <c r="M102" s="29"/>
      <c r="N102" s="29"/>
      <c r="O102" s="29"/>
    </row>
    <row r="103" ht="74.7" customHeight="1">
      <c r="A103" t="s" s="10">
        <v>1438</v>
      </c>
      <c r="B103" t="s" s="25">
        <v>946</v>
      </c>
      <c r="C103" s="29"/>
      <c r="D103" s="30">
        <v>125</v>
      </c>
      <c r="E103" s="30">
        <v>80</v>
      </c>
      <c r="F103" t="s" s="31">
        <v>15</v>
      </c>
      <c r="G103" s="29"/>
      <c r="H103" s="29"/>
      <c r="I103" t="s" s="31">
        <v>1439</v>
      </c>
      <c r="J103" s="29"/>
      <c r="K103" t="s" s="31">
        <v>1440</v>
      </c>
      <c r="L103" t="s" s="31">
        <v>1441</v>
      </c>
      <c r="M103" s="29"/>
      <c r="N103" s="29"/>
      <c r="O103" s="29"/>
    </row>
    <row r="104" ht="74.7" customHeight="1">
      <c r="A104" t="s" s="10">
        <v>1442</v>
      </c>
      <c r="B104" t="s" s="25">
        <v>946</v>
      </c>
      <c r="C104" s="29"/>
      <c r="D104" s="30">
        <v>25</v>
      </c>
      <c r="E104" s="30">
        <v>50</v>
      </c>
      <c r="F104" t="s" s="31">
        <v>7</v>
      </c>
      <c r="G104" s="29"/>
      <c r="H104" s="29"/>
      <c r="I104" t="s" s="31">
        <v>1443</v>
      </c>
      <c r="J104" s="29"/>
      <c r="K104" t="s" s="31">
        <v>1444</v>
      </c>
      <c r="L104" t="s" s="31">
        <v>1445</v>
      </c>
      <c r="M104" s="29"/>
      <c r="N104" s="29"/>
      <c r="O104" s="29"/>
    </row>
    <row r="105" ht="74.7" customHeight="1">
      <c r="A105" t="s" s="10">
        <v>1446</v>
      </c>
      <c r="B105" t="s" s="25">
        <v>946</v>
      </c>
      <c r="C105" s="29"/>
      <c r="D105" s="30">
        <v>90</v>
      </c>
      <c r="E105" s="30">
        <v>50</v>
      </c>
      <c r="F105" t="s" s="31">
        <v>15</v>
      </c>
      <c r="G105" s="29"/>
      <c r="H105" s="29"/>
      <c r="I105" t="s" s="31">
        <v>39</v>
      </c>
      <c r="J105" s="29"/>
      <c r="K105" t="s" s="31">
        <v>1447</v>
      </c>
      <c r="L105" t="s" s="31">
        <v>1448</v>
      </c>
      <c r="M105" s="29"/>
      <c r="N105" s="29"/>
      <c r="O105" s="29"/>
    </row>
    <row r="106" ht="74.7" customHeight="1">
      <c r="A106" t="s" s="10">
        <v>1449</v>
      </c>
      <c r="B106" t="s" s="25">
        <v>946</v>
      </c>
      <c r="C106" s="29"/>
      <c r="D106" s="30">
        <v>0</v>
      </c>
      <c r="E106" s="30">
        <v>0</v>
      </c>
      <c r="F106" t="s" s="31">
        <v>3</v>
      </c>
      <c r="G106" s="29"/>
      <c r="H106" s="29"/>
      <c r="I106" t="s" s="31">
        <v>1450</v>
      </c>
      <c r="J106" s="29"/>
      <c r="K106" t="s" s="31">
        <v>1451</v>
      </c>
      <c r="L106" t="s" s="31">
        <v>1452</v>
      </c>
      <c r="M106" s="29"/>
      <c r="N106" s="29"/>
      <c r="O106" s="29"/>
    </row>
    <row r="107" ht="74.7" customHeight="1">
      <c r="A107" t="s" s="10">
        <v>1453</v>
      </c>
      <c r="B107" t="s" s="25">
        <v>946</v>
      </c>
      <c r="C107" s="29"/>
      <c r="D107" s="30">
        <v>0</v>
      </c>
      <c r="E107" s="30">
        <v>70</v>
      </c>
      <c r="F107" t="s" s="31">
        <v>9</v>
      </c>
      <c r="G107" s="29"/>
      <c r="H107" s="29"/>
      <c r="I107" t="s" s="31">
        <v>1454</v>
      </c>
      <c r="J107" s="29"/>
      <c r="K107" t="s" s="31">
        <v>1455</v>
      </c>
      <c r="L107" t="s" s="31">
        <v>1456</v>
      </c>
      <c r="M107" s="29"/>
      <c r="N107" s="29"/>
      <c r="O107" s="29"/>
    </row>
    <row r="108" ht="74.7" customHeight="1">
      <c r="A108" t="s" s="10">
        <v>1457</v>
      </c>
      <c r="B108" t="s" s="25">
        <v>946</v>
      </c>
      <c r="C108" s="29"/>
      <c r="D108" s="30">
        <v>180</v>
      </c>
      <c r="E108" s="30">
        <v>80</v>
      </c>
      <c r="F108" t="s" s="31">
        <v>13</v>
      </c>
      <c r="G108" s="29"/>
      <c r="H108" s="29"/>
      <c r="I108" t="s" s="31">
        <v>1458</v>
      </c>
      <c r="J108" s="29"/>
      <c r="K108" t="s" s="31">
        <v>1459</v>
      </c>
      <c r="L108" t="s" s="31">
        <v>1460</v>
      </c>
      <c r="M108" s="29"/>
      <c r="N108" s="29"/>
      <c r="O108" s="29"/>
    </row>
    <row r="109" ht="62.7" customHeight="1">
      <c r="A109" t="s" s="10">
        <v>1461</v>
      </c>
      <c r="B109" t="s" s="25">
        <v>946</v>
      </c>
      <c r="C109" s="29"/>
      <c r="D109" s="30">
        <v>195</v>
      </c>
      <c r="E109" s="30">
        <v>100</v>
      </c>
      <c r="F109" t="s" s="31">
        <v>13</v>
      </c>
      <c r="G109" s="29"/>
      <c r="H109" s="29"/>
      <c r="I109" t="s" s="31">
        <v>39</v>
      </c>
      <c r="J109" s="29"/>
      <c r="K109" t="s" s="31">
        <v>1462</v>
      </c>
      <c r="L109" t="s" s="31">
        <v>1463</v>
      </c>
      <c r="M109" s="29"/>
      <c r="N109" s="29"/>
      <c r="O109" s="29"/>
    </row>
    <row r="110" ht="74.7" customHeight="1">
      <c r="A110" t="s" s="10">
        <v>1464</v>
      </c>
      <c r="B110" t="s" s="25">
        <v>946</v>
      </c>
      <c r="C110" s="29"/>
      <c r="D110" s="30">
        <v>140</v>
      </c>
      <c r="E110" s="30">
        <v>120</v>
      </c>
      <c r="F110" t="s" s="31">
        <v>13</v>
      </c>
      <c r="G110" s="29"/>
      <c r="H110" s="29"/>
      <c r="I110" t="s" s="31">
        <v>1465</v>
      </c>
      <c r="J110" s="29"/>
      <c r="K110" t="s" s="31">
        <v>1466</v>
      </c>
      <c r="L110" t="s" s="31">
        <v>1467</v>
      </c>
      <c r="M110" s="29"/>
      <c r="N110" s="29"/>
      <c r="O110" s="29"/>
    </row>
    <row r="111" ht="74.7" customHeight="1">
      <c r="A111" t="s" s="10">
        <v>1468</v>
      </c>
      <c r="B111" t="s" s="25">
        <v>946</v>
      </c>
      <c r="C111" s="29"/>
      <c r="D111" s="30">
        <v>30</v>
      </c>
      <c r="E111" s="30">
        <v>30</v>
      </c>
      <c r="F111" t="s" s="31">
        <v>11</v>
      </c>
      <c r="G111" s="29"/>
      <c r="H111" s="29"/>
      <c r="I111" t="s" s="31">
        <v>1469</v>
      </c>
      <c r="J111" s="29"/>
      <c r="K111" t="s" s="31">
        <v>1470</v>
      </c>
      <c r="L111" t="s" s="31">
        <v>1471</v>
      </c>
      <c r="M111" s="29"/>
      <c r="N111" s="29"/>
      <c r="O111" s="29"/>
    </row>
    <row r="112" ht="74.7" customHeight="1">
      <c r="A112" t="s" s="10">
        <v>1472</v>
      </c>
      <c r="B112" t="s" s="25">
        <v>946</v>
      </c>
      <c r="C112" s="29"/>
      <c r="D112" s="30">
        <v>75</v>
      </c>
      <c r="E112" s="30">
        <v>50</v>
      </c>
      <c r="F112" t="s" s="31">
        <v>11</v>
      </c>
      <c r="G112" s="29"/>
      <c r="H112" s="29"/>
      <c r="I112" t="s" s="31">
        <v>1473</v>
      </c>
      <c r="J112" s="29"/>
      <c r="K112" t="s" s="31">
        <v>1474</v>
      </c>
      <c r="L112" t="s" s="31">
        <v>1475</v>
      </c>
      <c r="M112" s="29"/>
      <c r="N112" s="29"/>
      <c r="O112" s="29"/>
    </row>
    <row r="113" ht="74.7" customHeight="1">
      <c r="A113" t="s" s="10">
        <v>1476</v>
      </c>
      <c r="B113" t="s" s="25">
        <v>946</v>
      </c>
      <c r="C113" s="29"/>
      <c r="D113" s="30">
        <v>55</v>
      </c>
      <c r="E113" s="30">
        <v>65</v>
      </c>
      <c r="F113" t="s" s="31">
        <v>11</v>
      </c>
      <c r="G113" s="29"/>
      <c r="H113" s="29"/>
      <c r="I113" t="s" s="31">
        <v>1477</v>
      </c>
      <c r="J113" s="29"/>
      <c r="K113" t="s" s="31">
        <v>1478</v>
      </c>
      <c r="L113" t="s" s="31">
        <v>1479</v>
      </c>
      <c r="M113" s="29"/>
      <c r="N113" s="29"/>
      <c r="O113" s="29"/>
    </row>
    <row r="114" ht="74.7" customHeight="1">
      <c r="A114" t="s" s="10">
        <v>1480</v>
      </c>
      <c r="B114" t="s" s="25">
        <v>946</v>
      </c>
      <c r="C114" s="29"/>
      <c r="D114" s="30">
        <v>100</v>
      </c>
      <c r="E114" s="30">
        <v>50</v>
      </c>
      <c r="F114" t="s" s="31">
        <v>11</v>
      </c>
      <c r="G114" s="29"/>
      <c r="H114" s="29"/>
      <c r="I114" t="s" s="31">
        <v>1481</v>
      </c>
      <c r="J114" t="s" s="31">
        <v>1053</v>
      </c>
      <c r="K114" t="s" s="31">
        <v>1482</v>
      </c>
      <c r="L114" t="s" s="31">
        <v>1483</v>
      </c>
      <c r="M114" s="29"/>
      <c r="N114" s="29"/>
      <c r="O114" s="29"/>
    </row>
    <row r="115" ht="74.7" customHeight="1">
      <c r="A115" t="s" s="10">
        <v>1484</v>
      </c>
      <c r="B115" t="s" s="25">
        <v>946</v>
      </c>
      <c r="C115" s="29"/>
      <c r="D115" s="30">
        <v>45</v>
      </c>
      <c r="E115" s="30">
        <v>45</v>
      </c>
      <c r="F115" t="s" s="31">
        <v>11</v>
      </c>
      <c r="G115" s="29"/>
      <c r="H115" s="29"/>
      <c r="I115" t="s" s="31">
        <v>1485</v>
      </c>
      <c r="J115" s="29"/>
      <c r="K115" t="s" s="31">
        <v>1486</v>
      </c>
      <c r="L115" t="s" s="31">
        <v>1487</v>
      </c>
      <c r="M115" s="29"/>
      <c r="N115" s="29"/>
      <c r="O115" s="29"/>
    </row>
    <row r="116" ht="62.7" customHeight="1">
      <c r="A116" t="s" s="10">
        <v>1488</v>
      </c>
      <c r="B116" t="s" s="25">
        <v>946</v>
      </c>
      <c r="C116" s="29"/>
      <c r="D116" s="30">
        <v>0</v>
      </c>
      <c r="E116" s="30">
        <v>0</v>
      </c>
      <c r="F116" t="s" s="31">
        <v>5</v>
      </c>
      <c r="G116" s="29"/>
      <c r="H116" s="29"/>
      <c r="I116" t="s" s="31">
        <v>1489</v>
      </c>
      <c r="J116" s="29"/>
      <c r="K116" t="s" s="31">
        <v>1490</v>
      </c>
      <c r="L116" t="s" s="31">
        <v>1491</v>
      </c>
      <c r="M116" s="29"/>
      <c r="N116" s="29"/>
      <c r="O116" s="29"/>
    </row>
    <row r="117" ht="74.7" customHeight="1">
      <c r="A117" t="s" s="10">
        <v>1492</v>
      </c>
      <c r="B117" t="s" s="25">
        <v>946</v>
      </c>
      <c r="C117" s="29"/>
      <c r="D117" s="30">
        <v>0</v>
      </c>
      <c r="E117" s="30">
        <v>0</v>
      </c>
      <c r="F117" t="s" s="31">
        <v>5</v>
      </c>
      <c r="G117" s="29"/>
      <c r="H117" s="29"/>
      <c r="I117" t="s" s="31">
        <v>1493</v>
      </c>
      <c r="J117" s="29"/>
      <c r="K117" t="s" s="31">
        <v>1494</v>
      </c>
      <c r="L117" t="s" s="31">
        <v>1495</v>
      </c>
      <c r="M117" s="29"/>
      <c r="N117" s="29"/>
      <c r="O117" s="29"/>
    </row>
    <row r="118" ht="74.7" customHeight="1">
      <c r="A118" t="s" s="10">
        <v>1496</v>
      </c>
      <c r="B118" t="s" s="25">
        <v>946</v>
      </c>
      <c r="C118" s="29"/>
      <c r="D118" s="30">
        <v>55</v>
      </c>
      <c r="E118" s="30">
        <v>25</v>
      </c>
      <c r="F118" t="s" s="31">
        <v>5</v>
      </c>
      <c r="G118" s="29"/>
      <c r="H118" s="29"/>
      <c r="I118" t="s" s="31">
        <v>39</v>
      </c>
      <c r="J118" s="29"/>
      <c r="K118" t="s" s="31">
        <v>1497</v>
      </c>
      <c r="L118" t="s" s="31">
        <v>1498</v>
      </c>
      <c r="M118" s="29"/>
      <c r="N118" s="29"/>
      <c r="O118" s="29"/>
    </row>
    <row r="119" ht="74.7" customHeight="1">
      <c r="A119" t="s" s="10">
        <v>1499</v>
      </c>
      <c r="B119" t="s" s="25">
        <v>946</v>
      </c>
      <c r="C119" s="29"/>
      <c r="D119" s="30">
        <v>110</v>
      </c>
      <c r="E119" s="30">
        <v>150</v>
      </c>
      <c r="F119" t="s" s="31">
        <v>5</v>
      </c>
      <c r="G119" s="29"/>
      <c r="H119" s="29"/>
      <c r="I119" t="s" s="31">
        <v>1500</v>
      </c>
      <c r="J119" s="29"/>
      <c r="K119" t="s" s="31">
        <v>1501</v>
      </c>
      <c r="L119" t="s" s="31">
        <v>1502</v>
      </c>
      <c r="M119" s="29"/>
      <c r="N119" s="29"/>
      <c r="O119" s="29"/>
    </row>
    <row r="120" ht="74.7" customHeight="1">
      <c r="A120" t="s" s="10">
        <v>1503</v>
      </c>
      <c r="B120" t="s" s="25">
        <v>946</v>
      </c>
      <c r="C120" s="29"/>
      <c r="D120" s="30">
        <v>25</v>
      </c>
      <c r="E120" s="30">
        <v>25</v>
      </c>
      <c r="F120" t="s" s="31">
        <v>5</v>
      </c>
      <c r="G120" s="29"/>
      <c r="H120" s="29"/>
      <c r="I120" t="s" s="31">
        <v>1504</v>
      </c>
      <c r="J120" s="29"/>
      <c r="K120" t="s" s="31">
        <v>1505</v>
      </c>
      <c r="L120" t="s" s="31">
        <v>1506</v>
      </c>
      <c r="M120" s="29"/>
      <c r="N120" s="29"/>
      <c r="O120" s="29"/>
    </row>
    <row r="121" ht="74.7" customHeight="1">
      <c r="A121" t="s" s="10">
        <v>1507</v>
      </c>
      <c r="B121" t="s" s="25">
        <v>946</v>
      </c>
      <c r="C121" s="29"/>
      <c r="D121" s="30">
        <v>50</v>
      </c>
      <c r="E121" s="30">
        <v>55</v>
      </c>
      <c r="F121" t="s" s="31">
        <v>15</v>
      </c>
      <c r="G121" s="29"/>
      <c r="H121" s="29"/>
      <c r="I121" t="s" s="31">
        <v>1508</v>
      </c>
      <c r="J121" s="29"/>
      <c r="K121" t="s" s="31">
        <v>1509</v>
      </c>
      <c r="L121" t="s" s="31">
        <v>1510</v>
      </c>
      <c r="M121" s="29"/>
      <c r="N121" s="29"/>
      <c r="O121" s="29"/>
    </row>
    <row r="122" ht="74.7" customHeight="1">
      <c r="A122" t="s" s="10">
        <v>1511</v>
      </c>
      <c r="B122" t="s" s="25">
        <v>946</v>
      </c>
      <c r="C122" s="29"/>
      <c r="D122" s="30">
        <v>200</v>
      </c>
      <c r="E122" s="30">
        <v>150</v>
      </c>
      <c r="F122" t="s" s="31">
        <v>15</v>
      </c>
      <c r="G122" s="29"/>
      <c r="H122" s="29"/>
      <c r="I122" t="s" s="31">
        <v>1512</v>
      </c>
      <c r="J122" s="29"/>
      <c r="K122" t="s" s="31">
        <v>1513</v>
      </c>
      <c r="L122" t="s" s="31">
        <v>1514</v>
      </c>
      <c r="M122" s="29"/>
      <c r="N122" s="29"/>
      <c r="O122" s="29"/>
    </row>
    <row r="123" ht="74.7" customHeight="1">
      <c r="A123" t="s" s="10">
        <v>1515</v>
      </c>
      <c r="B123" t="s" s="25">
        <v>946</v>
      </c>
      <c r="C123" s="29"/>
      <c r="D123" s="30">
        <v>10</v>
      </c>
      <c r="E123" s="30">
        <v>10</v>
      </c>
      <c r="F123" t="s" s="31">
        <v>15</v>
      </c>
      <c r="G123" s="29"/>
      <c r="H123" s="29"/>
      <c r="I123" t="s" s="31">
        <v>1516</v>
      </c>
      <c r="J123" s="29"/>
      <c r="K123" t="s" s="31">
        <v>1517</v>
      </c>
      <c r="L123" t="s" s="31">
        <v>1518</v>
      </c>
      <c r="M123" s="29"/>
      <c r="N123" s="29"/>
      <c r="O123" s="29"/>
    </row>
    <row r="124" ht="74.7" customHeight="1">
      <c r="A124" t="s" s="10">
        <v>1519</v>
      </c>
      <c r="B124" t="s" s="25">
        <v>946</v>
      </c>
      <c r="C124" s="29"/>
      <c r="D124" s="30">
        <v>40</v>
      </c>
      <c r="E124" s="30">
        <v>30</v>
      </c>
      <c r="F124" t="s" s="31">
        <v>15</v>
      </c>
      <c r="G124" s="29"/>
      <c r="H124" s="29"/>
      <c r="I124" t="s" s="31">
        <v>1520</v>
      </c>
      <c r="J124" s="29"/>
      <c r="K124" t="s" s="31">
        <v>1521</v>
      </c>
      <c r="L124" t="s" s="31">
        <v>1522</v>
      </c>
      <c r="M124" s="29"/>
      <c r="N124" s="29"/>
      <c r="O124" s="29"/>
    </row>
    <row r="125" ht="62.7" customHeight="1">
      <c r="A125" t="s" s="10">
        <v>1523</v>
      </c>
      <c r="B125" t="s" s="25">
        <v>946</v>
      </c>
      <c r="C125" s="29"/>
      <c r="D125" s="30">
        <v>145</v>
      </c>
      <c r="E125" s="30">
        <v>145</v>
      </c>
      <c r="F125" t="s" s="31">
        <v>3</v>
      </c>
      <c r="G125" s="29"/>
      <c r="H125" t="s" s="31">
        <v>1524</v>
      </c>
      <c r="I125" t="s" s="31">
        <v>1525</v>
      </c>
      <c r="J125" t="s" s="31">
        <v>994</v>
      </c>
      <c r="K125" t="s" s="31">
        <v>1526</v>
      </c>
      <c r="L125" t="s" s="31">
        <v>1527</v>
      </c>
      <c r="M125" s="29"/>
      <c r="N125" s="29"/>
      <c r="O125" s="29"/>
    </row>
    <row r="126" ht="62.7" customHeight="1">
      <c r="A126" t="s" s="10">
        <v>1528</v>
      </c>
      <c r="B126" t="s" s="25">
        <v>946</v>
      </c>
      <c r="C126" s="29"/>
      <c r="D126" s="30">
        <v>145</v>
      </c>
      <c r="E126" s="30">
        <v>145</v>
      </c>
      <c r="F126" t="s" s="31">
        <v>3</v>
      </c>
      <c r="G126" s="29"/>
      <c r="H126" t="s" s="31">
        <v>1529</v>
      </c>
      <c r="I126" t="s" s="31">
        <v>1530</v>
      </c>
      <c r="J126" t="s" s="31">
        <v>994</v>
      </c>
      <c r="K126" t="s" s="31">
        <v>1526</v>
      </c>
      <c r="L126" t="s" s="31">
        <v>1527</v>
      </c>
      <c r="M126" s="29"/>
      <c r="N126" s="29"/>
      <c r="O126" s="29"/>
    </row>
    <row r="127" ht="74.7" customHeight="1">
      <c r="A127" t="s" s="10">
        <v>1531</v>
      </c>
      <c r="B127" t="s" s="25">
        <v>946</v>
      </c>
      <c r="C127" s="29"/>
      <c r="D127" s="30">
        <v>0</v>
      </c>
      <c r="E127" s="30">
        <v>0</v>
      </c>
      <c r="F127" t="s" s="31">
        <v>11</v>
      </c>
      <c r="G127" s="29"/>
      <c r="H127" t="s" s="31">
        <v>1532</v>
      </c>
      <c r="I127" t="s" s="31">
        <v>1533</v>
      </c>
      <c r="J127" t="s" s="31">
        <v>1155</v>
      </c>
      <c r="K127" t="s" s="31">
        <v>1534</v>
      </c>
      <c r="L127" t="s" s="31">
        <v>1535</v>
      </c>
      <c r="M127" s="29"/>
      <c r="N127" s="29"/>
      <c r="O127" s="29"/>
    </row>
    <row r="128" ht="62.7" customHeight="1">
      <c r="A128" t="s" s="10">
        <v>1536</v>
      </c>
      <c r="B128" t="s" s="25">
        <v>946</v>
      </c>
      <c r="C128" s="29"/>
      <c r="D128" s="30">
        <v>100</v>
      </c>
      <c r="E128" s="30">
        <v>65</v>
      </c>
      <c r="F128" t="s" s="31">
        <v>11</v>
      </c>
      <c r="G128" s="29"/>
      <c r="H128" t="s" s="31">
        <v>1537</v>
      </c>
      <c r="I128" t="s" s="31">
        <v>1538</v>
      </c>
      <c r="J128" t="s" s="31">
        <v>1155</v>
      </c>
      <c r="K128" t="s" s="31">
        <v>1534</v>
      </c>
      <c r="L128" t="s" s="31">
        <v>1535</v>
      </c>
      <c r="M128" s="29"/>
      <c r="N128" s="29"/>
      <c r="O128" s="29"/>
    </row>
    <row r="129" ht="62.7" customHeight="1">
      <c r="A129" t="s" s="10">
        <v>1539</v>
      </c>
      <c r="B129" t="s" s="25">
        <v>946</v>
      </c>
      <c r="C129" s="29"/>
      <c r="D129" s="30">
        <v>0</v>
      </c>
      <c r="E129" s="30">
        <v>50</v>
      </c>
      <c r="F129" t="s" s="31">
        <v>5</v>
      </c>
      <c r="G129" s="29"/>
      <c r="H129" t="s" s="31">
        <v>1540</v>
      </c>
      <c r="I129" t="s" s="31">
        <v>1541</v>
      </c>
      <c r="J129" t="s" s="31">
        <v>1098</v>
      </c>
      <c r="K129" t="s" s="31">
        <v>1542</v>
      </c>
      <c r="L129" t="s" s="31">
        <v>1059</v>
      </c>
      <c r="M129" s="29"/>
      <c r="N129" s="29"/>
      <c r="O129" s="29"/>
    </row>
    <row r="130" ht="62.7" customHeight="1">
      <c r="A130" t="s" s="10">
        <v>1543</v>
      </c>
      <c r="B130" t="s" s="25">
        <v>946</v>
      </c>
      <c r="C130" s="29"/>
      <c r="D130" s="30">
        <v>75</v>
      </c>
      <c r="E130" s="30">
        <v>50</v>
      </c>
      <c r="F130" t="s" s="31">
        <v>5</v>
      </c>
      <c r="G130" s="29"/>
      <c r="H130" t="s" s="31">
        <v>39</v>
      </c>
      <c r="I130" t="s" s="31">
        <v>39</v>
      </c>
      <c r="J130" t="s" s="31">
        <v>1098</v>
      </c>
      <c r="K130" t="s" s="31">
        <v>1544</v>
      </c>
      <c r="L130" t="s" s="31">
        <v>1545</v>
      </c>
      <c r="M130" s="29"/>
      <c r="N130" s="29"/>
      <c r="O130" s="29"/>
    </row>
    <row r="131" ht="62.7" customHeight="1">
      <c r="A131" t="s" s="10">
        <v>1546</v>
      </c>
      <c r="B131" t="s" s="25">
        <v>946</v>
      </c>
      <c r="C131" s="29"/>
      <c r="D131" s="30">
        <v>120</v>
      </c>
      <c r="E131" s="30">
        <v>90</v>
      </c>
      <c r="F131" t="s" s="31">
        <v>15</v>
      </c>
      <c r="G131" s="29"/>
      <c r="H131" t="s" s="31">
        <v>1547</v>
      </c>
      <c r="I131" t="s" s="31">
        <v>1548</v>
      </c>
      <c r="J131" t="s" s="31">
        <v>1104</v>
      </c>
      <c r="K131" t="s" s="31">
        <v>1549</v>
      </c>
      <c r="L131" t="s" s="31">
        <v>1550</v>
      </c>
      <c r="M131" s="29"/>
      <c r="N131" s="29"/>
      <c r="O131" s="29"/>
    </row>
    <row r="132" ht="62.7" customHeight="1">
      <c r="A132" t="s" s="10">
        <v>1551</v>
      </c>
      <c r="B132" t="s" s="25">
        <v>946</v>
      </c>
      <c r="C132" s="29"/>
      <c r="D132" s="30">
        <v>100</v>
      </c>
      <c r="E132" s="30">
        <v>100</v>
      </c>
      <c r="F132" t="s" s="31">
        <v>11</v>
      </c>
      <c r="G132" s="29"/>
      <c r="H132" t="s" s="31">
        <v>39</v>
      </c>
      <c r="I132" t="s" s="31">
        <v>39</v>
      </c>
      <c r="J132" t="s" s="31">
        <v>1098</v>
      </c>
      <c r="K132" t="s" s="31">
        <v>1552</v>
      </c>
      <c r="L132" t="s" s="31">
        <v>1553</v>
      </c>
      <c r="M132" s="29"/>
      <c r="N132" s="29"/>
      <c r="O132" s="29"/>
    </row>
    <row r="133" ht="62.7" customHeight="1">
      <c r="A133" t="s" s="10">
        <v>1554</v>
      </c>
      <c r="B133" t="s" s="25">
        <v>946</v>
      </c>
      <c r="C133" s="29"/>
      <c r="D133" s="30">
        <v>80</v>
      </c>
      <c r="E133" s="30">
        <v>90</v>
      </c>
      <c r="F133" t="s" s="31">
        <v>9</v>
      </c>
      <c r="G133" s="29"/>
      <c r="H133" t="s" s="31">
        <v>1555</v>
      </c>
      <c r="I133" t="s" s="31">
        <v>1556</v>
      </c>
      <c r="J133" s="31"/>
      <c r="K133" t="s" s="31">
        <v>1557</v>
      </c>
      <c r="L133" t="s" s="31">
        <v>1558</v>
      </c>
      <c r="M133" s="29"/>
      <c r="N133" s="29"/>
      <c r="O133" s="29"/>
    </row>
    <row r="134" ht="86.7" customHeight="1">
      <c r="A134" t="s" s="10">
        <v>1559</v>
      </c>
      <c r="B134" t="s" s="25">
        <v>946</v>
      </c>
      <c r="C134" s="29"/>
      <c r="D134" s="30">
        <v>95</v>
      </c>
      <c r="E134" s="30">
        <v>70</v>
      </c>
      <c r="F134" t="s" s="31">
        <v>7</v>
      </c>
      <c r="G134" s="29"/>
      <c r="H134" t="s" s="31">
        <v>1560</v>
      </c>
      <c r="I134" t="s" s="31">
        <v>1561</v>
      </c>
      <c r="J134" s="29"/>
      <c r="K134" t="s" s="31">
        <v>1562</v>
      </c>
      <c r="L134" t="s" s="31">
        <v>1288</v>
      </c>
      <c r="M134" s="29"/>
      <c r="N134" s="29"/>
      <c r="O134" s="29"/>
    </row>
    <row r="135" ht="62.7" customHeight="1">
      <c r="A135" t="s" s="10">
        <v>1563</v>
      </c>
      <c r="B135" t="s" s="25">
        <v>946</v>
      </c>
      <c r="C135" s="29"/>
      <c r="D135" s="30">
        <v>240</v>
      </c>
      <c r="E135" s="30">
        <v>220</v>
      </c>
      <c r="F135" t="s" s="31">
        <v>9</v>
      </c>
      <c r="G135" s="29"/>
      <c r="H135" t="s" s="31">
        <v>1564</v>
      </c>
      <c r="I135" t="s" s="31">
        <v>1565</v>
      </c>
      <c r="J135" t="s" s="31">
        <v>959</v>
      </c>
      <c r="K135" t="s" s="31">
        <v>1566</v>
      </c>
      <c r="L135" t="s" s="31">
        <v>1567</v>
      </c>
      <c r="M135" s="29"/>
      <c r="N135" s="29"/>
      <c r="O135" s="29"/>
    </row>
    <row r="136" ht="86.7" customHeight="1">
      <c r="A136" t="s" s="10">
        <v>1568</v>
      </c>
      <c r="B136" t="s" s="25">
        <v>946</v>
      </c>
      <c r="C136" s="29"/>
      <c r="D136" s="30">
        <v>300</v>
      </c>
      <c r="E136" s="30">
        <v>300</v>
      </c>
      <c r="F136" t="s" s="31">
        <v>5</v>
      </c>
      <c r="G136" s="29"/>
      <c r="H136" s="31"/>
      <c r="I136" t="s" s="31">
        <v>1569</v>
      </c>
      <c r="J136" s="31"/>
      <c r="K136" t="s" s="31">
        <v>1570</v>
      </c>
      <c r="L136" t="s" s="31">
        <v>1571</v>
      </c>
      <c r="M136" s="29"/>
      <c r="N136" s="29"/>
      <c r="O136" s="29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544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75" style="34" customWidth="1"/>
    <col min="2" max="2" width="9.67188" style="34" customWidth="1"/>
    <col min="3" max="3" width="5.17188" style="34" customWidth="1"/>
    <col min="4" max="4" width="6.17188" style="34" customWidth="1"/>
    <col min="5" max="5" width="4.85156" style="34" customWidth="1"/>
    <col min="6" max="6" width="8.35156" style="34" customWidth="1"/>
    <col min="7" max="7" width="6.17188" style="34" customWidth="1"/>
    <col min="8" max="8" width="25.3516" style="34" customWidth="1"/>
    <col min="9" max="14" width="14.5" style="34" customWidth="1"/>
    <col min="15" max="16" width="16.3516" style="34" customWidth="1"/>
    <col min="17" max="16384" width="16.3516" style="34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"&amp;COUNTIF(N3:N544,"Yes")</f>
        <v>1572</v>
      </c>
      <c r="O2" t="s" s="5">
        <f>"Booster Pack - Unseen Presence / "&amp;COUNTIF(O3:O544,"Yes")</f>
        <v>1573</v>
      </c>
      <c r="P2" t="s" s="5">
        <f>"Booster Pack - Wind of Dominance / "&amp;COUNTIF(P3:P544,"Yes")</f>
        <v>1574</v>
      </c>
    </row>
    <row r="3" ht="44.25" customHeight="1">
      <c r="A3" t="s" s="7">
        <v>1575</v>
      </c>
      <c r="B3" t="s" s="8">
        <v>1576</v>
      </c>
      <c r="C3" s="16">
        <v>0</v>
      </c>
      <c r="D3" s="9"/>
      <c r="E3" s="9"/>
      <c r="F3" s="9"/>
      <c r="G3" s="16">
        <v>1</v>
      </c>
      <c r="H3" t="s" s="17">
        <v>1577</v>
      </c>
      <c r="I3" s="9"/>
      <c r="J3" t="s" s="17">
        <v>35</v>
      </c>
      <c r="K3" s="9"/>
      <c r="L3" t="s" s="17">
        <v>35</v>
      </c>
      <c r="M3" s="9"/>
      <c r="N3" s="17"/>
      <c r="O3" s="9"/>
      <c r="P3" s="9"/>
    </row>
    <row r="4" ht="44.05" customHeight="1">
      <c r="A4" t="s" s="10">
        <v>1578</v>
      </c>
      <c r="B4" t="s" s="11">
        <v>1576</v>
      </c>
      <c r="C4" s="18">
        <v>500</v>
      </c>
      <c r="D4" s="12"/>
      <c r="E4" s="12"/>
      <c r="F4" s="12"/>
      <c r="G4" s="18">
        <v>2</v>
      </c>
      <c r="H4" t="s" s="19">
        <v>1579</v>
      </c>
      <c r="I4" s="12"/>
      <c r="J4" t="s" s="19">
        <v>35</v>
      </c>
      <c r="K4" s="12"/>
      <c r="L4" t="s" s="19">
        <v>35</v>
      </c>
      <c r="M4" s="12"/>
      <c r="N4" t="s" s="19">
        <v>35</v>
      </c>
      <c r="O4" s="12"/>
      <c r="P4" s="12"/>
    </row>
    <row r="5" ht="32.05" customHeight="1">
      <c r="A5" t="s" s="10">
        <v>1580</v>
      </c>
      <c r="B5" t="s" s="11">
        <v>1576</v>
      </c>
      <c r="C5" s="18">
        <v>0</v>
      </c>
      <c r="D5" s="12"/>
      <c r="E5" s="12"/>
      <c r="F5" s="12"/>
      <c r="G5" s="18">
        <v>1</v>
      </c>
      <c r="H5" t="s" s="19">
        <v>1581</v>
      </c>
      <c r="I5" s="12"/>
      <c r="J5" t="s" s="19">
        <v>35</v>
      </c>
      <c r="K5" s="12"/>
      <c r="L5" t="s" s="19">
        <v>35</v>
      </c>
      <c r="M5" s="12"/>
      <c r="N5" t="s" s="19">
        <v>35</v>
      </c>
      <c r="O5" s="12"/>
      <c r="P5" s="12"/>
    </row>
    <row r="6" ht="44.05" customHeight="1">
      <c r="A6" t="s" s="10">
        <v>1582</v>
      </c>
      <c r="B6" t="s" s="11">
        <v>1576</v>
      </c>
      <c r="C6" s="18">
        <v>0</v>
      </c>
      <c r="D6" s="12"/>
      <c r="E6" s="12"/>
      <c r="F6" s="12"/>
      <c r="G6" s="18">
        <v>2</v>
      </c>
      <c r="H6" t="s" s="19">
        <v>1583</v>
      </c>
      <c r="I6" s="12"/>
      <c r="J6" t="s" s="19">
        <v>35</v>
      </c>
      <c r="K6" s="12"/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1584</v>
      </c>
      <c r="B7" t="s" s="11">
        <v>1576</v>
      </c>
      <c r="C7" s="18">
        <v>600</v>
      </c>
      <c r="D7" s="12"/>
      <c r="E7" s="12"/>
      <c r="F7" s="12"/>
      <c r="G7" s="18">
        <v>3</v>
      </c>
      <c r="H7" t="s" s="19">
        <v>1585</v>
      </c>
      <c r="I7" s="12"/>
      <c r="J7" t="s" s="19">
        <v>35</v>
      </c>
      <c r="K7" s="12"/>
      <c r="L7" t="s" s="19">
        <v>35</v>
      </c>
      <c r="M7" s="12"/>
      <c r="N7" s="12"/>
      <c r="O7" t="s" s="19">
        <v>35</v>
      </c>
      <c r="P7" s="12"/>
    </row>
    <row r="8" ht="56.05" customHeight="1">
      <c r="A8" t="s" s="10">
        <v>1586</v>
      </c>
      <c r="B8" t="s" s="11">
        <v>1576</v>
      </c>
      <c r="C8" s="18">
        <v>0</v>
      </c>
      <c r="D8" s="12"/>
      <c r="E8" s="12"/>
      <c r="F8" s="12"/>
      <c r="G8" s="18">
        <v>5</v>
      </c>
      <c r="H8" t="s" s="19">
        <v>1587</v>
      </c>
      <c r="I8" s="12"/>
      <c r="J8" t="s" s="19">
        <v>35</v>
      </c>
      <c r="K8" s="12"/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1588</v>
      </c>
      <c r="B9" t="s" s="11">
        <v>1576</v>
      </c>
      <c r="C9" s="18">
        <v>500</v>
      </c>
      <c r="D9" s="12"/>
      <c r="E9" s="12"/>
      <c r="F9" s="12"/>
      <c r="G9" s="18">
        <v>4</v>
      </c>
      <c r="H9" t="s" s="19">
        <v>1589</v>
      </c>
      <c r="I9" s="12"/>
      <c r="J9" t="s" s="19">
        <v>35</v>
      </c>
      <c r="K9" s="12"/>
      <c r="L9" t="s" s="19">
        <v>35</v>
      </c>
      <c r="M9" s="12"/>
      <c r="N9" t="s" s="19">
        <v>35</v>
      </c>
      <c r="O9" s="12"/>
      <c r="P9" s="12"/>
    </row>
    <row r="10" ht="32.05" customHeight="1">
      <c r="A10" t="s" s="10">
        <v>1590</v>
      </c>
      <c r="B10" t="s" s="11">
        <v>1576</v>
      </c>
      <c r="C10" s="18">
        <v>200</v>
      </c>
      <c r="D10" s="12"/>
      <c r="E10" s="12"/>
      <c r="F10" s="12"/>
      <c r="G10" s="18">
        <v>2</v>
      </c>
      <c r="H10" t="s" s="19">
        <v>1591</v>
      </c>
      <c r="I10" s="12"/>
      <c r="J10" t="s" s="19">
        <v>35</v>
      </c>
      <c r="K10" s="12"/>
      <c r="L10" t="s" s="19">
        <v>35</v>
      </c>
      <c r="M10" s="12"/>
      <c r="N10" s="12"/>
      <c r="O10" t="s" s="19">
        <v>35</v>
      </c>
      <c r="P10" s="12"/>
    </row>
    <row r="11" ht="32.05" customHeight="1">
      <c r="A11" t="s" s="10">
        <v>1592</v>
      </c>
      <c r="B11" t="s" s="11">
        <v>1576</v>
      </c>
      <c r="C11" s="18">
        <v>400</v>
      </c>
      <c r="D11" s="12"/>
      <c r="E11" s="12"/>
      <c r="F11" s="12"/>
      <c r="G11" s="18">
        <v>3</v>
      </c>
      <c r="H11" t="s" s="19">
        <v>1593</v>
      </c>
      <c r="I11" s="12"/>
      <c r="J11" t="s" s="19">
        <v>35</v>
      </c>
      <c r="K11" s="12"/>
      <c r="L11" t="s" s="19">
        <v>35</v>
      </c>
      <c r="M11" s="12"/>
      <c r="N11" s="12"/>
      <c r="O11" t="s" s="19">
        <v>35</v>
      </c>
      <c r="P11" s="12"/>
    </row>
    <row r="12" ht="44.05" customHeight="1">
      <c r="A12" t="s" s="10">
        <v>1594</v>
      </c>
      <c r="B12" t="s" s="11">
        <v>1576</v>
      </c>
      <c r="C12" s="18">
        <v>200</v>
      </c>
      <c r="D12" s="12"/>
      <c r="E12" s="12"/>
      <c r="F12" s="12"/>
      <c r="G12" s="18">
        <v>2</v>
      </c>
      <c r="H12" t="s" s="19">
        <v>1595</v>
      </c>
      <c r="I12" s="12"/>
      <c r="J12" t="s" s="19">
        <v>35</v>
      </c>
      <c r="K12" s="12"/>
      <c r="L12" t="s" s="19">
        <v>35</v>
      </c>
      <c r="M12" s="12"/>
      <c r="N12" s="12"/>
      <c r="O12" s="12"/>
      <c r="P12" s="12"/>
    </row>
    <row r="13" ht="44.05" customHeight="1">
      <c r="A13" t="s" s="10">
        <v>1596</v>
      </c>
      <c r="B13" t="s" s="11">
        <v>1576</v>
      </c>
      <c r="C13" s="18">
        <v>400</v>
      </c>
      <c r="D13" s="12"/>
      <c r="E13" s="12"/>
      <c r="F13" s="12"/>
      <c r="G13" s="18">
        <v>3</v>
      </c>
      <c r="H13" t="s" s="19">
        <v>1597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20.05" customHeight="1">
      <c r="A14" t="s" s="10">
        <v>1598</v>
      </c>
      <c r="B14" t="s" s="11">
        <v>1576</v>
      </c>
      <c r="C14" s="18">
        <v>800</v>
      </c>
      <c r="D14" s="12"/>
      <c r="E14" s="12"/>
      <c r="F14" s="12"/>
      <c r="G14" s="18">
        <v>5</v>
      </c>
      <c r="H14" t="s" s="19">
        <v>1599</v>
      </c>
      <c r="I14" s="12"/>
      <c r="J14" t="s" s="19">
        <v>35</v>
      </c>
      <c r="K14" s="12"/>
      <c r="L14" t="s" s="19">
        <v>35</v>
      </c>
      <c r="M14" s="12"/>
      <c r="N14" s="12"/>
      <c r="O14" s="12"/>
      <c r="P14" t="s" s="19">
        <v>35</v>
      </c>
    </row>
    <row r="15" ht="44.05" customHeight="1">
      <c r="A15" t="s" s="10">
        <v>1600</v>
      </c>
      <c r="B15" t="s" s="11">
        <v>1576</v>
      </c>
      <c r="C15" s="18">
        <v>500</v>
      </c>
      <c r="D15" s="12"/>
      <c r="E15" s="12"/>
      <c r="F15" s="12"/>
      <c r="G15" s="18">
        <v>4</v>
      </c>
      <c r="H15" t="s" s="19">
        <v>1601</v>
      </c>
      <c r="I15" s="12"/>
      <c r="J15" t="s" s="19">
        <v>35</v>
      </c>
      <c r="K15" s="12"/>
      <c r="L15" t="s" s="19">
        <v>35</v>
      </c>
      <c r="M15" s="12"/>
      <c r="N15" s="12"/>
      <c r="O15" s="12"/>
      <c r="P15" t="s" s="19">
        <v>35</v>
      </c>
    </row>
    <row r="16" ht="32.05" customHeight="1">
      <c r="A16" t="s" s="10">
        <v>1602</v>
      </c>
      <c r="B16" t="s" s="11">
        <v>1576</v>
      </c>
      <c r="C16" s="18">
        <v>800</v>
      </c>
      <c r="D16" s="12"/>
      <c r="E16" s="12"/>
      <c r="F16" s="12"/>
      <c r="G16" s="18">
        <v>5</v>
      </c>
      <c r="H16" t="s" s="19">
        <v>1603</v>
      </c>
      <c r="I16" s="12"/>
      <c r="J16" t="s" s="19">
        <v>35</v>
      </c>
      <c r="K16" s="12"/>
      <c r="L16" t="s" s="19">
        <v>35</v>
      </c>
      <c r="M16" s="12"/>
      <c r="N16" s="12"/>
      <c r="O16" t="s" s="19">
        <v>35</v>
      </c>
      <c r="P16" s="12"/>
    </row>
    <row r="17" ht="44.05" customHeight="1">
      <c r="A17" t="s" s="10">
        <v>1604</v>
      </c>
      <c r="B17" t="s" s="11">
        <v>1576</v>
      </c>
      <c r="C17" s="18">
        <v>800</v>
      </c>
      <c r="D17" s="12"/>
      <c r="E17" s="12"/>
      <c r="F17" s="12"/>
      <c r="G17" s="18">
        <v>4</v>
      </c>
      <c r="H17" t="s" s="19">
        <v>1605</v>
      </c>
      <c r="I17" s="12"/>
      <c r="J17" t="s" s="19">
        <v>35</v>
      </c>
      <c r="K17" s="12"/>
      <c r="L17" t="s" s="19">
        <v>35</v>
      </c>
      <c r="M17" s="12"/>
      <c r="N17" s="12"/>
      <c r="O17" s="12"/>
      <c r="P17" t="s" s="19">
        <v>35</v>
      </c>
    </row>
    <row r="18" ht="44.05" customHeight="1">
      <c r="A18" t="s" s="10">
        <v>1606</v>
      </c>
      <c r="B18" t="s" s="11">
        <v>1576</v>
      </c>
      <c r="C18" s="18">
        <v>0</v>
      </c>
      <c r="D18" s="12"/>
      <c r="E18" s="12"/>
      <c r="F18" s="12"/>
      <c r="G18" s="18">
        <v>3</v>
      </c>
      <c r="H18" t="s" s="19">
        <v>1607</v>
      </c>
      <c r="I18" s="12"/>
      <c r="J18" t="s" s="19">
        <v>35</v>
      </c>
      <c r="K18" s="12"/>
      <c r="L18" t="s" s="19">
        <v>35</v>
      </c>
      <c r="M18" s="12"/>
      <c r="N18" t="s" s="19">
        <v>35</v>
      </c>
      <c r="O18" s="12"/>
      <c r="P18" s="12"/>
    </row>
    <row r="19" ht="44.05" customHeight="1">
      <c r="A19" t="s" s="10">
        <v>1608</v>
      </c>
      <c r="B19" t="s" s="11">
        <v>1576</v>
      </c>
      <c r="C19" s="18">
        <v>200</v>
      </c>
      <c r="D19" s="12"/>
      <c r="E19" s="12"/>
      <c r="F19" s="12"/>
      <c r="G19" s="18">
        <v>4</v>
      </c>
      <c r="H19" t="s" s="19">
        <v>1609</v>
      </c>
      <c r="I19" s="12"/>
      <c r="J19" t="s" s="19">
        <v>35</v>
      </c>
      <c r="K19" s="12"/>
      <c r="L19" t="s" s="19">
        <v>35</v>
      </c>
      <c r="M19" s="12"/>
      <c r="N19" s="12"/>
      <c r="O19" s="12"/>
      <c r="P19" s="12"/>
    </row>
    <row r="20" ht="56.05" customHeight="1">
      <c r="A20" t="s" s="10">
        <v>1610</v>
      </c>
      <c r="B20" t="s" s="11">
        <v>1576</v>
      </c>
      <c r="C20" s="18">
        <v>600</v>
      </c>
      <c r="D20" s="12"/>
      <c r="E20" s="12"/>
      <c r="F20" s="12"/>
      <c r="G20" s="18">
        <v>4</v>
      </c>
      <c r="H20" t="s" s="19">
        <v>1611</v>
      </c>
      <c r="I20" s="12"/>
      <c r="J20" t="s" s="19">
        <v>35</v>
      </c>
      <c r="K20" s="12"/>
      <c r="L20" t="s" s="19">
        <v>35</v>
      </c>
      <c r="M20" s="12"/>
      <c r="N20" s="12"/>
      <c r="O20" s="12"/>
      <c r="P20" s="12"/>
    </row>
    <row r="21" ht="44.05" customHeight="1">
      <c r="A21" t="s" s="10">
        <v>1612</v>
      </c>
      <c r="B21" t="s" s="11">
        <v>1576</v>
      </c>
      <c r="C21" s="18">
        <v>0</v>
      </c>
      <c r="D21" s="12"/>
      <c r="E21" s="12"/>
      <c r="F21" s="12"/>
      <c r="G21" s="18">
        <v>1</v>
      </c>
      <c r="H21" t="s" s="19">
        <v>1613</v>
      </c>
      <c r="I21" s="12"/>
      <c r="J21" t="s" s="19">
        <v>35</v>
      </c>
      <c r="K21" s="12"/>
      <c r="L21" t="s" s="19">
        <v>35</v>
      </c>
      <c r="M21" s="12"/>
      <c r="N21" t="s" s="19">
        <v>35</v>
      </c>
      <c r="O21" s="12"/>
      <c r="P21" s="12"/>
    </row>
    <row r="22" ht="44.05" customHeight="1">
      <c r="A22" t="s" s="10">
        <v>1614</v>
      </c>
      <c r="B22" t="s" s="11">
        <v>1576</v>
      </c>
      <c r="C22" s="18">
        <v>50</v>
      </c>
      <c r="D22" s="12"/>
      <c r="E22" s="12"/>
      <c r="F22" s="12"/>
      <c r="G22" s="18">
        <v>2</v>
      </c>
      <c r="H22" t="s" s="19">
        <v>1615</v>
      </c>
      <c r="I22" s="12"/>
      <c r="J22" t="s" s="19">
        <v>35</v>
      </c>
      <c r="K22" s="12"/>
      <c r="L22" t="s" s="19">
        <v>35</v>
      </c>
      <c r="M22" s="12"/>
      <c r="N22" s="12"/>
      <c r="O22" s="12"/>
      <c r="P22" s="12"/>
    </row>
    <row r="23" ht="32.05" customHeight="1">
      <c r="A23" t="s" s="10">
        <v>1616</v>
      </c>
      <c r="B23" t="s" s="11">
        <v>1576</v>
      </c>
      <c r="C23" s="18">
        <v>100</v>
      </c>
      <c r="D23" s="12"/>
      <c r="E23" s="12"/>
      <c r="F23" s="12"/>
      <c r="G23" s="18">
        <v>3</v>
      </c>
      <c r="H23" t="s" s="19">
        <v>1617</v>
      </c>
      <c r="I23" s="12"/>
      <c r="J23" t="s" s="19">
        <v>35</v>
      </c>
      <c r="K23" s="12"/>
      <c r="L23" s="12"/>
      <c r="M23" s="12"/>
      <c r="N23" s="12"/>
      <c r="O23" s="12"/>
      <c r="P23" s="12"/>
    </row>
    <row r="24" ht="44.05" customHeight="1">
      <c r="A24" t="s" s="10">
        <v>1618</v>
      </c>
      <c r="B24" t="s" s="11">
        <v>1576</v>
      </c>
      <c r="C24" s="18">
        <v>800</v>
      </c>
      <c r="D24" s="12"/>
      <c r="E24" s="12"/>
      <c r="F24" s="12"/>
      <c r="G24" s="18">
        <v>5</v>
      </c>
      <c r="H24" t="s" s="19">
        <v>1619</v>
      </c>
      <c r="I24" s="12"/>
      <c r="J24" t="s" s="19">
        <v>35</v>
      </c>
      <c r="K24" s="12"/>
      <c r="L24" t="s" s="19">
        <v>35</v>
      </c>
      <c r="M24" s="12"/>
      <c r="N24" s="12"/>
      <c r="O24" s="12"/>
      <c r="P24" s="12"/>
    </row>
    <row r="25" ht="44.05" customHeight="1">
      <c r="A25" t="s" s="10">
        <v>1620</v>
      </c>
      <c r="B25" t="s" s="11">
        <v>1576</v>
      </c>
      <c r="C25" s="18">
        <v>600</v>
      </c>
      <c r="D25" s="12"/>
      <c r="E25" s="12"/>
      <c r="F25" s="12"/>
      <c r="G25" s="18">
        <v>2</v>
      </c>
      <c r="H25" t="s" s="19">
        <v>1621</v>
      </c>
      <c r="I25" s="12"/>
      <c r="J25" t="s" s="19">
        <v>35</v>
      </c>
      <c r="K25" s="12"/>
      <c r="L25" t="s" s="19">
        <v>35</v>
      </c>
      <c r="M25" s="12"/>
      <c r="N25" s="12"/>
      <c r="O25" s="12"/>
      <c r="P25" s="12"/>
    </row>
    <row r="26" ht="56.05" customHeight="1">
      <c r="A26" t="s" s="10">
        <v>1622</v>
      </c>
      <c r="B26" t="s" s="11">
        <v>1576</v>
      </c>
      <c r="C26" s="18">
        <v>400</v>
      </c>
      <c r="D26" s="12"/>
      <c r="E26" s="12"/>
      <c r="F26" s="12"/>
      <c r="G26" s="18">
        <v>1</v>
      </c>
      <c r="H26" t="s" s="19">
        <v>1623</v>
      </c>
      <c r="I26" s="12"/>
      <c r="J26" t="s" s="19">
        <v>35</v>
      </c>
      <c r="K26" s="12"/>
      <c r="L26" s="12"/>
      <c r="M26" s="12"/>
      <c r="N26" s="12"/>
      <c r="O26" s="12"/>
      <c r="P26" s="12"/>
    </row>
    <row r="27" ht="56.05" customHeight="1">
      <c r="A27" t="s" s="10">
        <v>1624</v>
      </c>
      <c r="B27" t="s" s="11">
        <v>1576</v>
      </c>
      <c r="C27" s="18">
        <v>400</v>
      </c>
      <c r="D27" s="12"/>
      <c r="E27" s="12"/>
      <c r="F27" s="12"/>
      <c r="G27" s="18">
        <v>1</v>
      </c>
      <c r="H27" t="s" s="19">
        <v>1625</v>
      </c>
      <c r="I27" s="12"/>
      <c r="J27" t="s" s="19">
        <v>35</v>
      </c>
      <c r="K27" s="12"/>
      <c r="L27" s="12"/>
      <c r="M27" s="12"/>
      <c r="N27" s="12"/>
      <c r="O27" s="12"/>
      <c r="P27" s="12"/>
    </row>
    <row r="28" ht="56.05" customHeight="1">
      <c r="A28" t="s" s="10">
        <v>1626</v>
      </c>
      <c r="B28" t="s" s="11">
        <v>1576</v>
      </c>
      <c r="C28" s="18">
        <v>400</v>
      </c>
      <c r="D28" s="12"/>
      <c r="E28" s="12"/>
      <c r="F28" s="12"/>
      <c r="G28" s="18">
        <v>1</v>
      </c>
      <c r="H28" t="s" s="19">
        <v>1627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56.05" customHeight="1">
      <c r="A29" t="s" s="10">
        <v>1628</v>
      </c>
      <c r="B29" t="s" s="11">
        <v>1576</v>
      </c>
      <c r="C29" s="18">
        <v>400</v>
      </c>
      <c r="D29" s="12"/>
      <c r="E29" s="12"/>
      <c r="F29" s="12"/>
      <c r="G29" s="18">
        <v>1</v>
      </c>
      <c r="H29" t="s" s="19">
        <v>1629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56.05" customHeight="1">
      <c r="A30" t="s" s="10">
        <v>1630</v>
      </c>
      <c r="B30" t="s" s="11">
        <v>1576</v>
      </c>
      <c r="C30" s="18">
        <v>400</v>
      </c>
      <c r="D30" s="12"/>
      <c r="E30" s="12"/>
      <c r="F30" s="12"/>
      <c r="G30" s="18">
        <v>1</v>
      </c>
      <c r="H30" t="s" s="19">
        <v>1631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1632</v>
      </c>
      <c r="B31" t="s" s="11">
        <v>1576</v>
      </c>
      <c r="C31" s="18">
        <v>400</v>
      </c>
      <c r="D31" s="12"/>
      <c r="E31" s="12"/>
      <c r="F31" s="12"/>
      <c r="G31" s="18">
        <v>1</v>
      </c>
      <c r="H31" t="s" s="19">
        <v>1633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1634</v>
      </c>
      <c r="B32" t="s" s="11">
        <v>1576</v>
      </c>
      <c r="C32" s="18">
        <v>400</v>
      </c>
      <c r="D32" s="12"/>
      <c r="E32" s="12"/>
      <c r="F32" s="12"/>
      <c r="G32" s="18">
        <v>1</v>
      </c>
      <c r="H32" t="s" s="19">
        <v>1635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1636</v>
      </c>
      <c r="B33" t="s" s="11">
        <v>1576</v>
      </c>
      <c r="C33" s="18">
        <v>350</v>
      </c>
      <c r="D33" s="12"/>
      <c r="E33" s="12"/>
      <c r="F33" s="12"/>
      <c r="G33" s="18">
        <v>2</v>
      </c>
      <c r="H33" t="s" s="19">
        <v>1637</v>
      </c>
      <c r="I33" s="12"/>
      <c r="J33" t="s" s="19">
        <v>35</v>
      </c>
      <c r="K33" s="12"/>
      <c r="L33" s="12"/>
      <c r="M33" s="12"/>
      <c r="N33" s="12"/>
      <c r="O33" s="12"/>
      <c r="P33" s="12"/>
    </row>
    <row r="34" ht="44.05" customHeight="1">
      <c r="A34" t="s" s="10">
        <v>1638</v>
      </c>
      <c r="B34" t="s" s="11">
        <v>1576</v>
      </c>
      <c r="C34" s="18">
        <v>250</v>
      </c>
      <c r="D34" s="12"/>
      <c r="E34" s="12"/>
      <c r="F34" s="12"/>
      <c r="G34" s="18">
        <v>3</v>
      </c>
      <c r="H34" t="s" s="19">
        <v>1639</v>
      </c>
      <c r="I34" s="12"/>
      <c r="J34" t="s" s="19">
        <v>35</v>
      </c>
      <c r="K34" s="12"/>
      <c r="L34" s="12"/>
      <c r="M34" s="12"/>
      <c r="N34" s="12"/>
      <c r="O34" s="12"/>
      <c r="P34" s="12"/>
    </row>
    <row r="35" ht="32.05" customHeight="1">
      <c r="A35" t="s" s="10">
        <v>1640</v>
      </c>
      <c r="B35" t="s" s="11">
        <v>1576</v>
      </c>
      <c r="C35" s="18">
        <v>250</v>
      </c>
      <c r="D35" s="12"/>
      <c r="E35" s="12"/>
      <c r="F35" s="12"/>
      <c r="G35" s="18">
        <v>3</v>
      </c>
      <c r="H35" t="s" s="19">
        <v>1641</v>
      </c>
      <c r="I35" s="12"/>
      <c r="J35" t="s" s="19">
        <v>35</v>
      </c>
      <c r="K35" s="12"/>
      <c r="L35" s="12"/>
      <c r="M35" s="12"/>
      <c r="N35" s="12"/>
      <c r="O35" s="12"/>
      <c r="P35" s="12"/>
    </row>
    <row r="36" ht="32.05" customHeight="1">
      <c r="A36" t="s" s="10">
        <v>1642</v>
      </c>
      <c r="B36" t="s" s="11">
        <v>1576</v>
      </c>
      <c r="C36" s="18">
        <v>250</v>
      </c>
      <c r="D36" s="12"/>
      <c r="E36" s="12"/>
      <c r="F36" s="12"/>
      <c r="G36" s="18">
        <v>3</v>
      </c>
      <c r="H36" t="s" s="19">
        <v>1643</v>
      </c>
      <c r="I36" s="12"/>
      <c r="J36" t="s" s="19">
        <v>35</v>
      </c>
      <c r="K36" s="12"/>
      <c r="L36" s="12"/>
      <c r="M36" s="12"/>
      <c r="N36" s="12"/>
      <c r="O36" s="12"/>
      <c r="P36" s="12"/>
    </row>
    <row r="37" ht="32.05" customHeight="1">
      <c r="A37" t="s" s="10">
        <v>1644</v>
      </c>
      <c r="B37" t="s" s="11">
        <v>1576</v>
      </c>
      <c r="C37" s="18">
        <v>250</v>
      </c>
      <c r="D37" s="12"/>
      <c r="E37" s="12"/>
      <c r="F37" s="12"/>
      <c r="G37" s="18">
        <v>3</v>
      </c>
      <c r="H37" t="s" s="19">
        <v>1645</v>
      </c>
      <c r="I37" s="12"/>
      <c r="J37" t="s" s="19">
        <v>35</v>
      </c>
      <c r="K37" s="12"/>
      <c r="L37" s="12"/>
      <c r="M37" s="12"/>
      <c r="N37" s="12"/>
      <c r="O37" s="12"/>
      <c r="P37" s="12"/>
    </row>
    <row r="38" ht="44.05" customHeight="1">
      <c r="A38" t="s" s="10">
        <v>1646</v>
      </c>
      <c r="B38" t="s" s="11">
        <v>1576</v>
      </c>
      <c r="C38" s="18">
        <v>250</v>
      </c>
      <c r="D38" s="12"/>
      <c r="E38" s="12"/>
      <c r="F38" s="12"/>
      <c r="G38" s="18">
        <v>3</v>
      </c>
      <c r="H38" t="s" s="19">
        <v>1647</v>
      </c>
      <c r="I38" s="12"/>
      <c r="J38" t="s" s="19">
        <v>35</v>
      </c>
      <c r="K38" s="12"/>
      <c r="L38" s="12"/>
      <c r="M38" s="12"/>
      <c r="N38" s="12"/>
      <c r="O38" s="12"/>
      <c r="P38" s="12"/>
    </row>
    <row r="39" ht="44.05" customHeight="1">
      <c r="A39" t="s" s="10">
        <v>1648</v>
      </c>
      <c r="B39" t="s" s="11">
        <v>1576</v>
      </c>
      <c r="C39" s="18">
        <v>250</v>
      </c>
      <c r="D39" s="12"/>
      <c r="E39" s="12"/>
      <c r="F39" s="12"/>
      <c r="G39" s="18">
        <v>3</v>
      </c>
      <c r="H39" t="s" s="19">
        <v>1649</v>
      </c>
      <c r="I39" s="12"/>
      <c r="J39" t="s" s="19">
        <v>35</v>
      </c>
      <c r="K39" s="12"/>
      <c r="L39" s="12"/>
      <c r="M39" s="12"/>
      <c r="N39" s="12"/>
      <c r="O39" s="12"/>
      <c r="P39" s="12"/>
    </row>
    <row r="40" ht="32.05" customHeight="1">
      <c r="A40" t="s" s="10">
        <v>1650</v>
      </c>
      <c r="B40" t="s" s="11">
        <v>1576</v>
      </c>
      <c r="C40" s="18">
        <v>250</v>
      </c>
      <c r="D40" s="12"/>
      <c r="E40" s="12"/>
      <c r="F40" s="12"/>
      <c r="G40" s="18">
        <v>3</v>
      </c>
      <c r="H40" t="s" s="19">
        <v>1651</v>
      </c>
      <c r="I40" s="12"/>
      <c r="J40" t="s" s="19">
        <v>35</v>
      </c>
      <c r="K40" s="12"/>
      <c r="L40" s="12"/>
      <c r="M40" s="12"/>
      <c r="N40" s="12"/>
      <c r="O40" s="12"/>
      <c r="P40" s="12"/>
    </row>
    <row r="41" ht="44.05" customHeight="1">
      <c r="A41" t="s" s="10">
        <v>1652</v>
      </c>
      <c r="B41" t="s" s="11">
        <v>1576</v>
      </c>
      <c r="C41" s="18">
        <v>400</v>
      </c>
      <c r="D41" s="12"/>
      <c r="E41" s="12"/>
      <c r="F41" s="12"/>
      <c r="G41" s="18">
        <v>3</v>
      </c>
      <c r="H41" t="s" s="19">
        <v>1653</v>
      </c>
      <c r="I41" s="12"/>
      <c r="J41" t="s" s="19">
        <v>35</v>
      </c>
      <c r="K41" s="12"/>
      <c r="L41" t="s" s="19">
        <v>35</v>
      </c>
      <c r="M41" s="12"/>
      <c r="N41" s="12"/>
      <c r="O41" s="12"/>
      <c r="P41" s="12"/>
    </row>
    <row r="42" ht="56.05" customHeight="1">
      <c r="A42" t="s" s="10">
        <v>1654</v>
      </c>
      <c r="B42" t="s" s="11">
        <v>1576</v>
      </c>
      <c r="C42" s="18">
        <v>500</v>
      </c>
      <c r="D42" s="12"/>
      <c r="E42" s="12"/>
      <c r="F42" s="12"/>
      <c r="G42" s="18">
        <v>4</v>
      </c>
      <c r="H42" t="s" s="19">
        <v>1655</v>
      </c>
      <c r="I42" s="12"/>
      <c r="J42" t="s" s="19">
        <v>35</v>
      </c>
      <c r="K42" s="12"/>
      <c r="L42" t="s" s="19">
        <v>35</v>
      </c>
      <c r="M42" s="12"/>
      <c r="N42" s="12"/>
      <c r="O42" s="12"/>
      <c r="P42" s="12"/>
    </row>
    <row r="43" ht="44.05" customHeight="1">
      <c r="A43" t="s" s="10">
        <v>1656</v>
      </c>
      <c r="B43" t="s" s="11">
        <v>1576</v>
      </c>
      <c r="C43" s="18">
        <v>100</v>
      </c>
      <c r="D43" s="12"/>
      <c r="E43" s="12"/>
      <c r="F43" s="12"/>
      <c r="G43" s="18">
        <v>2</v>
      </c>
      <c r="H43" t="s" s="19">
        <v>1657</v>
      </c>
      <c r="I43" s="12"/>
      <c r="J43" t="s" s="19">
        <v>35</v>
      </c>
      <c r="K43" s="12"/>
      <c r="L43" t="s" s="19">
        <v>35</v>
      </c>
      <c r="M43" s="12"/>
      <c r="N43" s="12"/>
      <c r="O43" t="s" s="19">
        <v>35</v>
      </c>
      <c r="P43" s="12"/>
    </row>
    <row r="44" ht="44.05" customHeight="1">
      <c r="A44" t="s" s="10">
        <v>1658</v>
      </c>
      <c r="B44" t="s" s="11">
        <v>1576</v>
      </c>
      <c r="C44" s="18">
        <v>300</v>
      </c>
      <c r="D44" s="12"/>
      <c r="E44" s="12"/>
      <c r="F44" s="12"/>
      <c r="G44" s="18">
        <v>1</v>
      </c>
      <c r="H44" t="s" s="19">
        <v>1659</v>
      </c>
      <c r="I44" s="12"/>
      <c r="J44" t="s" s="19">
        <v>35</v>
      </c>
      <c r="K44" s="12"/>
      <c r="L44" t="s" s="19">
        <v>35</v>
      </c>
      <c r="M44" s="12"/>
      <c r="N44" s="12"/>
      <c r="O44" s="19"/>
      <c r="P44" s="12"/>
    </row>
    <row r="45" ht="44.05" customHeight="1">
      <c r="A45" t="s" s="10">
        <v>1660</v>
      </c>
      <c r="B45" t="s" s="11">
        <v>1576</v>
      </c>
      <c r="C45" s="18">
        <v>500</v>
      </c>
      <c r="D45" s="12"/>
      <c r="E45" s="12"/>
      <c r="F45" s="12"/>
      <c r="G45" s="18">
        <v>1</v>
      </c>
      <c r="H45" t="s" s="19">
        <v>1661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1662</v>
      </c>
      <c r="B46" t="s" s="11">
        <v>1576</v>
      </c>
      <c r="C46" s="18">
        <v>300</v>
      </c>
      <c r="D46" s="12"/>
      <c r="E46" s="12"/>
      <c r="F46" s="12"/>
      <c r="G46" s="18">
        <v>1</v>
      </c>
      <c r="H46" t="s" s="19">
        <v>1663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1664</v>
      </c>
      <c r="B47" t="s" s="11">
        <v>1576</v>
      </c>
      <c r="C47" s="18">
        <v>400</v>
      </c>
      <c r="D47" s="12"/>
      <c r="E47" s="12"/>
      <c r="F47" s="12"/>
      <c r="G47" s="18">
        <v>1</v>
      </c>
      <c r="H47" t="s" s="19">
        <v>1665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1666</v>
      </c>
      <c r="B48" t="s" s="11">
        <v>1576</v>
      </c>
      <c r="C48" s="18">
        <v>0</v>
      </c>
      <c r="D48" s="12"/>
      <c r="E48" s="12"/>
      <c r="F48" s="12"/>
      <c r="G48" s="18">
        <v>3</v>
      </c>
      <c r="H48" t="s" s="19">
        <v>1667</v>
      </c>
      <c r="I48" s="12"/>
      <c r="J48" s="12"/>
      <c r="K48" s="12"/>
      <c r="L48" s="12"/>
      <c r="M48" s="12"/>
      <c r="N48" s="12"/>
      <c r="O48" s="12"/>
      <c r="P48" s="12"/>
    </row>
    <row r="49" ht="44.05" customHeight="1">
      <c r="A49" t="s" s="10">
        <v>1668</v>
      </c>
      <c r="B49" t="s" s="11">
        <v>1576</v>
      </c>
      <c r="C49" s="18">
        <v>400</v>
      </c>
      <c r="D49" s="12"/>
      <c r="E49" s="12"/>
      <c r="F49" s="12"/>
      <c r="G49" s="18">
        <v>5</v>
      </c>
      <c r="H49" t="s" s="19">
        <v>1669</v>
      </c>
      <c r="I49" s="12"/>
      <c r="J49" s="12"/>
      <c r="K49" s="12"/>
      <c r="L49" s="12"/>
      <c r="M49" s="12"/>
      <c r="N49" s="12"/>
      <c r="O49" s="12"/>
      <c r="P49" s="12"/>
    </row>
    <row r="50" ht="56.05" customHeight="1">
      <c r="A50" t="s" s="10">
        <v>1670</v>
      </c>
      <c r="B50" t="s" s="11">
        <v>1576</v>
      </c>
      <c r="C50" s="18">
        <v>100</v>
      </c>
      <c r="D50" s="12"/>
      <c r="E50" s="12"/>
      <c r="F50" s="12"/>
      <c r="G50" s="18">
        <v>1</v>
      </c>
      <c r="H50" t="s" s="19">
        <v>1671</v>
      </c>
      <c r="I50" s="12"/>
      <c r="J50" s="12"/>
      <c r="K50" s="12"/>
      <c r="L50" s="12"/>
      <c r="M50" s="12"/>
      <c r="N50" s="12"/>
      <c r="O50" s="12"/>
      <c r="P50" s="12"/>
    </row>
    <row r="51" ht="44.05" customHeight="1">
      <c r="A51" t="s" s="10">
        <v>1672</v>
      </c>
      <c r="B51" t="s" s="11">
        <v>1576</v>
      </c>
      <c r="C51" s="18">
        <v>0</v>
      </c>
      <c r="D51" s="12"/>
      <c r="E51" s="12"/>
      <c r="F51" s="12"/>
      <c r="G51" s="18">
        <v>1</v>
      </c>
      <c r="H51" t="s" s="19">
        <v>1673</v>
      </c>
      <c r="I51" s="12"/>
      <c r="J51" s="12"/>
      <c r="K51" s="12"/>
      <c r="L51" s="12"/>
      <c r="M51" s="12"/>
      <c r="N51" s="12"/>
      <c r="O51" s="12"/>
      <c r="P51" s="12"/>
    </row>
    <row r="52" ht="44.05" customHeight="1">
      <c r="A52" t="s" s="10">
        <v>1674</v>
      </c>
      <c r="B52" t="s" s="11">
        <v>1576</v>
      </c>
      <c r="C52" s="18">
        <v>0</v>
      </c>
      <c r="D52" s="12"/>
      <c r="E52" s="12"/>
      <c r="F52" s="12"/>
      <c r="G52" s="18">
        <v>2</v>
      </c>
      <c r="H52" t="s" s="19">
        <v>1675</v>
      </c>
      <c r="I52" s="12"/>
      <c r="J52" t="s" s="19">
        <v>35</v>
      </c>
      <c r="K52" s="12"/>
      <c r="L52" t="s" s="19">
        <v>35</v>
      </c>
      <c r="M52" s="12"/>
      <c r="N52" s="12"/>
      <c r="O52" t="s" s="19">
        <v>35</v>
      </c>
      <c r="P52" s="12"/>
    </row>
    <row r="53" ht="32.05" customHeight="1">
      <c r="A53" t="s" s="10">
        <v>1676</v>
      </c>
      <c r="B53" t="s" s="11">
        <v>1576</v>
      </c>
      <c r="C53" s="18">
        <v>0</v>
      </c>
      <c r="D53" s="12"/>
      <c r="E53" s="12"/>
      <c r="F53" s="12"/>
      <c r="G53" s="18">
        <v>2</v>
      </c>
      <c r="H53" t="s" s="19">
        <v>1677</v>
      </c>
      <c r="I53" s="12"/>
      <c r="J53" s="12"/>
      <c r="K53" s="12"/>
      <c r="L53" s="12"/>
      <c r="M53" s="12"/>
      <c r="N53" s="12"/>
      <c r="O53" s="12"/>
      <c r="P53" s="12"/>
    </row>
    <row r="54" ht="32.05" customHeight="1">
      <c r="A54" t="s" s="10">
        <v>1678</v>
      </c>
      <c r="B54" t="s" s="11">
        <v>1576</v>
      </c>
      <c r="C54" s="18">
        <v>400</v>
      </c>
      <c r="D54" s="12"/>
      <c r="E54" s="12"/>
      <c r="F54" s="12"/>
      <c r="G54" s="18">
        <v>3</v>
      </c>
      <c r="H54" t="s" s="19">
        <v>1679</v>
      </c>
      <c r="I54" s="12"/>
      <c r="J54" s="12"/>
      <c r="K54" s="12"/>
      <c r="L54" s="12"/>
      <c r="M54" s="12"/>
      <c r="N54" s="12"/>
      <c r="O54" s="12"/>
      <c r="P54" s="12"/>
    </row>
    <row r="55" ht="32.05" customHeight="1">
      <c r="A55" t="s" s="10">
        <v>1680</v>
      </c>
      <c r="B55" t="s" s="11">
        <v>1576</v>
      </c>
      <c r="C55" s="18">
        <v>0</v>
      </c>
      <c r="D55" s="12"/>
      <c r="E55" s="12"/>
      <c r="F55" s="12"/>
      <c r="G55" s="18">
        <v>1</v>
      </c>
      <c r="H55" t="s" s="19">
        <v>1681</v>
      </c>
      <c r="I55" s="12"/>
      <c r="J55" t="s" s="19">
        <v>35</v>
      </c>
      <c r="K55" s="12"/>
      <c r="L55" t="s" s="19">
        <v>35</v>
      </c>
      <c r="M55" s="12"/>
      <c r="N55" t="s" s="19">
        <v>35</v>
      </c>
      <c r="O55" s="12"/>
      <c r="P55" s="12"/>
    </row>
    <row r="56" ht="44.05" customHeight="1">
      <c r="A56" t="s" s="10">
        <v>1682</v>
      </c>
      <c r="B56" t="s" s="11">
        <v>1576</v>
      </c>
      <c r="C56" s="18">
        <v>0</v>
      </c>
      <c r="D56" s="12"/>
      <c r="E56" s="12"/>
      <c r="F56" s="12"/>
      <c r="G56" s="18">
        <v>1</v>
      </c>
      <c r="H56" t="s" s="19">
        <v>1683</v>
      </c>
      <c r="I56" s="12"/>
      <c r="J56" t="s" s="19">
        <v>35</v>
      </c>
      <c r="K56" s="12"/>
      <c r="L56" t="s" s="19">
        <v>35</v>
      </c>
      <c r="M56" s="12"/>
      <c r="N56" t="s" s="19">
        <v>35</v>
      </c>
      <c r="O56" s="12"/>
      <c r="P56" s="12"/>
    </row>
    <row r="57" ht="56.05" customHeight="1">
      <c r="A57" t="s" s="10">
        <v>1684</v>
      </c>
      <c r="B57" t="s" s="11">
        <v>1576</v>
      </c>
      <c r="C57" s="18">
        <v>0</v>
      </c>
      <c r="D57" s="12"/>
      <c r="E57" s="12"/>
      <c r="F57" s="12"/>
      <c r="G57" s="18">
        <v>2</v>
      </c>
      <c r="H57" t="s" s="19">
        <v>1685</v>
      </c>
      <c r="I57" s="12"/>
      <c r="J57" t="s" s="19">
        <v>35</v>
      </c>
      <c r="K57" s="12"/>
      <c r="L57" t="s" s="19">
        <v>35</v>
      </c>
      <c r="M57" s="12"/>
      <c r="N57" s="12"/>
      <c r="O57" s="12"/>
      <c r="P57" t="s" s="19">
        <v>35</v>
      </c>
    </row>
    <row r="58" ht="56.05" customHeight="1">
      <c r="A58" t="s" s="10">
        <v>1686</v>
      </c>
      <c r="B58" t="s" s="11">
        <v>1576</v>
      </c>
      <c r="C58" s="18">
        <v>0</v>
      </c>
      <c r="D58" s="12"/>
      <c r="E58" s="12"/>
      <c r="F58" s="12"/>
      <c r="G58" s="18">
        <v>2</v>
      </c>
      <c r="H58" t="s" s="19">
        <v>1687</v>
      </c>
      <c r="I58" s="12"/>
      <c r="J58" s="12"/>
      <c r="K58" s="12"/>
      <c r="L58" s="12"/>
      <c r="M58" s="12"/>
      <c r="N58" s="12"/>
      <c r="O58" s="12"/>
      <c r="P58" s="12"/>
    </row>
    <row r="59" ht="44.05" customHeight="1">
      <c r="A59" t="s" s="10">
        <v>1688</v>
      </c>
      <c r="B59" t="s" s="11">
        <v>1576</v>
      </c>
      <c r="C59" s="18">
        <v>0</v>
      </c>
      <c r="D59" s="12"/>
      <c r="E59" s="12"/>
      <c r="F59" s="12"/>
      <c r="G59" s="18">
        <v>1</v>
      </c>
      <c r="H59" t="s" s="19">
        <v>1689</v>
      </c>
      <c r="I59" s="12"/>
      <c r="J59" t="s" s="19">
        <v>35</v>
      </c>
      <c r="K59" s="12"/>
      <c r="L59" t="s" s="19">
        <v>35</v>
      </c>
      <c r="M59" s="12"/>
      <c r="N59" s="12"/>
      <c r="O59" t="s" s="19">
        <v>35</v>
      </c>
      <c r="P59" s="12"/>
    </row>
    <row r="60" ht="56.05" customHeight="1">
      <c r="A60" t="s" s="10">
        <v>1690</v>
      </c>
      <c r="B60" t="s" s="11">
        <v>1576</v>
      </c>
      <c r="C60" s="18">
        <v>0</v>
      </c>
      <c r="D60" s="12"/>
      <c r="E60" s="12"/>
      <c r="F60" s="12"/>
      <c r="G60" s="18">
        <v>5</v>
      </c>
      <c r="H60" t="s" s="19">
        <v>1691</v>
      </c>
      <c r="I60" s="12"/>
      <c r="J60" s="12"/>
      <c r="K60" s="12"/>
      <c r="L60" s="12"/>
      <c r="M60" s="12"/>
      <c r="N60" s="12"/>
      <c r="O60" s="12"/>
      <c r="P60" s="12"/>
    </row>
    <row r="61" ht="44.05" customHeight="1">
      <c r="A61" t="s" s="10">
        <v>1692</v>
      </c>
      <c r="B61" t="s" s="11">
        <v>1576</v>
      </c>
      <c r="C61" s="18">
        <v>100</v>
      </c>
      <c r="D61" s="12"/>
      <c r="E61" s="12"/>
      <c r="F61" s="12"/>
      <c r="G61" s="18">
        <v>2</v>
      </c>
      <c r="H61" t="s" s="19">
        <v>1693</v>
      </c>
      <c r="I61" s="12"/>
      <c r="J61" s="12"/>
      <c r="K61" s="12"/>
      <c r="L61" s="12"/>
      <c r="M61" s="12"/>
      <c r="N61" s="12"/>
      <c r="O61" s="12"/>
      <c r="P61" s="12"/>
    </row>
    <row r="62" ht="35.2" customHeight="1">
      <c r="A62" t="s" s="10">
        <v>1694</v>
      </c>
      <c r="B62" t="s" s="11">
        <v>1576</v>
      </c>
      <c r="C62" s="18">
        <v>200</v>
      </c>
      <c r="D62" s="12"/>
      <c r="E62" s="12"/>
      <c r="F62" s="12"/>
      <c r="G62" s="18">
        <v>2</v>
      </c>
      <c r="H62" t="s" s="19">
        <v>1695</v>
      </c>
      <c r="I62" s="12"/>
      <c r="J62" s="19"/>
      <c r="K62" s="12"/>
      <c r="L62" s="19"/>
      <c r="M62" s="12"/>
      <c r="N62" s="12"/>
      <c r="O62" s="19"/>
      <c r="P62" s="12"/>
    </row>
    <row r="63" ht="38.7" customHeight="1">
      <c r="A63" t="s" s="10">
        <v>1696</v>
      </c>
      <c r="B63" t="s" s="11">
        <v>1576</v>
      </c>
      <c r="C63" s="18">
        <v>200</v>
      </c>
      <c r="D63" s="12"/>
      <c r="E63" s="12"/>
      <c r="F63" s="12"/>
      <c r="G63" s="18">
        <v>2</v>
      </c>
      <c r="H63" t="s" s="19">
        <v>1697</v>
      </c>
      <c r="I63" s="12"/>
      <c r="J63" s="19"/>
      <c r="K63" s="12"/>
      <c r="L63" s="19"/>
      <c r="M63" s="12"/>
      <c r="N63" s="12"/>
      <c r="O63" s="19"/>
      <c r="P63" s="12"/>
    </row>
    <row r="64" ht="38.7" customHeight="1">
      <c r="A64" t="s" s="10">
        <v>1698</v>
      </c>
      <c r="B64" t="s" s="11">
        <v>1576</v>
      </c>
      <c r="C64" s="18">
        <v>150</v>
      </c>
      <c r="D64" s="12"/>
      <c r="E64" s="12"/>
      <c r="F64" s="12"/>
      <c r="G64" s="18">
        <v>2</v>
      </c>
      <c r="H64" t="s" s="19">
        <v>1699</v>
      </c>
      <c r="I64" s="12"/>
      <c r="J64" s="12"/>
      <c r="K64" s="12"/>
      <c r="L64" s="12"/>
      <c r="M64" s="12"/>
      <c r="N64" s="12"/>
      <c r="O64" s="12"/>
      <c r="P64" s="12"/>
    </row>
    <row r="65" ht="38.7" customHeight="1">
      <c r="A65" t="s" s="10">
        <v>1700</v>
      </c>
      <c r="B65" t="s" s="11">
        <v>1576</v>
      </c>
      <c r="C65" s="18">
        <v>0</v>
      </c>
      <c r="D65" s="12"/>
      <c r="E65" s="12"/>
      <c r="F65" s="12"/>
      <c r="G65" s="18">
        <v>2</v>
      </c>
      <c r="H65" t="s" s="19">
        <v>1701</v>
      </c>
      <c r="I65" s="12"/>
      <c r="J65" s="12"/>
      <c r="K65" s="12"/>
      <c r="L65" s="12"/>
      <c r="M65" s="12"/>
      <c r="N65" s="12"/>
      <c r="O65" s="12"/>
      <c r="P65" s="12"/>
    </row>
    <row r="66" ht="32.25" customHeight="1">
      <c r="A66" t="s" s="10">
        <v>1702</v>
      </c>
      <c r="B66" t="s" s="11">
        <v>1576</v>
      </c>
      <c r="C66" s="18">
        <v>500</v>
      </c>
      <c r="D66" s="12"/>
      <c r="E66" s="12"/>
      <c r="F66" s="12"/>
      <c r="G66" s="18">
        <v>2</v>
      </c>
      <c r="H66" t="s" s="19">
        <v>1703</v>
      </c>
      <c r="I66" s="12"/>
      <c r="J66" s="12"/>
      <c r="K66" s="12"/>
      <c r="L66" s="12"/>
      <c r="M66" s="12"/>
      <c r="N66" s="12"/>
      <c r="O66" s="12"/>
      <c r="P66" s="12"/>
    </row>
    <row r="67" ht="20.05" customHeight="1">
      <c r="A67" t="s" s="10">
        <v>1704</v>
      </c>
      <c r="B67" t="s" s="11">
        <v>1576</v>
      </c>
      <c r="C67" s="18">
        <v>700</v>
      </c>
      <c r="D67" s="12"/>
      <c r="E67" s="12"/>
      <c r="F67" s="12"/>
      <c r="G67" s="18">
        <v>2</v>
      </c>
      <c r="H67" t="s" s="19">
        <v>1705</v>
      </c>
      <c r="I67" s="12"/>
      <c r="J67" s="12"/>
      <c r="K67" s="12"/>
      <c r="L67" s="12"/>
      <c r="M67" s="12"/>
      <c r="N67" s="12"/>
      <c r="O67" s="12"/>
      <c r="P67" s="12"/>
    </row>
    <row r="68" ht="20.05" customHeight="1">
      <c r="A68" t="s" s="10">
        <v>1706</v>
      </c>
      <c r="B68" t="s" s="11">
        <v>1576</v>
      </c>
      <c r="C68" s="18">
        <v>300</v>
      </c>
      <c r="D68" s="12"/>
      <c r="E68" s="12"/>
      <c r="F68" s="12"/>
      <c r="G68" s="18">
        <v>3</v>
      </c>
      <c r="H68" t="s" s="19">
        <v>1707</v>
      </c>
      <c r="I68" s="12"/>
      <c r="J68" s="12"/>
      <c r="K68" s="12"/>
      <c r="L68" s="12"/>
      <c r="M68" s="12"/>
      <c r="N68" s="12"/>
      <c r="O68" s="12"/>
      <c r="P68" s="12"/>
    </row>
    <row r="69" ht="38.7" customHeight="1">
      <c r="A69" t="s" s="10">
        <v>1708</v>
      </c>
      <c r="B69" t="s" s="11">
        <v>1576</v>
      </c>
      <c r="C69" s="18">
        <v>0</v>
      </c>
      <c r="D69" s="12"/>
      <c r="E69" s="12"/>
      <c r="F69" s="12"/>
      <c r="G69" s="18">
        <v>3</v>
      </c>
      <c r="H69" t="s" s="19">
        <v>1709</v>
      </c>
      <c r="I69" s="12"/>
      <c r="J69" s="12"/>
      <c r="K69" s="12"/>
      <c r="L69" s="12"/>
      <c r="M69" s="12"/>
      <c r="N69" s="12"/>
      <c r="O69" s="12"/>
      <c r="P69" s="12"/>
    </row>
    <row r="70" ht="40.9" customHeight="1">
      <c r="A70" t="s" s="10">
        <v>1710</v>
      </c>
      <c r="B70" t="s" s="11">
        <v>1576</v>
      </c>
      <c r="C70" s="18">
        <v>600</v>
      </c>
      <c r="D70" s="12"/>
      <c r="E70" s="12"/>
      <c r="F70" s="12"/>
      <c r="G70" s="18">
        <v>4</v>
      </c>
      <c r="H70" t="s" s="19">
        <v>1711</v>
      </c>
      <c r="I70" s="12"/>
      <c r="J70" s="12"/>
      <c r="K70" s="12"/>
      <c r="L70" s="12"/>
      <c r="M70" s="12"/>
      <c r="N70" s="12"/>
      <c r="O70" s="12"/>
      <c r="P70" s="12"/>
    </row>
    <row r="71" ht="38.7" customHeight="1">
      <c r="A71" t="s" s="10">
        <v>1712</v>
      </c>
      <c r="B71" t="s" s="11">
        <v>1576</v>
      </c>
      <c r="C71" s="18">
        <v>0</v>
      </c>
      <c r="D71" s="12"/>
      <c r="E71" s="12"/>
      <c r="F71" s="12"/>
      <c r="G71" s="18">
        <v>2</v>
      </c>
      <c r="H71" t="s" s="19">
        <v>1713</v>
      </c>
      <c r="I71" s="12"/>
      <c r="J71" s="12"/>
      <c r="K71" s="12"/>
      <c r="L71" s="12"/>
      <c r="M71" s="12"/>
      <c r="N71" s="12"/>
      <c r="O71" s="12"/>
      <c r="P71" s="12"/>
    </row>
    <row r="72" ht="50.7" customHeight="1">
      <c r="A72" t="s" s="10">
        <v>1714</v>
      </c>
      <c r="B72" t="s" s="11">
        <v>1576</v>
      </c>
      <c r="C72" s="18">
        <v>300</v>
      </c>
      <c r="D72" s="12"/>
      <c r="E72" s="12"/>
      <c r="F72" s="12"/>
      <c r="G72" s="18">
        <v>3</v>
      </c>
      <c r="H72" t="s" s="19">
        <v>1715</v>
      </c>
      <c r="I72" s="12"/>
      <c r="J72" s="12"/>
      <c r="K72" s="12"/>
      <c r="L72" s="12"/>
      <c r="M72" s="12"/>
      <c r="N72" s="12"/>
      <c r="O72" s="12"/>
      <c r="P72" s="12"/>
    </row>
    <row r="73" ht="50.7" customHeight="1">
      <c r="A73" t="s" s="10">
        <v>1716</v>
      </c>
      <c r="B73" t="s" s="11">
        <v>1576</v>
      </c>
      <c r="C73" s="18">
        <v>0</v>
      </c>
      <c r="D73" s="12"/>
      <c r="E73" s="12"/>
      <c r="F73" s="12"/>
      <c r="G73" s="18">
        <v>3</v>
      </c>
      <c r="H73" t="s" s="19">
        <v>1717</v>
      </c>
      <c r="I73" s="12"/>
      <c r="J73" s="12"/>
      <c r="K73" s="12"/>
      <c r="L73" s="12"/>
      <c r="M73" s="12"/>
      <c r="N73" s="12"/>
      <c r="O73" s="12"/>
      <c r="P73" s="12"/>
    </row>
    <row r="74" ht="38.7" customHeight="1">
      <c r="A74" t="s" s="10">
        <v>1718</v>
      </c>
      <c r="B74" t="s" s="11">
        <v>1576</v>
      </c>
      <c r="C74" s="18">
        <v>250</v>
      </c>
      <c r="D74" s="12"/>
      <c r="E74" s="12"/>
      <c r="F74" s="12"/>
      <c r="G74" s="18">
        <v>5</v>
      </c>
      <c r="H74" t="s" s="19">
        <v>1719</v>
      </c>
      <c r="I74" s="12"/>
      <c r="J74" s="12"/>
      <c r="K74" s="12"/>
      <c r="L74" s="12"/>
      <c r="M74" s="12"/>
      <c r="N74" s="12"/>
      <c r="O74" s="12"/>
      <c r="P74" s="12"/>
    </row>
    <row r="75" ht="38.7" customHeight="1">
      <c r="A75" t="s" s="10">
        <v>1720</v>
      </c>
      <c r="B75" t="s" s="11">
        <v>1576</v>
      </c>
      <c r="C75" s="18">
        <v>500</v>
      </c>
      <c r="D75" s="12"/>
      <c r="E75" s="12"/>
      <c r="F75" s="12"/>
      <c r="G75" s="12"/>
      <c r="H75" t="s" s="19">
        <v>1721</v>
      </c>
      <c r="I75" s="12"/>
      <c r="J75" s="12"/>
      <c r="K75" s="12"/>
      <c r="L75" s="12"/>
      <c r="M75" s="12"/>
      <c r="N75" s="12"/>
      <c r="O75" s="12"/>
      <c r="P75" s="12"/>
    </row>
    <row r="76" ht="20.05" customHeight="1">
      <c r="A76" t="s" s="10">
        <v>1722</v>
      </c>
      <c r="B76" t="s" s="11">
        <v>1576</v>
      </c>
      <c r="C76" s="18">
        <v>350</v>
      </c>
      <c r="D76" s="12"/>
      <c r="E76" s="12"/>
      <c r="F76" s="12"/>
      <c r="G76" s="12"/>
      <c r="H76" t="s" s="19">
        <v>1723</v>
      </c>
      <c r="I76" s="12"/>
      <c r="J76" s="12"/>
      <c r="K76" s="12"/>
      <c r="L76" s="12"/>
      <c r="M76" s="12"/>
      <c r="N76" s="12"/>
      <c r="O76" s="12"/>
      <c r="P76" s="12"/>
    </row>
    <row r="77" ht="20.05" customHeight="1">
      <c r="A77" t="s" s="10">
        <v>1724</v>
      </c>
      <c r="B77" t="s" s="11">
        <v>1576</v>
      </c>
      <c r="C77" s="18">
        <v>100</v>
      </c>
      <c r="D77" s="12"/>
      <c r="E77" s="12"/>
      <c r="F77" s="12"/>
      <c r="G77" s="12"/>
      <c r="H77" t="s" s="19">
        <v>1725</v>
      </c>
      <c r="I77" s="12"/>
      <c r="J77" s="12"/>
      <c r="K77" s="12"/>
      <c r="L77" s="12"/>
      <c r="M77" s="12"/>
      <c r="N77" s="12"/>
      <c r="O77" s="12"/>
      <c r="P77" s="12"/>
    </row>
    <row r="78" ht="20.05" customHeight="1">
      <c r="A78" t="s" s="10">
        <v>1726</v>
      </c>
      <c r="B78" t="s" s="11">
        <v>1576</v>
      </c>
      <c r="C78" s="18">
        <v>300</v>
      </c>
      <c r="D78" s="12"/>
      <c r="E78" s="12"/>
      <c r="F78" s="12"/>
      <c r="G78" s="12"/>
      <c r="H78" t="s" s="19">
        <v>1727</v>
      </c>
      <c r="I78" s="12"/>
      <c r="J78" s="12"/>
      <c r="K78" s="12"/>
      <c r="L78" s="12"/>
      <c r="M78" s="12"/>
      <c r="N78" s="12"/>
      <c r="O78" s="12"/>
      <c r="P78" s="12"/>
    </row>
    <row r="79" ht="20.05" customHeight="1">
      <c r="A79" t="s" s="10">
        <v>1728</v>
      </c>
      <c r="B79" t="s" s="11">
        <v>1576</v>
      </c>
      <c r="C79" s="18">
        <v>200</v>
      </c>
      <c r="D79" s="12"/>
      <c r="E79" s="12"/>
      <c r="F79" s="12"/>
      <c r="G79" s="12"/>
      <c r="H79" t="s" s="19">
        <v>1729</v>
      </c>
      <c r="I79" s="12"/>
      <c r="J79" s="12"/>
      <c r="K79" s="12"/>
      <c r="L79" s="12"/>
      <c r="M79" s="12"/>
      <c r="N79" s="12"/>
      <c r="O79" s="12"/>
      <c r="P79" s="12"/>
    </row>
    <row r="80" ht="20.05" customHeight="1">
      <c r="A80" t="s" s="10">
        <v>1730</v>
      </c>
      <c r="B80" t="s" s="11">
        <v>1576</v>
      </c>
      <c r="C80" s="18">
        <v>200</v>
      </c>
      <c r="D80" s="12"/>
      <c r="E80" s="12"/>
      <c r="F80" s="12"/>
      <c r="G80" s="12"/>
      <c r="H80" t="s" s="19">
        <v>1731</v>
      </c>
      <c r="I80" s="12"/>
      <c r="J80" s="12"/>
      <c r="K80" s="12"/>
      <c r="L80" s="12"/>
      <c r="M80" s="12"/>
      <c r="N80" s="12"/>
      <c r="O80" s="12"/>
      <c r="P80" s="12"/>
    </row>
    <row r="81" ht="20.05" customHeight="1">
      <c r="A81" t="s" s="10">
        <v>1732</v>
      </c>
      <c r="B81" t="s" s="11">
        <v>1576</v>
      </c>
      <c r="C81" s="18">
        <v>500</v>
      </c>
      <c r="D81" s="12"/>
      <c r="E81" s="12"/>
      <c r="F81" s="12"/>
      <c r="G81" s="12"/>
      <c r="H81" t="s" s="19">
        <v>1733</v>
      </c>
      <c r="I81" s="12"/>
      <c r="J81" s="12"/>
      <c r="K81" s="12"/>
      <c r="L81" s="12"/>
      <c r="M81" s="12"/>
      <c r="N81" s="12"/>
      <c r="O81" s="12"/>
      <c r="P81" s="12"/>
    </row>
    <row r="82" ht="20.05" customHeight="1">
      <c r="A82" t="s" s="10">
        <v>1734</v>
      </c>
      <c r="B82" t="s" s="11">
        <v>1576</v>
      </c>
      <c r="C82" s="18">
        <v>500</v>
      </c>
      <c r="D82" s="12"/>
      <c r="E82" s="12"/>
      <c r="F82" s="12"/>
      <c r="G82" s="12"/>
      <c r="H82" t="s" s="19">
        <v>1735</v>
      </c>
      <c r="I82" s="12"/>
      <c r="J82" s="12"/>
      <c r="K82" s="12"/>
      <c r="L82" s="12"/>
      <c r="M82" s="12"/>
      <c r="N82" s="12"/>
      <c r="O82" s="12"/>
      <c r="P82" s="12"/>
    </row>
    <row r="83" ht="20.05" customHeight="1">
      <c r="A83" t="s" s="10">
        <v>1736</v>
      </c>
      <c r="B83" t="s" s="11">
        <v>1576</v>
      </c>
      <c r="C83" s="18">
        <v>200</v>
      </c>
      <c r="D83" s="12"/>
      <c r="E83" s="12"/>
      <c r="F83" s="12"/>
      <c r="G83" s="12"/>
      <c r="H83" t="s" s="19">
        <v>1737</v>
      </c>
      <c r="I83" s="12"/>
      <c r="J83" s="12"/>
      <c r="K83" s="12"/>
      <c r="L83" s="12"/>
      <c r="M83" s="12"/>
      <c r="N83" s="12"/>
      <c r="O83" s="12"/>
      <c r="P83" s="12"/>
    </row>
    <row r="84" ht="20.05" customHeight="1">
      <c r="A84" t="s" s="10">
        <v>1738</v>
      </c>
      <c r="B84" t="s" s="11">
        <v>1576</v>
      </c>
      <c r="C84" s="18">
        <v>250</v>
      </c>
      <c r="D84" s="12"/>
      <c r="E84" s="12"/>
      <c r="F84" s="12"/>
      <c r="G84" s="12"/>
      <c r="H84" t="s" s="19">
        <v>1739</v>
      </c>
      <c r="I84" s="12"/>
      <c r="J84" s="12"/>
      <c r="K84" s="12"/>
      <c r="L84" s="12"/>
      <c r="M84" s="12"/>
      <c r="N84" s="12"/>
      <c r="O84" s="12"/>
      <c r="P84" s="12"/>
    </row>
    <row r="85" ht="20.05" customHeight="1">
      <c r="A85" t="s" s="10">
        <v>1740</v>
      </c>
      <c r="B85" t="s" s="11">
        <v>1576</v>
      </c>
      <c r="C85" s="18">
        <v>250</v>
      </c>
      <c r="D85" s="12"/>
      <c r="E85" s="12"/>
      <c r="F85" s="12"/>
      <c r="G85" s="12"/>
      <c r="H85" t="s" s="19">
        <v>1741</v>
      </c>
      <c r="I85" s="12"/>
      <c r="J85" s="12"/>
      <c r="K85" s="12"/>
      <c r="L85" s="12"/>
      <c r="M85" s="12"/>
      <c r="N85" s="12"/>
      <c r="O85" s="12"/>
      <c r="P85" s="12"/>
    </row>
    <row r="86" ht="20.05" customHeight="1">
      <c r="A86" t="s" s="10">
        <v>1742</v>
      </c>
      <c r="B86" t="s" s="11">
        <v>1576</v>
      </c>
      <c r="C86" s="18">
        <v>100</v>
      </c>
      <c r="D86" s="12"/>
      <c r="E86" s="12"/>
      <c r="F86" s="12"/>
      <c r="G86" s="18">
        <v>2</v>
      </c>
      <c r="H86" t="s" s="19">
        <v>1743</v>
      </c>
      <c r="I86" s="12"/>
      <c r="J86" s="12"/>
      <c r="K86" s="12"/>
      <c r="L86" s="12"/>
      <c r="M86" s="12"/>
      <c r="N86" s="12"/>
      <c r="O86" s="12"/>
      <c r="P86" s="12"/>
    </row>
    <row r="87" ht="20.05" customHeight="1">
      <c r="A87" t="s" s="10">
        <v>1744</v>
      </c>
      <c r="B87" t="s" s="11">
        <v>1576</v>
      </c>
      <c r="C87" s="18">
        <v>250</v>
      </c>
      <c r="D87" s="12"/>
      <c r="E87" s="12"/>
      <c r="F87" s="12"/>
      <c r="G87" s="18">
        <v>2</v>
      </c>
      <c r="H87" t="s" s="19">
        <v>1745</v>
      </c>
      <c r="I87" s="12"/>
      <c r="J87" s="12"/>
      <c r="K87" s="12"/>
      <c r="L87" s="12"/>
      <c r="M87" s="12"/>
      <c r="N87" s="12"/>
      <c r="O87" s="12"/>
      <c r="P87" s="12"/>
    </row>
    <row r="88" ht="20.05" customHeight="1">
      <c r="A88" t="s" s="10">
        <v>1746</v>
      </c>
      <c r="B88" t="s" s="11">
        <v>1576</v>
      </c>
      <c r="C88" s="18">
        <v>600</v>
      </c>
      <c r="D88" s="12"/>
      <c r="E88" s="12"/>
      <c r="F88" s="12"/>
      <c r="G88" s="18">
        <v>2</v>
      </c>
      <c r="H88" t="s" s="19">
        <v>1747</v>
      </c>
      <c r="I88" s="12"/>
      <c r="J88" s="12"/>
      <c r="K88" s="12"/>
      <c r="L88" s="12"/>
      <c r="M88" s="12"/>
      <c r="N88" s="12"/>
      <c r="O88" s="12"/>
      <c r="P88" s="12"/>
    </row>
    <row r="89" ht="20.05" customHeight="1">
      <c r="A89" t="s" s="10">
        <v>1748</v>
      </c>
      <c r="B89" t="s" s="11">
        <v>1576</v>
      </c>
      <c r="C89" s="18">
        <v>0</v>
      </c>
      <c r="D89" s="12"/>
      <c r="E89" s="12"/>
      <c r="F89" s="12"/>
      <c r="G89" s="12"/>
      <c r="H89" t="s" s="19">
        <v>1749</v>
      </c>
      <c r="I89" s="12"/>
      <c r="J89" s="12"/>
      <c r="K89" s="12"/>
      <c r="L89" s="12"/>
      <c r="M89" s="12"/>
      <c r="N89" s="12"/>
      <c r="O89" s="12"/>
      <c r="P89" s="12"/>
    </row>
    <row r="90" ht="20.05" customHeight="1">
      <c r="A90" t="s" s="10">
        <v>1750</v>
      </c>
      <c r="B90" t="s" s="11">
        <v>1576</v>
      </c>
      <c r="C90" s="18">
        <v>100</v>
      </c>
      <c r="D90" s="12"/>
      <c r="E90" s="12"/>
      <c r="F90" s="12"/>
      <c r="G90" s="12"/>
      <c r="H90" t="s" s="19">
        <v>1751</v>
      </c>
      <c r="I90" s="12"/>
      <c r="J90" s="12"/>
      <c r="K90" s="12"/>
      <c r="L90" s="12"/>
      <c r="M90" s="12"/>
      <c r="N90" s="12"/>
      <c r="O90" s="12"/>
      <c r="P90" s="12"/>
    </row>
    <row r="91" ht="20.05" customHeight="1">
      <c r="A91" t="s" s="10">
        <v>1752</v>
      </c>
      <c r="B91" t="s" s="11">
        <v>1576</v>
      </c>
      <c r="C91" s="18">
        <v>200</v>
      </c>
      <c r="D91" s="12"/>
      <c r="E91" s="12"/>
      <c r="F91" s="12"/>
      <c r="G91" s="12"/>
      <c r="H91" t="s" s="19">
        <v>1753</v>
      </c>
      <c r="I91" s="12"/>
      <c r="J91" s="12"/>
      <c r="K91" s="12"/>
      <c r="L91" s="12"/>
      <c r="M91" s="12"/>
      <c r="N91" s="12"/>
      <c r="O91" s="12"/>
      <c r="P91" s="12"/>
    </row>
    <row r="92" ht="20.05" customHeight="1">
      <c r="A92" t="s" s="10">
        <v>1754</v>
      </c>
      <c r="B92" t="s" s="11">
        <v>1576</v>
      </c>
      <c r="C92" s="18">
        <v>250</v>
      </c>
      <c r="D92" s="12"/>
      <c r="E92" s="12"/>
      <c r="F92" s="12"/>
      <c r="G92" s="12"/>
      <c r="H92" t="s" s="19">
        <v>1755</v>
      </c>
      <c r="I92" s="12"/>
      <c r="J92" s="12"/>
      <c r="K92" s="12"/>
      <c r="L92" s="12"/>
      <c r="M92" s="12"/>
      <c r="N92" s="12"/>
      <c r="O92" s="12"/>
      <c r="P92" s="12"/>
    </row>
    <row r="93" ht="20.05" customHeight="1">
      <c r="A93" t="s" s="10">
        <v>1756</v>
      </c>
      <c r="B93" t="s" s="11">
        <v>1576</v>
      </c>
      <c r="C93" s="18">
        <v>200</v>
      </c>
      <c r="D93" s="12"/>
      <c r="E93" s="12"/>
      <c r="F93" s="12"/>
      <c r="G93" s="12"/>
      <c r="H93" t="s" s="19">
        <v>1757</v>
      </c>
      <c r="I93" s="12"/>
      <c r="J93" s="12"/>
      <c r="K93" s="12"/>
      <c r="L93" s="12"/>
      <c r="M93" s="12"/>
      <c r="N93" s="12"/>
      <c r="O93" s="12"/>
      <c r="P93" s="12"/>
    </row>
    <row r="94" ht="20.05" customHeight="1">
      <c r="A94" t="s" s="10">
        <v>1758</v>
      </c>
      <c r="B94" t="s" s="11">
        <v>1576</v>
      </c>
      <c r="C94" s="18">
        <v>300</v>
      </c>
      <c r="D94" s="12"/>
      <c r="E94" s="12"/>
      <c r="F94" s="12"/>
      <c r="G94" s="12"/>
      <c r="H94" t="s" s="19">
        <v>1759</v>
      </c>
      <c r="I94" s="12"/>
      <c r="J94" s="12"/>
      <c r="K94" s="12"/>
      <c r="L94" s="12"/>
      <c r="M94" s="12"/>
      <c r="N94" s="12"/>
      <c r="O94" s="12"/>
      <c r="P94" s="12"/>
    </row>
    <row r="95" ht="20.05" customHeight="1">
      <c r="A95" t="s" s="10">
        <v>1760</v>
      </c>
      <c r="B95" t="s" s="11">
        <v>1576</v>
      </c>
      <c r="C95" s="18">
        <v>200</v>
      </c>
      <c r="D95" s="12"/>
      <c r="E95" s="12"/>
      <c r="F95" s="12"/>
      <c r="G95" s="12"/>
      <c r="H95" t="s" s="19">
        <v>1761</v>
      </c>
      <c r="I95" s="12"/>
      <c r="J95" s="12"/>
      <c r="K95" s="12"/>
      <c r="L95" s="12"/>
      <c r="M95" s="12"/>
      <c r="N95" s="12"/>
      <c r="O95" s="12"/>
      <c r="P95" s="12"/>
    </row>
    <row r="96" ht="20.05" customHeight="1">
      <c r="A96" t="s" s="10">
        <v>1762</v>
      </c>
      <c r="B96" t="s" s="11">
        <v>1576</v>
      </c>
      <c r="C96" s="18">
        <v>500</v>
      </c>
      <c r="D96" s="12"/>
      <c r="E96" s="12"/>
      <c r="F96" s="12"/>
      <c r="G96" s="12"/>
      <c r="H96" t="s" s="19">
        <v>1763</v>
      </c>
      <c r="I96" s="12"/>
      <c r="J96" s="12"/>
      <c r="K96" s="12"/>
      <c r="L96" s="12"/>
      <c r="M96" s="12"/>
      <c r="N96" s="12"/>
      <c r="O96" s="12"/>
      <c r="P96" s="12"/>
    </row>
    <row r="97" ht="20.05" customHeight="1">
      <c r="A97" t="s" s="10">
        <v>1764</v>
      </c>
      <c r="B97" t="s" s="11">
        <v>1576</v>
      </c>
      <c r="C97" s="18">
        <v>600</v>
      </c>
      <c r="D97" s="12"/>
      <c r="E97" s="12"/>
      <c r="F97" s="12"/>
      <c r="G97" s="12"/>
      <c r="H97" t="s" s="19">
        <v>1765</v>
      </c>
      <c r="I97" s="12"/>
      <c r="J97" s="12"/>
      <c r="K97" s="12"/>
      <c r="L97" s="12"/>
      <c r="M97" s="12"/>
      <c r="N97" s="12"/>
      <c r="O97" s="12"/>
      <c r="P97" s="12"/>
    </row>
    <row r="98" ht="20.05" customHeight="1">
      <c r="A98" t="s" s="10">
        <v>1766</v>
      </c>
      <c r="B98" t="s" s="11">
        <v>1576</v>
      </c>
      <c r="C98" s="18">
        <v>500</v>
      </c>
      <c r="D98" s="12"/>
      <c r="E98" s="12"/>
      <c r="F98" s="12"/>
      <c r="G98" s="12"/>
      <c r="H98" t="s" s="19">
        <v>1767</v>
      </c>
      <c r="I98" s="12"/>
      <c r="J98" s="12"/>
      <c r="K98" s="12"/>
      <c r="L98" s="12"/>
      <c r="M98" s="12"/>
      <c r="N98" s="12"/>
      <c r="O98" s="12"/>
      <c r="P98" s="12"/>
    </row>
    <row r="99" ht="20.05" customHeight="1">
      <c r="A99" t="s" s="10">
        <v>1768</v>
      </c>
      <c r="B99" t="s" s="11">
        <v>1576</v>
      </c>
      <c r="C99" s="18">
        <v>150</v>
      </c>
      <c r="D99" s="12"/>
      <c r="E99" s="12"/>
      <c r="F99" s="12"/>
      <c r="G99" s="12"/>
      <c r="H99" t="s" s="19">
        <v>1769</v>
      </c>
      <c r="I99" s="12"/>
      <c r="J99" s="12"/>
      <c r="K99" s="12"/>
      <c r="L99" s="12"/>
      <c r="M99" s="12"/>
      <c r="N99" s="12"/>
      <c r="O99" s="12"/>
      <c r="P99" s="12"/>
    </row>
    <row r="100" ht="20.05" customHeight="1">
      <c r="A100" t="s" s="10">
        <v>1770</v>
      </c>
      <c r="B100" t="s" s="11">
        <v>1576</v>
      </c>
      <c r="C100" s="18">
        <v>600</v>
      </c>
      <c r="D100" s="12"/>
      <c r="E100" s="12"/>
      <c r="F100" s="12"/>
      <c r="G100" s="12"/>
      <c r="H100" t="s" s="19">
        <v>1771</v>
      </c>
      <c r="I100" s="12"/>
      <c r="J100" s="12"/>
      <c r="K100" s="12"/>
      <c r="L100" s="12"/>
      <c r="M100" s="12"/>
      <c r="N100" s="12"/>
      <c r="O100" s="12"/>
      <c r="P100" s="12"/>
    </row>
    <row r="101" ht="20.05" customHeight="1">
      <c r="A101" t="s" s="10">
        <v>1772</v>
      </c>
      <c r="B101" t="s" s="11">
        <v>1576</v>
      </c>
      <c r="C101" s="18">
        <v>400</v>
      </c>
      <c r="D101" s="12"/>
      <c r="E101" s="12"/>
      <c r="F101" s="12"/>
      <c r="G101" s="12"/>
      <c r="H101" t="s" s="19">
        <v>1773</v>
      </c>
      <c r="I101" s="12"/>
      <c r="J101" s="12"/>
      <c r="K101" s="12"/>
      <c r="L101" s="12"/>
      <c r="M101" s="12"/>
      <c r="N101" s="12"/>
      <c r="O101" s="12"/>
      <c r="P101" s="12"/>
    </row>
    <row r="102" ht="20.05" customHeight="1">
      <c r="A102" t="s" s="10">
        <v>1774</v>
      </c>
      <c r="B102" t="s" s="11">
        <v>1576</v>
      </c>
      <c r="C102" s="18">
        <v>200</v>
      </c>
      <c r="D102" s="12"/>
      <c r="E102" s="12"/>
      <c r="F102" s="12"/>
      <c r="G102" s="12"/>
      <c r="H102" t="s" s="19">
        <v>1775</v>
      </c>
      <c r="I102" s="12"/>
      <c r="J102" s="12"/>
      <c r="K102" s="12"/>
      <c r="L102" s="12"/>
      <c r="M102" s="12"/>
      <c r="N102" s="12"/>
      <c r="O102" s="12"/>
      <c r="P102" s="12"/>
    </row>
    <row r="103" ht="20.05" customHeight="1">
      <c r="A103" t="s" s="10">
        <v>1776</v>
      </c>
      <c r="B103" t="s" s="11">
        <v>1576</v>
      </c>
      <c r="C103" s="18">
        <v>500</v>
      </c>
      <c r="D103" s="12"/>
      <c r="E103" s="12"/>
      <c r="F103" s="12"/>
      <c r="G103" s="12"/>
      <c r="H103" t="s" s="19">
        <v>1777</v>
      </c>
      <c r="I103" s="12"/>
      <c r="J103" s="12"/>
      <c r="K103" s="12"/>
      <c r="L103" s="12"/>
      <c r="M103" s="12"/>
      <c r="N103" s="12"/>
      <c r="O103" s="12"/>
      <c r="P103" s="12"/>
    </row>
    <row r="104" ht="20.05" customHeight="1">
      <c r="A104" t="s" s="10">
        <v>1778</v>
      </c>
      <c r="B104" t="s" s="11">
        <v>1576</v>
      </c>
      <c r="C104" s="18">
        <v>800</v>
      </c>
      <c r="D104" s="12"/>
      <c r="E104" s="12"/>
      <c r="F104" s="12"/>
      <c r="G104" s="12"/>
      <c r="H104" t="s" s="19">
        <v>1779</v>
      </c>
      <c r="I104" s="12"/>
      <c r="J104" s="12"/>
      <c r="K104" s="12"/>
      <c r="L104" s="12"/>
      <c r="M104" s="12"/>
      <c r="N104" s="12"/>
      <c r="O104" s="12"/>
      <c r="P104" s="12"/>
    </row>
    <row r="105" ht="20.05" customHeight="1">
      <c r="A105" t="s" s="10">
        <v>1780</v>
      </c>
      <c r="B105" t="s" s="11">
        <v>1576</v>
      </c>
      <c r="C105" s="18">
        <v>500</v>
      </c>
      <c r="D105" s="12"/>
      <c r="E105" s="12"/>
      <c r="F105" s="12"/>
      <c r="G105" s="12"/>
      <c r="H105" t="s" s="19">
        <v>1781</v>
      </c>
      <c r="I105" s="12"/>
      <c r="J105" s="12"/>
      <c r="K105" s="12"/>
      <c r="L105" s="12"/>
      <c r="M105" s="12"/>
      <c r="N105" s="12"/>
      <c r="O105" s="12"/>
      <c r="P105" s="12"/>
    </row>
    <row r="106" ht="20.05" customHeight="1">
      <c r="A106" t="s" s="10">
        <v>1782</v>
      </c>
      <c r="B106" t="s" s="11">
        <v>1576</v>
      </c>
      <c r="C106" s="18">
        <v>800</v>
      </c>
      <c r="D106" s="12"/>
      <c r="E106" s="12"/>
      <c r="F106" s="12"/>
      <c r="G106" s="12"/>
      <c r="H106" t="s" s="19">
        <v>1783</v>
      </c>
      <c r="I106" s="12"/>
      <c r="J106" s="12"/>
      <c r="K106" s="12"/>
      <c r="L106" s="12"/>
      <c r="M106" s="12"/>
      <c r="N106" s="12"/>
      <c r="O106" s="12"/>
      <c r="P106" s="12"/>
    </row>
    <row r="107" ht="20.05" customHeight="1">
      <c r="A107" t="s" s="10">
        <v>1784</v>
      </c>
      <c r="B107" t="s" s="11">
        <v>1576</v>
      </c>
      <c r="C107" s="18">
        <v>500</v>
      </c>
      <c r="D107" s="12"/>
      <c r="E107" s="12"/>
      <c r="F107" s="12"/>
      <c r="G107" s="12"/>
      <c r="H107" t="s" s="19">
        <v>1785</v>
      </c>
      <c r="I107" s="12"/>
      <c r="J107" s="12"/>
      <c r="K107" s="12"/>
      <c r="L107" s="12"/>
      <c r="M107" s="12"/>
      <c r="N107" s="12"/>
      <c r="O107" s="12"/>
      <c r="P107" s="12"/>
    </row>
    <row r="108" ht="20.05" customHeight="1">
      <c r="A108" t="s" s="10">
        <v>1786</v>
      </c>
      <c r="B108" t="s" s="11">
        <v>1576</v>
      </c>
      <c r="C108" s="18">
        <v>100</v>
      </c>
      <c r="D108" s="12"/>
      <c r="E108" s="12"/>
      <c r="F108" s="12"/>
      <c r="G108" s="12"/>
      <c r="H108" t="s" s="19">
        <v>1787</v>
      </c>
      <c r="I108" s="12"/>
      <c r="J108" s="12"/>
      <c r="K108" s="12"/>
      <c r="L108" s="12"/>
      <c r="M108" s="12"/>
      <c r="N108" s="12"/>
      <c r="O108" s="12"/>
      <c r="P108" s="12"/>
    </row>
    <row r="109" ht="20.05" customHeight="1">
      <c r="A109" t="s" s="10">
        <v>1788</v>
      </c>
      <c r="B109" t="s" s="11">
        <v>1576</v>
      </c>
      <c r="C109" s="18">
        <v>100</v>
      </c>
      <c r="D109" s="12"/>
      <c r="E109" s="12"/>
      <c r="F109" s="12"/>
      <c r="G109" s="12"/>
      <c r="H109" t="s" s="19">
        <v>1789</v>
      </c>
      <c r="I109" s="12"/>
      <c r="J109" s="12"/>
      <c r="K109" s="12"/>
      <c r="L109" s="12"/>
      <c r="M109" s="12"/>
      <c r="N109" s="12"/>
      <c r="O109" s="12"/>
      <c r="P109" s="12"/>
    </row>
    <row r="110" ht="20.05" customHeight="1">
      <c r="A110" t="s" s="10">
        <v>1790</v>
      </c>
      <c r="B110" t="s" s="11">
        <v>1576</v>
      </c>
      <c r="C110" s="18">
        <v>100</v>
      </c>
      <c r="D110" s="12"/>
      <c r="E110" s="12"/>
      <c r="F110" s="12"/>
      <c r="G110" s="12"/>
      <c r="H110" t="s" s="19">
        <v>1791</v>
      </c>
      <c r="I110" s="12"/>
      <c r="J110" s="12"/>
      <c r="K110" s="12"/>
      <c r="L110" s="12"/>
      <c r="M110" s="12"/>
      <c r="N110" s="12"/>
      <c r="O110" s="12"/>
      <c r="P110" s="12"/>
    </row>
    <row r="111" ht="20.05" customHeight="1">
      <c r="A111" t="s" s="10">
        <v>1792</v>
      </c>
      <c r="B111" t="s" s="11">
        <v>1576</v>
      </c>
      <c r="C111" s="18">
        <v>100</v>
      </c>
      <c r="D111" s="12"/>
      <c r="E111" s="12"/>
      <c r="F111" s="12"/>
      <c r="G111" s="12"/>
      <c r="H111" t="s" s="19">
        <v>1793</v>
      </c>
      <c r="I111" s="12"/>
      <c r="J111" s="12"/>
      <c r="K111" s="12"/>
      <c r="L111" s="12"/>
      <c r="M111" s="12"/>
      <c r="N111" s="12"/>
      <c r="O111" s="12"/>
      <c r="P111" s="12"/>
    </row>
    <row r="112" ht="20.05" customHeight="1">
      <c r="A112" t="s" s="10">
        <v>1794</v>
      </c>
      <c r="B112" t="s" s="11">
        <v>1576</v>
      </c>
      <c r="C112" s="18">
        <v>100</v>
      </c>
      <c r="D112" s="12"/>
      <c r="E112" s="12"/>
      <c r="F112" s="12"/>
      <c r="G112" s="12"/>
      <c r="H112" t="s" s="19">
        <v>1795</v>
      </c>
      <c r="I112" s="12"/>
      <c r="J112" s="12"/>
      <c r="K112" s="12"/>
      <c r="L112" s="12"/>
      <c r="M112" s="12"/>
      <c r="N112" s="12"/>
      <c r="O112" s="12"/>
      <c r="P112" s="12"/>
    </row>
    <row r="113" ht="20.05" customHeight="1">
      <c r="A113" t="s" s="10">
        <v>1796</v>
      </c>
      <c r="B113" t="s" s="11">
        <v>1576</v>
      </c>
      <c r="C113" s="18">
        <v>100</v>
      </c>
      <c r="D113" s="12"/>
      <c r="E113" s="12"/>
      <c r="F113" s="12"/>
      <c r="G113" s="12"/>
      <c r="H113" t="s" s="19">
        <v>1797</v>
      </c>
      <c r="I113" s="12"/>
      <c r="J113" s="12"/>
      <c r="K113" s="12"/>
      <c r="L113" s="12"/>
      <c r="M113" s="12"/>
      <c r="N113" s="12"/>
      <c r="O113" s="12"/>
      <c r="P113" s="12"/>
    </row>
    <row r="114" ht="20.05" customHeight="1">
      <c r="A114" t="s" s="10">
        <v>1798</v>
      </c>
      <c r="B114" t="s" s="11">
        <v>1576</v>
      </c>
      <c r="C114" s="18">
        <v>100</v>
      </c>
      <c r="D114" s="12"/>
      <c r="E114" s="12"/>
      <c r="F114" s="12"/>
      <c r="G114" s="12"/>
      <c r="H114" t="s" s="19">
        <v>1799</v>
      </c>
      <c r="I114" s="12"/>
      <c r="J114" s="12"/>
      <c r="K114" s="12"/>
      <c r="L114" s="12"/>
      <c r="M114" s="12"/>
      <c r="N114" s="12"/>
      <c r="O114" s="12"/>
      <c r="P114" s="12"/>
    </row>
    <row r="115" ht="20.05" customHeight="1">
      <c r="A115" t="s" s="10">
        <v>1800</v>
      </c>
      <c r="B115" t="s" s="11">
        <v>1576</v>
      </c>
      <c r="C115" s="18">
        <v>100</v>
      </c>
      <c r="D115" s="12"/>
      <c r="E115" s="12"/>
      <c r="F115" s="12"/>
      <c r="G115" s="12"/>
      <c r="H115" t="s" s="19">
        <v>1801</v>
      </c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s="13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s="13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s="13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s="13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s="13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s="13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P545"/>
  <sheetViews>
    <sheetView workbookViewId="0" showGridLines="0" defaultGridColor="1"/>
  </sheetViews>
  <sheetFormatPr defaultColWidth="16.3333" defaultRowHeight="19.9" customHeight="1" outlineLevelRow="0" outlineLevelCol="0"/>
  <cols>
    <col min="1" max="1" width="27.7422" style="35" customWidth="1"/>
    <col min="2" max="2" width="9.67188" style="35" customWidth="1"/>
    <col min="3" max="3" width="5.17188" style="35" customWidth="1"/>
    <col min="4" max="4" width="6.17188" style="35" customWidth="1"/>
    <col min="5" max="5" width="4.85156" style="35" customWidth="1"/>
    <col min="6" max="6" width="8.35156" style="35" customWidth="1"/>
    <col min="7" max="7" width="6.17188" style="35" customWidth="1"/>
    <col min="8" max="8" width="25.3516" style="35" customWidth="1"/>
    <col min="9" max="14" width="14.5" style="35" customWidth="1"/>
    <col min="15" max="16" width="16.3516" style="35" customWidth="1"/>
    <col min="17" max="16384" width="16.3516" style="3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1802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"&amp;COUNTIF(N3:N545,"Yes")</f>
        <v>1803</v>
      </c>
      <c r="O2" t="s" s="5">
        <f>"Booster Pack - Unseen Presence / "&amp;COUNTIF(O3:O545,"Yes")</f>
        <v>1804</v>
      </c>
      <c r="P2" t="s" s="5">
        <f>"Booster Pack - Wind of Dominance / "&amp;COUNTIF(P3:P545,"Yes")</f>
        <v>1574</v>
      </c>
    </row>
    <row r="3" ht="32.25" customHeight="1">
      <c r="A3" t="s" s="7">
        <v>1805</v>
      </c>
      <c r="B3" t="s" s="8">
        <v>1806</v>
      </c>
      <c r="C3" s="16">
        <v>0</v>
      </c>
      <c r="D3" s="9"/>
      <c r="E3" s="9"/>
      <c r="F3" s="9"/>
      <c r="G3" s="16">
        <v>1</v>
      </c>
      <c r="H3" t="s" s="17">
        <v>1807</v>
      </c>
      <c r="I3" s="9"/>
      <c r="J3" t="s" s="17">
        <v>35</v>
      </c>
      <c r="K3" s="9"/>
      <c r="L3" s="9"/>
      <c r="M3" s="9"/>
      <c r="N3" s="9"/>
      <c r="O3" s="9"/>
      <c r="P3" s="9"/>
    </row>
    <row r="4" ht="20.05" customHeight="1">
      <c r="A4" t="s" s="10">
        <v>1808</v>
      </c>
      <c r="B4" t="s" s="11">
        <v>1806</v>
      </c>
      <c r="C4" s="18">
        <v>0</v>
      </c>
      <c r="D4" s="12"/>
      <c r="E4" s="12"/>
      <c r="F4" s="12"/>
      <c r="G4" s="18">
        <v>1</v>
      </c>
      <c r="H4" t="s" s="19">
        <v>1809</v>
      </c>
      <c r="I4" s="12"/>
      <c r="J4" t="s" s="19">
        <v>35</v>
      </c>
      <c r="K4" s="12"/>
      <c r="L4" t="s" s="19">
        <v>35</v>
      </c>
      <c r="M4" s="12"/>
      <c r="N4" s="19"/>
      <c r="O4" s="12"/>
      <c r="P4" s="12"/>
    </row>
    <row r="5" ht="32.05" customHeight="1">
      <c r="A5" t="s" s="10">
        <v>1810</v>
      </c>
      <c r="B5" t="s" s="11">
        <v>1806</v>
      </c>
      <c r="C5" s="18">
        <v>0</v>
      </c>
      <c r="D5" s="12"/>
      <c r="E5" s="12"/>
      <c r="F5" s="12"/>
      <c r="G5" s="18">
        <v>3</v>
      </c>
      <c r="H5" t="s" s="19">
        <v>1811</v>
      </c>
      <c r="I5" s="12"/>
      <c r="J5" t="s" s="19">
        <v>35</v>
      </c>
      <c r="K5" s="12"/>
      <c r="L5" s="12"/>
      <c r="M5" s="12"/>
      <c r="N5" s="12"/>
      <c r="O5" s="12"/>
      <c r="P5" s="12"/>
    </row>
    <row r="6" ht="56.05" customHeight="1">
      <c r="A6" t="s" s="10">
        <v>1812</v>
      </c>
      <c r="B6" t="s" s="11">
        <v>1806</v>
      </c>
      <c r="C6" s="18">
        <v>0</v>
      </c>
      <c r="D6" s="12"/>
      <c r="E6" s="12"/>
      <c r="F6" s="12"/>
      <c r="G6" s="18">
        <v>5</v>
      </c>
      <c r="H6" t="s" s="19">
        <v>1813</v>
      </c>
      <c r="I6" s="12"/>
      <c r="J6" t="s" s="19">
        <v>35</v>
      </c>
      <c r="K6" s="12"/>
      <c r="L6" s="12"/>
      <c r="M6" s="12"/>
      <c r="N6" s="12"/>
      <c r="O6" s="12"/>
      <c r="P6" s="12"/>
    </row>
    <row r="7" ht="44.05" customHeight="1">
      <c r="A7" t="s" s="10">
        <v>1814</v>
      </c>
      <c r="B7" t="s" s="11">
        <v>1806</v>
      </c>
      <c r="C7" s="18">
        <v>0</v>
      </c>
      <c r="D7" s="12"/>
      <c r="E7" s="12"/>
      <c r="F7" s="12"/>
      <c r="G7" s="18">
        <v>2</v>
      </c>
      <c r="H7" t="s" s="19">
        <v>1815</v>
      </c>
      <c r="I7" s="12"/>
      <c r="J7" t="s" s="19">
        <v>35</v>
      </c>
      <c r="K7" s="12"/>
      <c r="L7" s="12"/>
      <c r="M7" s="12"/>
      <c r="N7" s="12"/>
      <c r="O7" s="12"/>
      <c r="P7" s="12"/>
    </row>
    <row r="8" ht="56.05" customHeight="1">
      <c r="A8" t="s" s="10">
        <v>1816</v>
      </c>
      <c r="B8" t="s" s="11">
        <v>1806</v>
      </c>
      <c r="C8" s="18">
        <v>0</v>
      </c>
      <c r="D8" s="12"/>
      <c r="E8" s="12"/>
      <c r="F8" s="12"/>
      <c r="G8" s="18">
        <v>3</v>
      </c>
      <c r="H8" t="s" s="19">
        <v>1817</v>
      </c>
      <c r="I8" s="12"/>
      <c r="J8" t="s" s="19">
        <v>35</v>
      </c>
      <c r="K8" s="12"/>
      <c r="L8" s="12"/>
      <c r="M8" s="12"/>
      <c r="N8" s="12"/>
      <c r="O8" s="12"/>
      <c r="P8" s="12"/>
    </row>
    <row r="9" ht="56.05" customHeight="1">
      <c r="A9" t="s" s="10">
        <v>1818</v>
      </c>
      <c r="B9" t="s" s="11">
        <v>1806</v>
      </c>
      <c r="C9" s="18">
        <v>0</v>
      </c>
      <c r="D9" s="12"/>
      <c r="E9" s="12"/>
      <c r="F9" s="12"/>
      <c r="G9" s="18">
        <v>4</v>
      </c>
      <c r="H9" t="s" s="19">
        <v>1819</v>
      </c>
      <c r="I9" s="12"/>
      <c r="J9" t="s" s="19">
        <v>35</v>
      </c>
      <c r="K9" s="12"/>
      <c r="L9" s="12"/>
      <c r="M9" s="12"/>
      <c r="N9" s="12"/>
      <c r="O9" s="12"/>
      <c r="P9" s="12"/>
    </row>
    <row r="10" ht="32.05" customHeight="1">
      <c r="A10" t="s" s="10">
        <v>1820</v>
      </c>
      <c r="B10" t="s" s="11">
        <v>1806</v>
      </c>
      <c r="C10" s="18">
        <v>0</v>
      </c>
      <c r="D10" s="12"/>
      <c r="E10" s="12"/>
      <c r="F10" s="12"/>
      <c r="G10" s="18">
        <v>2</v>
      </c>
      <c r="H10" t="s" s="19">
        <v>1821</v>
      </c>
      <c r="I10" s="12"/>
      <c r="J10" t="s" s="19">
        <v>35</v>
      </c>
      <c r="K10" s="12"/>
      <c r="L10" t="s" s="19">
        <v>35</v>
      </c>
      <c r="M10" s="12"/>
      <c r="N10" s="12"/>
      <c r="O10" s="19"/>
      <c r="P10" s="12"/>
    </row>
    <row r="11" ht="44.05" customHeight="1">
      <c r="A11" t="s" s="10">
        <v>1822</v>
      </c>
      <c r="B11" t="s" s="11">
        <v>1806</v>
      </c>
      <c r="C11" s="18">
        <v>0</v>
      </c>
      <c r="D11" s="12"/>
      <c r="E11" s="12"/>
      <c r="F11" s="12"/>
      <c r="G11" s="18">
        <v>3</v>
      </c>
      <c r="H11" t="s" s="19">
        <v>1823</v>
      </c>
      <c r="I11" s="12"/>
      <c r="J11" t="s" s="19">
        <v>35</v>
      </c>
      <c r="K11" s="12"/>
      <c r="L11" t="s" s="19">
        <v>35</v>
      </c>
      <c r="M11" s="12"/>
      <c r="N11" t="s" s="19">
        <v>35</v>
      </c>
      <c r="O11" s="12"/>
      <c r="P11" s="12"/>
    </row>
    <row r="12" ht="32.05" customHeight="1">
      <c r="A12" t="s" s="10">
        <v>1824</v>
      </c>
      <c r="B12" t="s" s="11">
        <v>1806</v>
      </c>
      <c r="C12" s="18">
        <v>0</v>
      </c>
      <c r="D12" s="12"/>
      <c r="E12" s="12"/>
      <c r="F12" s="12"/>
      <c r="G12" s="18">
        <v>4</v>
      </c>
      <c r="H12" t="s" s="19">
        <v>1825</v>
      </c>
      <c r="I12" s="12"/>
      <c r="J12" t="s" s="19">
        <v>35</v>
      </c>
      <c r="K12" s="12"/>
      <c r="L12" t="s" s="19">
        <v>35</v>
      </c>
      <c r="M12" s="12"/>
      <c r="N12" s="12"/>
      <c r="O12" t="s" s="19">
        <v>35</v>
      </c>
      <c r="P12" s="12"/>
    </row>
    <row r="13" ht="44.05" customHeight="1">
      <c r="A13" t="s" s="10">
        <v>1826</v>
      </c>
      <c r="B13" t="s" s="11">
        <v>1806</v>
      </c>
      <c r="C13" s="18">
        <v>0</v>
      </c>
      <c r="D13" s="12"/>
      <c r="E13" s="12"/>
      <c r="F13" s="12"/>
      <c r="G13" s="18">
        <v>4</v>
      </c>
      <c r="H13" t="s" s="19">
        <v>1827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56.05" customHeight="1">
      <c r="A14" t="s" s="10">
        <v>1828</v>
      </c>
      <c r="B14" t="s" s="11">
        <v>1806</v>
      </c>
      <c r="C14" s="18">
        <v>2500</v>
      </c>
      <c r="D14" s="12"/>
      <c r="E14" s="12"/>
      <c r="F14" s="12"/>
      <c r="G14" s="18">
        <v>5</v>
      </c>
      <c r="H14" t="s" s="19">
        <v>1829</v>
      </c>
      <c r="I14" s="12"/>
      <c r="J14" t="s" s="19">
        <v>35</v>
      </c>
      <c r="K14" s="12"/>
      <c r="L14" s="12"/>
      <c r="M14" s="12"/>
      <c r="N14" s="12"/>
      <c r="O14" s="12"/>
      <c r="P14" s="12"/>
    </row>
    <row r="15" ht="56.05" customHeight="1">
      <c r="A15" t="s" s="10">
        <v>1830</v>
      </c>
      <c r="B15" t="s" s="11">
        <v>1806</v>
      </c>
      <c r="C15" s="18">
        <v>2000</v>
      </c>
      <c r="D15" s="12"/>
      <c r="E15" s="12"/>
      <c r="F15" s="12"/>
      <c r="G15" s="18">
        <v>3</v>
      </c>
      <c r="H15" t="s" s="19">
        <v>1831</v>
      </c>
      <c r="I15" s="12"/>
      <c r="J15" t="s" s="19">
        <v>35</v>
      </c>
      <c r="K15" s="12"/>
      <c r="L15" t="s" s="19">
        <v>35</v>
      </c>
      <c r="M15" s="12"/>
      <c r="N15" s="12"/>
      <c r="O15" s="12"/>
      <c r="P15" s="12"/>
    </row>
    <row r="16" ht="32.05" customHeight="1">
      <c r="A16" t="s" s="10">
        <v>1832</v>
      </c>
      <c r="B16" t="s" s="11">
        <v>1806</v>
      </c>
      <c r="C16" s="18">
        <v>1000</v>
      </c>
      <c r="D16" s="12"/>
      <c r="E16" s="12"/>
      <c r="F16" s="12"/>
      <c r="G16" s="18">
        <v>4</v>
      </c>
      <c r="H16" t="s" s="19">
        <v>1833</v>
      </c>
      <c r="I16" s="12"/>
      <c r="J16" t="s" s="19">
        <v>35</v>
      </c>
      <c r="K16" s="12"/>
      <c r="L16" t="s" s="19">
        <v>35</v>
      </c>
      <c r="M16" s="12"/>
      <c r="N16" s="12"/>
      <c r="O16" s="12"/>
      <c r="P16" t="s" s="19">
        <v>35</v>
      </c>
    </row>
    <row r="17" ht="44.05" customHeight="1">
      <c r="A17" t="s" s="10">
        <v>1834</v>
      </c>
      <c r="B17" t="s" s="11">
        <v>1806</v>
      </c>
      <c r="C17" s="18">
        <v>1000</v>
      </c>
      <c r="D17" s="12"/>
      <c r="E17" s="12"/>
      <c r="F17" s="12"/>
      <c r="G17" s="18">
        <v>3</v>
      </c>
      <c r="H17" t="s" s="19">
        <v>1835</v>
      </c>
      <c r="I17" s="12"/>
      <c r="J17" t="s" s="19">
        <v>35</v>
      </c>
      <c r="K17" s="12"/>
      <c r="L17" t="s" s="19">
        <v>35</v>
      </c>
      <c r="M17" s="12"/>
      <c r="N17" t="s" s="19">
        <v>35</v>
      </c>
      <c r="O17" s="12"/>
      <c r="P17" s="12"/>
    </row>
    <row r="18" ht="32.05" customHeight="1">
      <c r="A18" t="s" s="10">
        <v>1836</v>
      </c>
      <c r="B18" t="s" s="11">
        <v>1806</v>
      </c>
      <c r="C18" s="18">
        <v>500</v>
      </c>
      <c r="D18" s="12"/>
      <c r="E18" s="12"/>
      <c r="F18" s="12"/>
      <c r="G18" s="18">
        <v>2</v>
      </c>
      <c r="H18" t="s" s="19">
        <v>1837</v>
      </c>
      <c r="I18" s="12"/>
      <c r="J18" t="s" s="19">
        <v>35</v>
      </c>
      <c r="K18" s="12"/>
      <c r="L18" s="12"/>
      <c r="M18" s="12"/>
      <c r="N18" t="s" s="19">
        <v>35</v>
      </c>
      <c r="O18" s="12"/>
      <c r="P18" s="12"/>
    </row>
    <row r="19" ht="32.05" customHeight="1">
      <c r="A19" t="s" s="10">
        <v>1838</v>
      </c>
      <c r="B19" t="s" s="11">
        <v>1806</v>
      </c>
      <c r="C19" s="18">
        <v>1000</v>
      </c>
      <c r="D19" s="12"/>
      <c r="E19" s="12"/>
      <c r="F19" s="12"/>
      <c r="G19" s="18">
        <v>4</v>
      </c>
      <c r="H19" t="s" s="19">
        <v>1839</v>
      </c>
      <c r="I19" s="12"/>
      <c r="J19" t="s" s="19">
        <v>35</v>
      </c>
      <c r="K19" s="12"/>
      <c r="L19" s="12"/>
      <c r="M19" s="12"/>
      <c r="N19" s="12"/>
      <c r="O19" s="12"/>
      <c r="P19" s="12"/>
    </row>
    <row r="20" ht="56.05" customHeight="1">
      <c r="A20" t="s" s="10">
        <v>1840</v>
      </c>
      <c r="B20" t="s" s="11">
        <v>1806</v>
      </c>
      <c r="C20" s="18">
        <v>600</v>
      </c>
      <c r="D20" s="12"/>
      <c r="E20" s="12"/>
      <c r="F20" s="12"/>
      <c r="G20" s="18">
        <v>3</v>
      </c>
      <c r="H20" t="s" s="19">
        <v>1841</v>
      </c>
      <c r="I20" s="12"/>
      <c r="J20" t="s" s="19">
        <v>35</v>
      </c>
      <c r="K20" s="12"/>
      <c r="L20" s="12"/>
      <c r="M20" s="12"/>
      <c r="N20" s="12"/>
      <c r="O20" s="12"/>
      <c r="P20" s="12"/>
    </row>
    <row r="21" ht="44.05" customHeight="1">
      <c r="A21" t="s" s="10">
        <v>1842</v>
      </c>
      <c r="B21" t="s" s="11">
        <v>1806</v>
      </c>
      <c r="C21" s="18">
        <v>1500</v>
      </c>
      <c r="D21" s="12"/>
      <c r="E21" s="12"/>
      <c r="F21" s="12"/>
      <c r="G21" s="18">
        <v>4</v>
      </c>
      <c r="H21" t="s" s="19">
        <v>1843</v>
      </c>
      <c r="I21" s="12"/>
      <c r="J21" t="s" s="19">
        <v>35</v>
      </c>
      <c r="K21" s="12"/>
      <c r="L21" t="s" s="19">
        <v>35</v>
      </c>
      <c r="M21" s="12"/>
      <c r="N21" s="12"/>
      <c r="O21" s="12"/>
      <c r="P21" s="12"/>
    </row>
    <row r="22" ht="44.05" customHeight="1">
      <c r="A22" t="s" s="10">
        <v>1844</v>
      </c>
      <c r="B22" t="s" s="11">
        <v>1806</v>
      </c>
      <c r="C22" s="18">
        <v>850</v>
      </c>
      <c r="D22" s="12"/>
      <c r="E22" s="12"/>
      <c r="F22" s="12"/>
      <c r="G22" s="18">
        <v>3</v>
      </c>
      <c r="H22" t="s" s="19">
        <v>1845</v>
      </c>
      <c r="I22" s="12"/>
      <c r="J22" t="s" s="19">
        <v>35</v>
      </c>
      <c r="K22" s="12"/>
      <c r="L22" s="12"/>
      <c r="M22" s="12"/>
      <c r="N22" s="12"/>
      <c r="O22" s="12"/>
      <c r="P22" s="12"/>
    </row>
    <row r="23" ht="44.05" customHeight="1">
      <c r="A23" t="s" s="10">
        <v>1846</v>
      </c>
      <c r="B23" t="s" s="11">
        <v>1806</v>
      </c>
      <c r="C23" s="18">
        <v>1000</v>
      </c>
      <c r="D23" s="12"/>
      <c r="E23" s="12"/>
      <c r="F23" s="12"/>
      <c r="G23" s="18">
        <v>5</v>
      </c>
      <c r="H23" t="s" s="19">
        <v>1847</v>
      </c>
      <c r="I23" s="12"/>
      <c r="J23" t="s" s="19">
        <v>35</v>
      </c>
      <c r="K23" s="12"/>
      <c r="L23" t="s" s="19">
        <v>35</v>
      </c>
      <c r="M23" s="12"/>
      <c r="N23" s="12"/>
      <c r="O23" s="12"/>
      <c r="P23" t="s" s="19">
        <v>35</v>
      </c>
    </row>
    <row r="24" ht="20.05" customHeight="1">
      <c r="A24" t="s" s="10">
        <v>1848</v>
      </c>
      <c r="B24" t="s" s="11">
        <v>1806</v>
      </c>
      <c r="C24" s="18">
        <v>1500</v>
      </c>
      <c r="D24" s="12"/>
      <c r="E24" s="12"/>
      <c r="F24" s="12"/>
      <c r="G24" s="18">
        <v>4</v>
      </c>
      <c r="H24" t="s" s="19">
        <v>1849</v>
      </c>
      <c r="I24" s="12"/>
      <c r="J24" t="s" s="19">
        <v>35</v>
      </c>
      <c r="K24" s="12"/>
      <c r="L24" s="12"/>
      <c r="M24" s="12"/>
      <c r="N24" s="12"/>
      <c r="O24" s="12"/>
      <c r="P24" s="12"/>
    </row>
    <row r="25" ht="56.05" customHeight="1">
      <c r="A25" t="s" s="10">
        <v>1850</v>
      </c>
      <c r="B25" t="s" s="11">
        <v>1806</v>
      </c>
      <c r="C25" s="18">
        <v>1000</v>
      </c>
      <c r="D25" s="12"/>
      <c r="E25" s="12"/>
      <c r="F25" s="12"/>
      <c r="G25" s="18">
        <v>3</v>
      </c>
      <c r="H25" t="s" s="19">
        <v>1851</v>
      </c>
      <c r="I25" s="12"/>
      <c r="J25" t="s" s="19">
        <v>35</v>
      </c>
      <c r="K25" s="12"/>
      <c r="L25" t="s" s="19">
        <v>35</v>
      </c>
      <c r="M25" s="12"/>
      <c r="N25" s="12"/>
      <c r="O25" s="12"/>
      <c r="P25" t="s" s="19">
        <v>35</v>
      </c>
    </row>
    <row r="26" ht="26.7" customHeight="1">
      <c r="A26" t="s" s="10">
        <v>1852</v>
      </c>
      <c r="B26" t="s" s="11">
        <v>1806</v>
      </c>
      <c r="C26" s="18">
        <v>900</v>
      </c>
      <c r="D26" s="12"/>
      <c r="E26" s="12"/>
      <c r="F26" s="12"/>
      <c r="G26" s="18">
        <v>5</v>
      </c>
      <c r="H26" t="s" s="19">
        <v>1853</v>
      </c>
      <c r="I26" s="12"/>
      <c r="J26" t="s" s="19">
        <v>35</v>
      </c>
      <c r="K26" s="12"/>
      <c r="L26" t="s" s="19">
        <v>35</v>
      </c>
      <c r="M26" s="12"/>
      <c r="N26" s="12"/>
      <c r="O26" s="12"/>
      <c r="P26" s="12"/>
    </row>
    <row r="27" ht="20.05" customHeight="1">
      <c r="A27" t="s" s="10">
        <v>1854</v>
      </c>
      <c r="B27" t="s" s="11">
        <v>1806</v>
      </c>
      <c r="C27" s="18">
        <v>600</v>
      </c>
      <c r="D27" s="12"/>
      <c r="E27" s="12"/>
      <c r="F27" s="12"/>
      <c r="G27" s="18">
        <v>1</v>
      </c>
      <c r="H27" t="s" s="19">
        <v>1855</v>
      </c>
      <c r="I27" s="12"/>
      <c r="J27" t="s" s="19">
        <v>35</v>
      </c>
      <c r="K27" s="12"/>
      <c r="L27" t="s" s="19">
        <v>35</v>
      </c>
      <c r="M27" s="12"/>
      <c r="N27" t="s" s="19">
        <v>35</v>
      </c>
      <c r="O27" s="12"/>
      <c r="P27" s="12"/>
    </row>
    <row r="28" ht="44.05" customHeight="1">
      <c r="A28" t="s" s="10">
        <v>1856</v>
      </c>
      <c r="B28" t="s" s="11">
        <v>1806</v>
      </c>
      <c r="C28" s="18">
        <v>500</v>
      </c>
      <c r="D28" s="12"/>
      <c r="E28" s="12"/>
      <c r="F28" s="12"/>
      <c r="G28" s="18">
        <v>2</v>
      </c>
      <c r="H28" t="s" s="19">
        <v>1857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44.05" customHeight="1">
      <c r="A29" t="s" s="10">
        <v>1858</v>
      </c>
      <c r="B29" t="s" s="11">
        <v>1806</v>
      </c>
      <c r="C29" s="18">
        <v>700</v>
      </c>
      <c r="D29" s="12"/>
      <c r="E29" s="12"/>
      <c r="F29" s="12"/>
      <c r="G29" s="18">
        <v>5</v>
      </c>
      <c r="H29" t="s" s="19">
        <v>1859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68.05" customHeight="1">
      <c r="A30" t="s" s="10">
        <v>1860</v>
      </c>
      <c r="B30" t="s" s="11">
        <v>1806</v>
      </c>
      <c r="C30" s="18">
        <v>1000</v>
      </c>
      <c r="D30" s="12"/>
      <c r="E30" s="12"/>
      <c r="F30" s="12"/>
      <c r="G30" s="18">
        <v>4</v>
      </c>
      <c r="H30" t="s" s="19">
        <v>1861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1862</v>
      </c>
      <c r="B31" t="s" s="11">
        <v>1806</v>
      </c>
      <c r="C31" s="18">
        <v>1000</v>
      </c>
      <c r="D31" s="12"/>
      <c r="E31" s="12"/>
      <c r="F31" s="12"/>
      <c r="G31" s="18">
        <v>5</v>
      </c>
      <c r="H31" t="s" s="19">
        <v>1863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1864</v>
      </c>
      <c r="B32" t="s" s="11">
        <v>1806</v>
      </c>
      <c r="C32" s="18">
        <v>1800</v>
      </c>
      <c r="D32" s="12"/>
      <c r="E32" s="12"/>
      <c r="F32" s="12"/>
      <c r="G32" s="18">
        <v>5</v>
      </c>
      <c r="H32" t="s" s="19">
        <v>1865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1866</v>
      </c>
      <c r="B33" t="s" s="11">
        <v>1806</v>
      </c>
      <c r="C33" s="18">
        <v>1500</v>
      </c>
      <c r="D33" s="12"/>
      <c r="E33" s="12"/>
      <c r="F33" s="12"/>
      <c r="G33" s="18">
        <v>4</v>
      </c>
      <c r="H33" t="s" s="19">
        <v>1867</v>
      </c>
      <c r="I33" s="12"/>
      <c r="J33" t="s" s="19">
        <v>35</v>
      </c>
      <c r="K33" s="12"/>
      <c r="L33" t="s" s="19">
        <v>35</v>
      </c>
      <c r="M33" s="12"/>
      <c r="N33" s="12"/>
      <c r="O33" s="12"/>
      <c r="P33" t="s" s="19">
        <v>35</v>
      </c>
    </row>
    <row r="34" ht="44.05" customHeight="1">
      <c r="A34" t="s" s="10">
        <v>1868</v>
      </c>
      <c r="B34" t="s" s="11">
        <v>1806</v>
      </c>
      <c r="C34" s="18">
        <v>1000</v>
      </c>
      <c r="D34" s="12"/>
      <c r="E34" s="12"/>
      <c r="F34" s="12"/>
      <c r="G34" s="18">
        <v>3</v>
      </c>
      <c r="H34" t="s" s="19">
        <v>1869</v>
      </c>
      <c r="I34" s="12"/>
      <c r="J34" s="12"/>
      <c r="K34" s="12"/>
      <c r="L34" s="12"/>
      <c r="M34" s="12"/>
      <c r="N34" s="12"/>
      <c r="O34" s="12"/>
      <c r="P34" s="12"/>
    </row>
    <row r="35" ht="44.05" customHeight="1">
      <c r="A35" t="s" s="10">
        <v>1870</v>
      </c>
      <c r="B35" t="s" s="11">
        <v>1806</v>
      </c>
      <c r="C35" s="18">
        <v>600</v>
      </c>
      <c r="D35" s="12"/>
      <c r="E35" s="12"/>
      <c r="F35" s="12"/>
      <c r="G35" s="18">
        <v>2</v>
      </c>
      <c r="H35" t="s" s="19">
        <v>1871</v>
      </c>
      <c r="I35" s="12"/>
      <c r="J35" s="12"/>
      <c r="K35" s="12"/>
      <c r="L35" s="12"/>
      <c r="M35" s="12"/>
      <c r="N35" s="12"/>
      <c r="O35" s="12"/>
      <c r="P35" s="12"/>
    </row>
    <row r="36" ht="44.05" customHeight="1">
      <c r="A36" t="s" s="10">
        <v>1872</v>
      </c>
      <c r="B36" t="s" s="11">
        <v>1806</v>
      </c>
      <c r="C36" s="18">
        <v>250</v>
      </c>
      <c r="D36" s="12"/>
      <c r="E36" s="12"/>
      <c r="F36" s="12"/>
      <c r="G36" s="18">
        <v>3</v>
      </c>
      <c r="H36" t="s" s="19">
        <v>1873</v>
      </c>
      <c r="I36" s="12"/>
      <c r="J36" s="12"/>
      <c r="K36" s="12"/>
      <c r="L36" s="12"/>
      <c r="M36" s="12"/>
      <c r="N36" s="12"/>
      <c r="O36" s="12"/>
      <c r="P36" s="12"/>
    </row>
    <row r="37" ht="56.05" customHeight="1">
      <c r="A37" t="s" s="10">
        <v>1874</v>
      </c>
      <c r="B37" t="s" s="11">
        <v>1806</v>
      </c>
      <c r="C37" s="18">
        <v>300</v>
      </c>
      <c r="D37" s="12"/>
      <c r="E37" s="12"/>
      <c r="F37" s="12"/>
      <c r="G37" s="18">
        <v>2</v>
      </c>
      <c r="H37" t="s" s="19">
        <v>1875</v>
      </c>
      <c r="I37" s="12"/>
      <c r="J37" s="12"/>
      <c r="K37" s="12"/>
      <c r="L37" s="12"/>
      <c r="M37" s="12"/>
      <c r="N37" s="12"/>
      <c r="O37" s="12"/>
      <c r="P37" s="12"/>
    </row>
    <row r="38" ht="32.05" customHeight="1">
      <c r="A38" t="s" s="10">
        <v>1876</v>
      </c>
      <c r="B38" t="s" s="11">
        <v>1806</v>
      </c>
      <c r="C38" s="18">
        <v>1000</v>
      </c>
      <c r="D38" s="12"/>
      <c r="E38" s="12"/>
      <c r="F38" s="12"/>
      <c r="G38" s="18">
        <v>3</v>
      </c>
      <c r="H38" t="s" s="19">
        <v>1877</v>
      </c>
      <c r="I38" s="12"/>
      <c r="J38" s="12"/>
      <c r="K38" s="12"/>
      <c r="L38" s="12"/>
      <c r="M38" s="12"/>
      <c r="N38" s="12"/>
      <c r="O38" s="12"/>
      <c r="P38" s="12"/>
    </row>
    <row r="39" ht="32.05" customHeight="1">
      <c r="A39" t="s" s="10">
        <v>1878</v>
      </c>
      <c r="B39" t="s" s="11">
        <v>1806</v>
      </c>
      <c r="C39" s="18">
        <v>1200</v>
      </c>
      <c r="D39" s="12"/>
      <c r="E39" s="12"/>
      <c r="F39" s="12"/>
      <c r="G39" s="18">
        <v>4</v>
      </c>
      <c r="H39" t="s" s="19">
        <v>1879</v>
      </c>
      <c r="I39" s="12"/>
      <c r="J39" s="12"/>
      <c r="K39" s="12"/>
      <c r="L39" s="12"/>
      <c r="M39" s="12"/>
      <c r="N39" s="12"/>
      <c r="O39" s="12"/>
      <c r="P39" s="12"/>
    </row>
    <row r="40" ht="20.05" customHeight="1">
      <c r="A40" t="s" s="10">
        <v>1880</v>
      </c>
      <c r="B40" t="s" s="11">
        <v>1806</v>
      </c>
      <c r="C40" s="18">
        <v>0</v>
      </c>
      <c r="D40" s="12"/>
      <c r="E40" s="12"/>
      <c r="F40" s="12"/>
      <c r="G40" s="18">
        <v>1</v>
      </c>
      <c r="H40" t="s" s="19">
        <v>1881</v>
      </c>
      <c r="I40" s="12"/>
      <c r="J40" s="12"/>
      <c r="K40" s="12"/>
      <c r="L40" s="12"/>
      <c r="M40" s="12"/>
      <c r="N40" s="12"/>
      <c r="O40" s="12"/>
      <c r="P40" s="12"/>
    </row>
    <row r="41" ht="32.05" customHeight="1">
      <c r="A41" t="s" s="10">
        <v>1882</v>
      </c>
      <c r="B41" t="s" s="11">
        <v>1806</v>
      </c>
      <c r="C41" s="18">
        <v>0</v>
      </c>
      <c r="D41" s="12"/>
      <c r="E41" s="12"/>
      <c r="F41" s="12"/>
      <c r="G41" s="18">
        <v>2</v>
      </c>
      <c r="H41" t="s" s="19">
        <v>1883</v>
      </c>
      <c r="I41" s="12"/>
      <c r="J41" s="12"/>
      <c r="K41" s="12"/>
      <c r="L41" s="12"/>
      <c r="M41" s="12"/>
      <c r="N41" s="12"/>
      <c r="O41" s="12"/>
      <c r="P41" s="12"/>
    </row>
    <row r="42" ht="32.05" customHeight="1">
      <c r="A42" t="s" s="10">
        <v>1884</v>
      </c>
      <c r="B42" t="s" s="11">
        <v>1806</v>
      </c>
      <c r="C42" s="18">
        <v>0</v>
      </c>
      <c r="D42" s="12"/>
      <c r="E42" s="12"/>
      <c r="F42" s="12"/>
      <c r="G42" s="18">
        <v>1</v>
      </c>
      <c r="H42" t="s" s="19">
        <v>1885</v>
      </c>
      <c r="I42" s="12"/>
      <c r="J42" s="12"/>
      <c r="K42" s="12"/>
      <c r="L42" s="12"/>
      <c r="M42" s="12"/>
      <c r="N42" s="12"/>
      <c r="O42" s="12"/>
      <c r="P42" s="12"/>
    </row>
    <row r="43" ht="44.05" customHeight="1">
      <c r="A43" t="s" s="10">
        <v>1886</v>
      </c>
      <c r="B43" t="s" s="11">
        <v>1806</v>
      </c>
      <c r="C43" s="18">
        <v>0</v>
      </c>
      <c r="D43" s="12"/>
      <c r="E43" s="12"/>
      <c r="F43" s="12"/>
      <c r="G43" s="18">
        <v>2</v>
      </c>
      <c r="H43" t="s" s="19">
        <v>1887</v>
      </c>
      <c r="I43" s="12"/>
      <c r="J43" s="12"/>
      <c r="K43" s="12"/>
      <c r="L43" s="12"/>
      <c r="M43" s="12"/>
      <c r="N43" s="12"/>
      <c r="O43" s="12"/>
      <c r="P43" s="12"/>
    </row>
    <row r="44" ht="20.05" customHeight="1">
      <c r="A44" t="s" s="10">
        <v>1888</v>
      </c>
      <c r="B44" t="s" s="11">
        <v>1806</v>
      </c>
      <c r="C44" s="18">
        <v>0</v>
      </c>
      <c r="D44" s="12"/>
      <c r="E44" s="12"/>
      <c r="F44" s="12"/>
      <c r="G44" s="18">
        <v>1</v>
      </c>
      <c r="H44" t="s" s="19">
        <v>1889</v>
      </c>
      <c r="I44" s="12"/>
      <c r="J44" s="12"/>
      <c r="K44" s="12"/>
      <c r="L44" s="12"/>
      <c r="M44" s="12"/>
      <c r="N44" s="12"/>
      <c r="O44" s="12"/>
      <c r="P44" s="12"/>
    </row>
    <row r="45" ht="44.05" customHeight="1">
      <c r="A45" t="s" s="10">
        <v>1890</v>
      </c>
      <c r="B45" t="s" s="11">
        <v>1806</v>
      </c>
      <c r="C45" s="18">
        <v>0</v>
      </c>
      <c r="D45" s="12"/>
      <c r="E45" s="12"/>
      <c r="F45" s="12"/>
      <c r="G45" s="18">
        <v>2</v>
      </c>
      <c r="H45" t="s" s="19">
        <v>1891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1892</v>
      </c>
      <c r="B46" t="s" s="11">
        <v>1806</v>
      </c>
      <c r="C46" s="18">
        <v>0</v>
      </c>
      <c r="D46" s="12"/>
      <c r="E46" s="12"/>
      <c r="F46" s="12"/>
      <c r="G46" s="18">
        <v>1</v>
      </c>
      <c r="H46" t="s" s="19">
        <v>1893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1894</v>
      </c>
      <c r="B47" t="s" s="11">
        <v>1806</v>
      </c>
      <c r="C47" s="18">
        <v>0</v>
      </c>
      <c r="D47" s="12"/>
      <c r="E47" s="12"/>
      <c r="F47" s="12"/>
      <c r="G47" s="18">
        <v>1</v>
      </c>
      <c r="H47" t="s" s="19">
        <v>1895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1896</v>
      </c>
      <c r="B48" t="s" s="11">
        <v>1806</v>
      </c>
      <c r="C48" s="18">
        <v>500</v>
      </c>
      <c r="D48" s="12"/>
      <c r="E48" s="12"/>
      <c r="F48" s="12"/>
      <c r="G48" s="18">
        <v>1</v>
      </c>
      <c r="H48" t="s" s="19">
        <v>1897</v>
      </c>
      <c r="I48" s="12"/>
      <c r="J48" s="12"/>
      <c r="K48" s="12"/>
      <c r="L48" s="12"/>
      <c r="M48" s="12"/>
      <c r="N48" s="12"/>
      <c r="O48" s="12"/>
      <c r="P48" s="12"/>
    </row>
    <row r="49" ht="44.05" customHeight="1">
      <c r="A49" t="s" s="10">
        <v>1898</v>
      </c>
      <c r="B49" t="s" s="11">
        <v>1806</v>
      </c>
      <c r="C49" s="18">
        <v>0</v>
      </c>
      <c r="D49" s="12"/>
      <c r="E49" s="12"/>
      <c r="F49" s="12"/>
      <c r="G49" s="18">
        <v>1</v>
      </c>
      <c r="H49" t="s" s="19">
        <v>1899</v>
      </c>
      <c r="I49" s="12"/>
      <c r="J49" s="12"/>
      <c r="K49" s="12"/>
      <c r="L49" s="12"/>
      <c r="M49" s="12"/>
      <c r="N49" s="12"/>
      <c r="O49" s="12"/>
      <c r="P49" s="12"/>
    </row>
    <row r="50" ht="32.05" customHeight="1">
      <c r="A50" t="s" s="10">
        <v>1900</v>
      </c>
      <c r="B50" t="s" s="11">
        <v>1806</v>
      </c>
      <c r="C50" s="18">
        <v>200</v>
      </c>
      <c r="D50" s="12"/>
      <c r="E50" s="12"/>
      <c r="F50" s="12"/>
      <c r="G50" s="18">
        <v>1</v>
      </c>
      <c r="H50" t="s" s="19">
        <v>1901</v>
      </c>
      <c r="I50" s="12"/>
      <c r="J50" s="12"/>
      <c r="K50" s="12"/>
      <c r="L50" s="12"/>
      <c r="M50" s="12"/>
      <c r="N50" s="12"/>
      <c r="O50" s="12"/>
      <c r="P50" s="12"/>
    </row>
    <row r="51" ht="32.05" customHeight="1">
      <c r="A51" t="s" s="10">
        <v>1902</v>
      </c>
      <c r="B51" t="s" s="11">
        <v>1806</v>
      </c>
      <c r="C51" s="18">
        <v>200</v>
      </c>
      <c r="D51" s="12"/>
      <c r="E51" s="12"/>
      <c r="F51" s="12"/>
      <c r="G51" s="18">
        <v>1</v>
      </c>
      <c r="H51" t="s" s="19">
        <v>1903</v>
      </c>
      <c r="I51" s="12"/>
      <c r="J51" s="12"/>
      <c r="K51" s="12"/>
      <c r="L51" s="12"/>
      <c r="M51" s="12"/>
      <c r="N51" s="12"/>
      <c r="O51" s="12"/>
      <c r="P51" s="12"/>
    </row>
    <row r="52" ht="44.05" customHeight="1">
      <c r="A52" t="s" s="10">
        <v>1904</v>
      </c>
      <c r="B52" t="s" s="11">
        <v>1806</v>
      </c>
      <c r="C52" s="18">
        <v>600</v>
      </c>
      <c r="D52" s="12"/>
      <c r="E52" s="12"/>
      <c r="F52" s="12"/>
      <c r="G52" s="18">
        <v>1</v>
      </c>
      <c r="H52" t="s" s="19">
        <v>1905</v>
      </c>
      <c r="I52" s="12"/>
      <c r="J52" s="12"/>
      <c r="K52" s="12"/>
      <c r="L52" s="12"/>
      <c r="M52" s="12"/>
      <c r="N52" s="12"/>
      <c r="O52" s="12"/>
      <c r="P52" s="12"/>
    </row>
    <row r="53" ht="44.05" customHeight="1">
      <c r="A53" t="s" s="10">
        <v>1906</v>
      </c>
      <c r="B53" t="s" s="11">
        <v>1806</v>
      </c>
      <c r="C53" s="18">
        <v>500</v>
      </c>
      <c r="D53" s="12"/>
      <c r="E53" s="12"/>
      <c r="F53" s="12"/>
      <c r="G53" s="18">
        <v>2</v>
      </c>
      <c r="H53" t="s" s="19">
        <v>1907</v>
      </c>
      <c r="I53" s="12"/>
      <c r="J53" s="12"/>
      <c r="K53" s="12"/>
      <c r="L53" s="12"/>
      <c r="M53" s="12"/>
      <c r="N53" s="12"/>
      <c r="O53" s="12"/>
      <c r="P53" s="12"/>
    </row>
    <row r="54" ht="44.05" customHeight="1">
      <c r="A54" t="s" s="10">
        <v>1908</v>
      </c>
      <c r="B54" t="s" s="11">
        <v>1806</v>
      </c>
      <c r="C54" s="18">
        <v>0</v>
      </c>
      <c r="D54" s="12"/>
      <c r="E54" s="12"/>
      <c r="F54" s="12"/>
      <c r="G54" s="18">
        <v>2</v>
      </c>
      <c r="H54" t="s" s="19">
        <v>1909</v>
      </c>
      <c r="I54" s="12"/>
      <c r="J54" s="12"/>
      <c r="K54" s="12"/>
      <c r="L54" s="12"/>
      <c r="M54" s="12"/>
      <c r="N54" s="12"/>
      <c r="O54" s="12"/>
      <c r="P54" s="12"/>
    </row>
    <row r="55" ht="32.05" customHeight="1">
      <c r="A55" t="s" s="10">
        <v>1910</v>
      </c>
      <c r="B55" t="s" s="11">
        <v>1806</v>
      </c>
      <c r="C55" s="18">
        <v>450</v>
      </c>
      <c r="D55" s="12"/>
      <c r="E55" s="12"/>
      <c r="F55" s="12"/>
      <c r="G55" s="18">
        <v>2</v>
      </c>
      <c r="H55" t="s" s="19">
        <v>1911</v>
      </c>
      <c r="I55" s="12"/>
      <c r="J55" s="12"/>
      <c r="K55" s="12"/>
      <c r="L55" s="12"/>
      <c r="M55" s="12"/>
      <c r="N55" s="12"/>
      <c r="O55" s="12"/>
      <c r="P55" s="12"/>
    </row>
    <row r="56" ht="32.05" customHeight="1">
      <c r="A56" t="s" s="10">
        <v>1912</v>
      </c>
      <c r="B56" t="s" s="11">
        <v>1806</v>
      </c>
      <c r="C56" s="18">
        <v>450</v>
      </c>
      <c r="D56" s="12"/>
      <c r="E56" s="12"/>
      <c r="F56" s="12"/>
      <c r="G56" s="18">
        <v>2</v>
      </c>
      <c r="H56" t="s" s="19">
        <v>1913</v>
      </c>
      <c r="I56" s="12"/>
      <c r="J56" s="12"/>
      <c r="K56" s="12"/>
      <c r="L56" s="12"/>
      <c r="M56" s="12"/>
      <c r="N56" s="12"/>
      <c r="O56" s="12"/>
      <c r="P56" s="12"/>
    </row>
    <row r="57" ht="44.05" customHeight="1">
      <c r="A57" t="s" s="10">
        <v>1914</v>
      </c>
      <c r="B57" t="s" s="11">
        <v>1806</v>
      </c>
      <c r="C57" s="18">
        <v>200</v>
      </c>
      <c r="D57" s="12"/>
      <c r="E57" s="12"/>
      <c r="F57" s="12"/>
      <c r="G57" s="18">
        <v>4</v>
      </c>
      <c r="H57" t="s" s="19">
        <v>1915</v>
      </c>
      <c r="I57" s="12"/>
      <c r="J57" s="12"/>
      <c r="K57" s="12"/>
      <c r="L57" s="12"/>
      <c r="M57" s="12"/>
      <c r="N57" s="12"/>
      <c r="O57" s="12"/>
      <c r="P57" s="12"/>
    </row>
    <row r="58" ht="44.05" customHeight="1">
      <c r="A58" t="s" s="10">
        <v>1916</v>
      </c>
      <c r="B58" t="s" s="11">
        <v>1806</v>
      </c>
      <c r="C58" s="18">
        <v>0</v>
      </c>
      <c r="D58" s="12"/>
      <c r="E58" s="12"/>
      <c r="F58" s="12"/>
      <c r="G58" s="18">
        <v>2</v>
      </c>
      <c r="H58" t="s" s="19">
        <v>1917</v>
      </c>
      <c r="I58" s="12"/>
      <c r="J58" s="12"/>
      <c r="K58" s="12"/>
      <c r="L58" s="12"/>
      <c r="M58" s="12"/>
      <c r="N58" s="12"/>
      <c r="O58" s="12"/>
      <c r="P58" s="12"/>
    </row>
    <row r="59" ht="56.05" customHeight="1">
      <c r="A59" t="s" s="10">
        <v>1918</v>
      </c>
      <c r="B59" t="s" s="11">
        <v>1806</v>
      </c>
      <c r="C59" s="18">
        <v>1000</v>
      </c>
      <c r="D59" s="12"/>
      <c r="E59" s="12"/>
      <c r="F59" s="12"/>
      <c r="G59" s="18">
        <v>3</v>
      </c>
      <c r="H59" t="s" s="19">
        <v>1919</v>
      </c>
      <c r="I59" s="12"/>
      <c r="J59" s="12"/>
      <c r="K59" s="12"/>
      <c r="L59" s="12"/>
      <c r="M59" s="12"/>
      <c r="N59" s="12"/>
      <c r="O59" s="12"/>
      <c r="P59" s="12"/>
    </row>
    <row r="60" ht="44.05" customHeight="1">
      <c r="A60" t="s" s="10">
        <v>1920</v>
      </c>
      <c r="B60" t="s" s="11">
        <v>1806</v>
      </c>
      <c r="C60" s="18">
        <v>800</v>
      </c>
      <c r="D60" s="12"/>
      <c r="E60" s="12"/>
      <c r="F60" s="12"/>
      <c r="G60" s="18">
        <v>2</v>
      </c>
      <c r="H60" t="s" s="19">
        <v>1921</v>
      </c>
      <c r="I60" s="12"/>
      <c r="J60" s="12"/>
      <c r="K60" s="12"/>
      <c r="L60" s="12"/>
      <c r="M60" s="12"/>
      <c r="N60" s="12"/>
      <c r="O60" s="12"/>
      <c r="P60" s="12"/>
    </row>
    <row r="61" ht="32.05" customHeight="1">
      <c r="A61" t="s" s="10">
        <v>1922</v>
      </c>
      <c r="B61" t="s" s="11">
        <v>1806</v>
      </c>
      <c r="C61" s="18">
        <v>1000</v>
      </c>
      <c r="D61" s="12"/>
      <c r="E61" s="12"/>
      <c r="F61" s="12"/>
      <c r="G61" s="18">
        <v>5</v>
      </c>
      <c r="H61" t="s" s="19">
        <v>1923</v>
      </c>
      <c r="I61" s="12"/>
      <c r="J61" s="12"/>
      <c r="K61" s="12"/>
      <c r="L61" s="12"/>
      <c r="M61" s="12"/>
      <c r="N61" s="12"/>
      <c r="O61" s="12"/>
      <c r="P61" s="12"/>
    </row>
    <row r="62" ht="56.05" customHeight="1">
      <c r="A62" t="s" s="10">
        <v>1924</v>
      </c>
      <c r="B62" t="s" s="11">
        <v>1806</v>
      </c>
      <c r="C62" s="18">
        <v>1000</v>
      </c>
      <c r="D62" s="12"/>
      <c r="E62" s="12"/>
      <c r="F62" s="12"/>
      <c r="G62" s="18">
        <v>3</v>
      </c>
      <c r="H62" t="s" s="19">
        <v>1925</v>
      </c>
      <c r="I62" s="12"/>
      <c r="J62" s="12"/>
      <c r="K62" s="12"/>
      <c r="L62" s="12"/>
      <c r="M62" s="12"/>
      <c r="N62" s="12"/>
      <c r="O62" s="12"/>
      <c r="P62" s="12"/>
    </row>
    <row r="63" ht="44.05" customHeight="1">
      <c r="A63" t="s" s="10">
        <v>1926</v>
      </c>
      <c r="B63" t="s" s="11">
        <v>1806</v>
      </c>
      <c r="C63" s="18">
        <v>1000</v>
      </c>
      <c r="D63" s="12"/>
      <c r="E63" s="12"/>
      <c r="F63" s="12"/>
      <c r="G63" s="18">
        <v>2</v>
      </c>
      <c r="H63" t="s" s="19">
        <v>1927</v>
      </c>
      <c r="I63" s="12"/>
      <c r="J63" s="12"/>
      <c r="K63" s="12"/>
      <c r="L63" s="12"/>
      <c r="M63" s="12"/>
      <c r="N63" s="12"/>
      <c r="O63" s="12"/>
      <c r="P63" s="12"/>
    </row>
    <row r="64" ht="44.05" customHeight="1">
      <c r="A64" t="s" s="10">
        <v>1928</v>
      </c>
      <c r="B64" t="s" s="11">
        <v>1806</v>
      </c>
      <c r="C64" s="18">
        <v>2000</v>
      </c>
      <c r="D64" s="12"/>
      <c r="E64" s="12"/>
      <c r="F64" s="12"/>
      <c r="G64" s="18">
        <v>4</v>
      </c>
      <c r="H64" t="s" s="19">
        <v>1929</v>
      </c>
      <c r="I64" s="12"/>
      <c r="J64" s="12"/>
      <c r="K64" s="12"/>
      <c r="L64" s="12"/>
      <c r="M64" s="12"/>
      <c r="N64" s="12"/>
      <c r="O64" s="12"/>
      <c r="P64" s="12"/>
    </row>
    <row r="65" ht="44.05" customHeight="1">
      <c r="A65" t="s" s="10">
        <v>1930</v>
      </c>
      <c r="B65" t="s" s="11">
        <v>1806</v>
      </c>
      <c r="C65" s="18">
        <v>2000</v>
      </c>
      <c r="D65" s="12"/>
      <c r="E65" s="12"/>
      <c r="F65" s="12"/>
      <c r="G65" s="18">
        <v>5</v>
      </c>
      <c r="H65" t="s" s="19">
        <v>1931</v>
      </c>
      <c r="I65" s="12"/>
      <c r="J65" s="12"/>
      <c r="K65" s="12"/>
      <c r="L65" s="12"/>
      <c r="M65" s="12"/>
      <c r="N65" s="12"/>
      <c r="O65" s="12"/>
      <c r="P65" s="12"/>
    </row>
    <row r="66" ht="44.05" customHeight="1">
      <c r="A66" t="s" s="10">
        <v>1932</v>
      </c>
      <c r="B66" t="s" s="11">
        <v>1806</v>
      </c>
      <c r="C66" s="18">
        <v>2000</v>
      </c>
      <c r="D66" s="12"/>
      <c r="E66" s="12"/>
      <c r="F66" s="12"/>
      <c r="G66" s="18">
        <v>5</v>
      </c>
      <c r="H66" t="s" s="19">
        <v>1933</v>
      </c>
      <c r="I66" s="12"/>
      <c r="J66" s="12"/>
      <c r="K66" s="12"/>
      <c r="L66" s="12"/>
      <c r="M66" s="12"/>
      <c r="N66" s="12"/>
      <c r="O66" s="12"/>
      <c r="P66" s="12"/>
    </row>
    <row r="67" ht="44.05" customHeight="1">
      <c r="A67" t="s" s="10">
        <v>1934</v>
      </c>
      <c r="B67" t="s" s="11">
        <v>1806</v>
      </c>
      <c r="C67" s="18">
        <v>2000</v>
      </c>
      <c r="D67" s="12"/>
      <c r="E67" s="12"/>
      <c r="F67" s="12"/>
      <c r="G67" s="18">
        <v>5</v>
      </c>
      <c r="H67" t="s" s="19">
        <v>1935</v>
      </c>
      <c r="I67" s="12"/>
      <c r="J67" s="12"/>
      <c r="K67" s="12"/>
      <c r="L67" s="12"/>
      <c r="M67" s="12"/>
      <c r="N67" s="12"/>
      <c r="O67" s="12"/>
      <c r="P67" s="12"/>
    </row>
    <row r="68" ht="44.05" customHeight="1">
      <c r="A68" t="s" s="10">
        <v>1936</v>
      </c>
      <c r="B68" t="s" s="11">
        <v>1806</v>
      </c>
      <c r="C68" s="18">
        <v>2000</v>
      </c>
      <c r="D68" s="12"/>
      <c r="E68" s="12"/>
      <c r="F68" s="12"/>
      <c r="G68" s="18">
        <v>5</v>
      </c>
      <c r="H68" t="s" s="19">
        <v>1937</v>
      </c>
      <c r="I68" s="12"/>
      <c r="J68" s="12"/>
      <c r="K68" s="12"/>
      <c r="L68" s="12"/>
      <c r="M68" s="12"/>
      <c r="N68" s="12"/>
      <c r="O68" s="12"/>
      <c r="P68" s="12"/>
    </row>
    <row r="69" ht="44.05" customHeight="1">
      <c r="A69" t="s" s="10">
        <v>1938</v>
      </c>
      <c r="B69" t="s" s="11">
        <v>1806</v>
      </c>
      <c r="C69" s="18">
        <v>2000</v>
      </c>
      <c r="D69" s="12"/>
      <c r="E69" s="12"/>
      <c r="F69" s="12"/>
      <c r="G69" s="18">
        <v>5</v>
      </c>
      <c r="H69" t="s" s="19">
        <v>1939</v>
      </c>
      <c r="I69" s="12"/>
      <c r="J69" s="12"/>
      <c r="K69" s="12"/>
      <c r="L69" s="12"/>
      <c r="M69" s="12"/>
      <c r="N69" s="12"/>
      <c r="O69" s="12"/>
      <c r="P69" s="12"/>
    </row>
    <row r="70" ht="44.05" customHeight="1">
      <c r="A70" t="s" s="10">
        <v>1940</v>
      </c>
      <c r="B70" t="s" s="11">
        <v>1806</v>
      </c>
      <c r="C70" s="18">
        <v>2000</v>
      </c>
      <c r="D70" s="12"/>
      <c r="E70" s="12"/>
      <c r="F70" s="12"/>
      <c r="G70" s="18">
        <v>5</v>
      </c>
      <c r="H70" t="s" s="19">
        <v>1941</v>
      </c>
      <c r="I70" s="12"/>
      <c r="J70" s="12"/>
      <c r="K70" s="12"/>
      <c r="L70" s="12"/>
      <c r="M70" s="12"/>
      <c r="N70" s="12"/>
      <c r="O70" s="12"/>
      <c r="P70" s="12"/>
    </row>
    <row r="71" ht="20.05" customHeight="1">
      <c r="A71" t="s" s="10">
        <v>1942</v>
      </c>
      <c r="B71" t="s" s="11">
        <v>1806</v>
      </c>
      <c r="C71" s="18">
        <v>1200</v>
      </c>
      <c r="D71" s="12"/>
      <c r="E71" s="12"/>
      <c r="F71" s="12"/>
      <c r="G71" s="18">
        <v>4</v>
      </c>
      <c r="H71" t="s" s="19">
        <v>1943</v>
      </c>
      <c r="I71" s="12"/>
      <c r="J71" s="12"/>
      <c r="K71" s="12"/>
      <c r="L71" s="12"/>
      <c r="M71" s="12"/>
      <c r="N71" s="12"/>
      <c r="O71" s="12"/>
      <c r="P71" s="12"/>
    </row>
    <row r="72" ht="44.05" customHeight="1">
      <c r="A72" t="s" s="10">
        <v>1944</v>
      </c>
      <c r="B72" t="s" s="11">
        <v>1806</v>
      </c>
      <c r="C72" s="18">
        <v>2000</v>
      </c>
      <c r="D72" s="12"/>
      <c r="E72" s="12"/>
      <c r="F72" s="12"/>
      <c r="G72" s="18">
        <v>3</v>
      </c>
      <c r="H72" t="s" s="19">
        <v>1945</v>
      </c>
      <c r="I72" s="12"/>
      <c r="J72" s="12"/>
      <c r="K72" s="12"/>
      <c r="L72" s="12"/>
      <c r="M72" s="12"/>
      <c r="N72" s="12"/>
      <c r="O72" s="12"/>
      <c r="P72" s="12"/>
    </row>
    <row r="73" ht="32.05" customHeight="1">
      <c r="A73" t="s" s="10">
        <v>1946</v>
      </c>
      <c r="B73" t="s" s="11">
        <v>1806</v>
      </c>
      <c r="C73" s="18">
        <v>1000</v>
      </c>
      <c r="D73" s="12"/>
      <c r="E73" s="12"/>
      <c r="F73" s="12"/>
      <c r="G73" s="18">
        <v>3</v>
      </c>
      <c r="H73" t="s" s="19">
        <v>1947</v>
      </c>
      <c r="I73" s="12"/>
      <c r="J73" s="12"/>
      <c r="K73" s="12"/>
      <c r="L73" s="12"/>
      <c r="M73" s="12"/>
      <c r="N73" s="12"/>
      <c r="O73" s="12"/>
      <c r="P73" s="12"/>
    </row>
    <row r="74" ht="32.05" customHeight="1">
      <c r="A74" t="s" s="10">
        <v>1948</v>
      </c>
      <c r="B74" t="s" s="11">
        <v>1806</v>
      </c>
      <c r="C74" s="18">
        <v>500</v>
      </c>
      <c r="D74" s="12"/>
      <c r="E74" s="12"/>
      <c r="F74" s="12"/>
      <c r="G74" s="18">
        <v>2</v>
      </c>
      <c r="H74" t="s" s="19">
        <v>1949</v>
      </c>
      <c r="I74" s="12"/>
      <c r="J74" s="12"/>
      <c r="K74" s="12"/>
      <c r="L74" s="12"/>
      <c r="M74" s="12"/>
      <c r="N74" s="12"/>
      <c r="O74" s="12"/>
      <c r="P74" s="12"/>
    </row>
    <row r="75" ht="32.05" customHeight="1">
      <c r="A75" t="s" s="10">
        <v>1950</v>
      </c>
      <c r="B75" t="s" s="11">
        <v>1806</v>
      </c>
      <c r="C75" s="18">
        <v>250</v>
      </c>
      <c r="D75" s="12"/>
      <c r="E75" s="12"/>
      <c r="F75" s="12"/>
      <c r="G75" s="18">
        <v>1</v>
      </c>
      <c r="H75" t="s" s="19">
        <v>1951</v>
      </c>
      <c r="I75" s="12"/>
      <c r="J75" s="12"/>
      <c r="K75" s="12"/>
      <c r="L75" s="12"/>
      <c r="M75" s="12"/>
      <c r="N75" s="12"/>
      <c r="O75" s="12"/>
      <c r="P75" s="12"/>
    </row>
    <row r="76" ht="56.05" customHeight="1">
      <c r="A76" t="s" s="10">
        <v>1952</v>
      </c>
      <c r="B76" t="s" s="11">
        <v>1806</v>
      </c>
      <c r="C76" s="18">
        <v>1500</v>
      </c>
      <c r="D76" s="12"/>
      <c r="E76" s="12"/>
      <c r="F76" s="12"/>
      <c r="G76" s="18">
        <v>4</v>
      </c>
      <c r="H76" t="s" s="19">
        <v>1953</v>
      </c>
      <c r="I76" s="12"/>
      <c r="J76" s="12"/>
      <c r="K76" s="12"/>
      <c r="L76" s="12"/>
      <c r="M76" s="12"/>
      <c r="N76" s="12"/>
      <c r="O76" s="12"/>
      <c r="P76" s="12"/>
    </row>
    <row r="77" ht="32.05" customHeight="1">
      <c r="A77" t="s" s="10">
        <v>1954</v>
      </c>
      <c r="B77" t="s" s="11">
        <v>1806</v>
      </c>
      <c r="C77" s="18">
        <v>1000</v>
      </c>
      <c r="D77" s="12"/>
      <c r="E77" s="12"/>
      <c r="F77" s="12"/>
      <c r="G77" s="18">
        <v>3</v>
      </c>
      <c r="H77" t="s" s="19">
        <v>1955</v>
      </c>
      <c r="I77" s="12"/>
      <c r="J77" s="12"/>
      <c r="K77" s="12"/>
      <c r="L77" s="12"/>
      <c r="M77" s="12"/>
      <c r="N77" s="12"/>
      <c r="O77" s="12"/>
      <c r="P77" s="12"/>
    </row>
    <row r="78" ht="44.05" customHeight="1">
      <c r="A78" t="s" s="10">
        <v>1956</v>
      </c>
      <c r="B78" t="s" s="11">
        <v>1806</v>
      </c>
      <c r="C78" s="18">
        <v>800</v>
      </c>
      <c r="D78" s="12"/>
      <c r="E78" s="12"/>
      <c r="F78" s="12"/>
      <c r="G78" s="18">
        <v>2</v>
      </c>
      <c r="H78" t="s" s="19">
        <v>1957</v>
      </c>
      <c r="I78" s="12"/>
      <c r="J78" s="12"/>
      <c r="K78" s="12"/>
      <c r="L78" s="12"/>
      <c r="M78" s="12"/>
      <c r="N78" s="12"/>
      <c r="O78" s="12"/>
      <c r="P78" s="12"/>
    </row>
    <row r="79" ht="20.05" customHeight="1">
      <c r="A79" t="s" s="10">
        <v>1958</v>
      </c>
      <c r="B79" t="s" s="11">
        <v>1806</v>
      </c>
      <c r="C79" s="18">
        <v>200</v>
      </c>
      <c r="D79" s="12"/>
      <c r="E79" s="12"/>
      <c r="F79" s="12"/>
      <c r="G79" s="18">
        <v>2</v>
      </c>
      <c r="H79" t="s" s="19">
        <v>1959</v>
      </c>
      <c r="I79" s="12"/>
      <c r="J79" s="12"/>
      <c r="K79" s="12"/>
      <c r="L79" s="12"/>
      <c r="M79" s="12"/>
      <c r="N79" s="12"/>
      <c r="O79" s="12"/>
      <c r="P79" s="12"/>
    </row>
    <row r="80" ht="32.05" customHeight="1">
      <c r="A80" t="s" s="10">
        <v>1960</v>
      </c>
      <c r="B80" t="s" s="11">
        <v>1806</v>
      </c>
      <c r="C80" s="18">
        <v>1500</v>
      </c>
      <c r="D80" s="12"/>
      <c r="E80" s="12"/>
      <c r="F80" s="12"/>
      <c r="G80" s="18">
        <v>3</v>
      </c>
      <c r="H80" t="s" s="19">
        <v>1961</v>
      </c>
      <c r="I80" s="12"/>
      <c r="J80" s="12"/>
      <c r="K80" s="12"/>
      <c r="L80" s="12"/>
      <c r="M80" s="12"/>
      <c r="N80" s="12"/>
      <c r="O80" s="12"/>
      <c r="P80" s="12"/>
    </row>
    <row r="81" ht="44.05" customHeight="1">
      <c r="A81" t="s" s="10">
        <v>1962</v>
      </c>
      <c r="B81" t="s" s="11">
        <v>1806</v>
      </c>
      <c r="C81" s="18">
        <v>500</v>
      </c>
      <c r="D81" s="12"/>
      <c r="E81" s="12"/>
      <c r="F81" s="12"/>
      <c r="G81" s="18">
        <v>5</v>
      </c>
      <c r="H81" t="s" s="19">
        <v>1963</v>
      </c>
      <c r="I81" s="12"/>
      <c r="J81" s="12"/>
      <c r="K81" s="12"/>
      <c r="L81" s="12"/>
      <c r="M81" s="12"/>
      <c r="N81" s="12"/>
      <c r="O81" s="12"/>
      <c r="P81" s="12"/>
    </row>
    <row r="82" ht="56.05" customHeight="1">
      <c r="A82" t="s" s="10">
        <v>1964</v>
      </c>
      <c r="B82" t="s" s="11">
        <v>1806</v>
      </c>
      <c r="C82" s="18">
        <v>1000</v>
      </c>
      <c r="D82" s="12"/>
      <c r="E82" s="12"/>
      <c r="F82" s="12"/>
      <c r="G82" s="18">
        <v>2</v>
      </c>
      <c r="H82" t="s" s="19">
        <v>1965</v>
      </c>
      <c r="I82" s="12"/>
      <c r="J82" t="s" s="19">
        <v>1966</v>
      </c>
      <c r="K82" s="12"/>
      <c r="L82" s="12"/>
      <c r="M82" s="12"/>
      <c r="N82" s="12"/>
      <c r="O82" s="12"/>
      <c r="P82" s="12"/>
    </row>
    <row r="83" ht="32.05" customHeight="1">
      <c r="A83" t="s" s="10">
        <v>1967</v>
      </c>
      <c r="B83" t="s" s="11">
        <v>1806</v>
      </c>
      <c r="C83" s="18">
        <v>1500</v>
      </c>
      <c r="D83" s="12"/>
      <c r="E83" s="12"/>
      <c r="F83" s="12"/>
      <c r="G83" s="18">
        <v>4</v>
      </c>
      <c r="H83" t="s" s="19">
        <v>1968</v>
      </c>
      <c r="I83" s="12"/>
      <c r="J83" s="12"/>
      <c r="K83" s="12"/>
      <c r="L83" s="12"/>
      <c r="M83" s="12"/>
      <c r="N83" s="12"/>
      <c r="O83" s="12"/>
      <c r="P83" s="12"/>
    </row>
    <row r="84" ht="44.05" customHeight="1">
      <c r="A84" t="s" s="10">
        <v>1969</v>
      </c>
      <c r="B84" t="s" s="11">
        <v>1806</v>
      </c>
      <c r="C84" s="18">
        <v>300</v>
      </c>
      <c r="D84" s="12"/>
      <c r="E84" s="12"/>
      <c r="F84" s="12"/>
      <c r="G84" s="18">
        <v>1</v>
      </c>
      <c r="H84" t="s" s="19">
        <v>1970</v>
      </c>
      <c r="I84" s="12"/>
      <c r="J84" s="12"/>
      <c r="K84" s="12"/>
      <c r="L84" s="12"/>
      <c r="M84" s="12"/>
      <c r="N84" s="12"/>
      <c r="O84" s="12"/>
      <c r="P84" s="12"/>
    </row>
    <row r="85" ht="56.05" customHeight="1">
      <c r="A85" t="s" s="10">
        <v>1971</v>
      </c>
      <c r="B85" t="s" s="11">
        <v>1806</v>
      </c>
      <c r="C85" s="18">
        <v>200</v>
      </c>
      <c r="D85" s="12"/>
      <c r="E85" s="12"/>
      <c r="F85" s="12"/>
      <c r="G85" s="18">
        <v>1</v>
      </c>
      <c r="H85" t="s" s="19">
        <v>1972</v>
      </c>
      <c r="I85" s="12"/>
      <c r="J85" s="12"/>
      <c r="K85" s="12"/>
      <c r="L85" s="12"/>
      <c r="M85" s="12"/>
      <c r="N85" s="12"/>
      <c r="O85" s="12"/>
      <c r="P85" s="12"/>
    </row>
    <row r="86" ht="44.05" customHeight="1">
      <c r="A86" t="s" s="10">
        <v>1973</v>
      </c>
      <c r="B86" t="s" s="11">
        <v>1806</v>
      </c>
      <c r="C86" s="18">
        <v>0</v>
      </c>
      <c r="D86" s="12"/>
      <c r="E86" s="12"/>
      <c r="F86" s="12"/>
      <c r="G86" s="18">
        <v>1</v>
      </c>
      <c r="H86" t="s" s="19">
        <v>1974</v>
      </c>
      <c r="I86" s="12"/>
      <c r="J86" s="12"/>
      <c r="K86" s="12"/>
      <c r="L86" s="12"/>
      <c r="M86" s="12"/>
      <c r="N86" s="12"/>
      <c r="O86" s="12"/>
      <c r="P86" s="12"/>
    </row>
    <row r="87" ht="32.05" customHeight="1">
      <c r="A87" t="s" s="10">
        <v>1975</v>
      </c>
      <c r="B87" t="s" s="11">
        <v>1806</v>
      </c>
      <c r="C87" s="18">
        <v>0</v>
      </c>
      <c r="D87" s="12"/>
      <c r="E87" s="12"/>
      <c r="F87" s="12"/>
      <c r="G87" s="18">
        <v>1</v>
      </c>
      <c r="H87" t="s" s="19">
        <v>1976</v>
      </c>
      <c r="I87" s="12"/>
      <c r="J87" s="12"/>
      <c r="K87" s="12"/>
      <c r="L87" s="12"/>
      <c r="M87" s="12"/>
      <c r="N87" s="12"/>
      <c r="O87" s="12"/>
      <c r="P87" s="12"/>
    </row>
    <row r="88" ht="44.05" customHeight="1">
      <c r="A88" t="s" s="10">
        <v>1977</v>
      </c>
      <c r="B88" t="s" s="11">
        <v>1806</v>
      </c>
      <c r="C88" s="18">
        <v>500</v>
      </c>
      <c r="D88" s="12"/>
      <c r="E88" s="12"/>
      <c r="F88" s="12"/>
      <c r="G88" s="18">
        <v>1</v>
      </c>
      <c r="H88" t="s" s="19">
        <v>1978</v>
      </c>
      <c r="I88" s="12"/>
      <c r="J88" s="12"/>
      <c r="K88" s="12"/>
      <c r="L88" s="12"/>
      <c r="M88" s="12"/>
      <c r="N88" s="12"/>
      <c r="O88" s="12"/>
      <c r="P88" s="12"/>
    </row>
    <row r="89" ht="32.05" customHeight="1">
      <c r="A89" t="s" s="10">
        <v>1979</v>
      </c>
      <c r="B89" t="s" s="11">
        <v>1806</v>
      </c>
      <c r="C89" s="18">
        <v>0</v>
      </c>
      <c r="D89" s="12"/>
      <c r="E89" s="12"/>
      <c r="F89" s="12"/>
      <c r="G89" s="18">
        <v>1</v>
      </c>
      <c r="H89" t="s" s="19">
        <v>1980</v>
      </c>
      <c r="I89" s="12"/>
      <c r="J89" s="12"/>
      <c r="K89" s="12"/>
      <c r="L89" s="12"/>
      <c r="M89" s="12"/>
      <c r="N89" s="12"/>
      <c r="O89" s="12"/>
      <c r="P89" s="12"/>
    </row>
    <row r="90" ht="44.05" customHeight="1">
      <c r="A90" t="s" s="10">
        <v>1981</v>
      </c>
      <c r="B90" t="s" s="11">
        <v>1806</v>
      </c>
      <c r="C90" s="18">
        <v>500</v>
      </c>
      <c r="D90" s="12"/>
      <c r="E90" s="12"/>
      <c r="F90" s="12"/>
      <c r="G90" s="18">
        <v>2</v>
      </c>
      <c r="H90" t="s" s="19">
        <v>1982</v>
      </c>
      <c r="I90" s="12"/>
      <c r="J90" s="12"/>
      <c r="K90" s="12"/>
      <c r="L90" s="12"/>
      <c r="M90" s="12"/>
      <c r="N90" s="12"/>
      <c r="O90" s="12"/>
      <c r="P90" s="12"/>
    </row>
    <row r="91" ht="44.05" customHeight="1">
      <c r="A91" t="s" s="10">
        <v>1983</v>
      </c>
      <c r="B91" t="s" s="11">
        <v>1806</v>
      </c>
      <c r="C91" s="18">
        <v>0</v>
      </c>
      <c r="D91" s="12"/>
      <c r="E91" s="12"/>
      <c r="F91" s="12"/>
      <c r="G91" s="18">
        <v>2</v>
      </c>
      <c r="H91" t="s" s="19">
        <v>1984</v>
      </c>
      <c r="I91" s="12"/>
      <c r="J91" s="12"/>
      <c r="K91" s="12"/>
      <c r="L91" s="12"/>
      <c r="M91" s="12"/>
      <c r="N91" s="12"/>
      <c r="O91" s="12"/>
      <c r="P91" s="12"/>
    </row>
    <row r="92" ht="44.05" customHeight="1">
      <c r="A92" t="s" s="10">
        <v>1985</v>
      </c>
      <c r="B92" t="s" s="11">
        <v>1806</v>
      </c>
      <c r="C92" s="18">
        <v>600</v>
      </c>
      <c r="D92" s="12"/>
      <c r="E92" s="12"/>
      <c r="F92" s="12"/>
      <c r="G92" s="18">
        <v>2</v>
      </c>
      <c r="H92" t="s" s="19">
        <v>1986</v>
      </c>
      <c r="I92" s="12"/>
      <c r="J92" s="12"/>
      <c r="K92" s="12"/>
      <c r="L92" s="12"/>
      <c r="M92" s="12"/>
      <c r="N92" s="12"/>
      <c r="O92" s="12"/>
      <c r="P92" s="12"/>
    </row>
    <row r="93" ht="56.05" customHeight="1">
      <c r="A93" t="s" s="10">
        <v>1987</v>
      </c>
      <c r="B93" t="s" s="11">
        <v>1806</v>
      </c>
      <c r="C93" s="18">
        <v>500</v>
      </c>
      <c r="D93" s="12"/>
      <c r="E93" s="12"/>
      <c r="F93" s="12"/>
      <c r="G93" s="18">
        <v>2</v>
      </c>
      <c r="H93" t="s" s="19">
        <v>1988</v>
      </c>
      <c r="I93" s="12"/>
      <c r="J93" s="12"/>
      <c r="K93" s="12"/>
      <c r="L93" s="12"/>
      <c r="M93" s="12"/>
      <c r="N93" s="12"/>
      <c r="O93" s="12"/>
      <c r="P93" s="12"/>
    </row>
    <row r="94" ht="44.05" customHeight="1">
      <c r="A94" t="s" s="10">
        <v>1989</v>
      </c>
      <c r="B94" t="s" s="11">
        <v>1806</v>
      </c>
      <c r="C94" s="18">
        <v>2000</v>
      </c>
      <c r="D94" s="12"/>
      <c r="E94" s="12"/>
      <c r="F94" s="12"/>
      <c r="G94" s="18">
        <v>4</v>
      </c>
      <c r="H94" t="s" s="19">
        <v>1990</v>
      </c>
      <c r="I94" s="12"/>
      <c r="J94" t="s" s="19">
        <v>35</v>
      </c>
      <c r="K94" s="12"/>
      <c r="L94" s="12"/>
      <c r="M94" s="12"/>
      <c r="N94" s="12"/>
      <c r="O94" s="12"/>
      <c r="P94" s="12"/>
    </row>
    <row r="95" ht="32.05" customHeight="1">
      <c r="A95" t="s" s="10">
        <v>1991</v>
      </c>
      <c r="B95" t="s" s="11">
        <v>1806</v>
      </c>
      <c r="C95" s="18">
        <v>1500</v>
      </c>
      <c r="D95" s="12"/>
      <c r="E95" s="12"/>
      <c r="F95" s="12"/>
      <c r="G95" s="18">
        <v>4</v>
      </c>
      <c r="H95" t="s" s="19">
        <v>1992</v>
      </c>
      <c r="I95" s="12"/>
      <c r="J95" s="12"/>
      <c r="K95" s="12"/>
      <c r="L95" s="12"/>
      <c r="M95" s="12"/>
      <c r="N95" s="12"/>
      <c r="O95" s="12"/>
      <c r="P95" s="12"/>
    </row>
    <row r="96" ht="32.05" customHeight="1">
      <c r="A96" t="s" s="10">
        <v>1993</v>
      </c>
      <c r="B96" t="s" s="11">
        <v>1806</v>
      </c>
      <c r="C96" s="18">
        <v>0</v>
      </c>
      <c r="D96" s="12"/>
      <c r="E96" s="12"/>
      <c r="F96" s="12"/>
      <c r="G96" s="18">
        <v>1</v>
      </c>
      <c r="H96" t="s" s="19">
        <v>1994</v>
      </c>
      <c r="I96" s="12"/>
      <c r="J96" s="12"/>
      <c r="K96" s="12"/>
      <c r="L96" s="12"/>
      <c r="M96" s="12"/>
      <c r="N96" s="12"/>
      <c r="O96" s="12"/>
      <c r="P96" s="12"/>
    </row>
    <row r="97" ht="68.05" customHeight="1">
      <c r="A97" t="s" s="10">
        <v>1995</v>
      </c>
      <c r="B97" t="s" s="11">
        <v>1806</v>
      </c>
      <c r="C97" s="18">
        <v>2000</v>
      </c>
      <c r="D97" s="12"/>
      <c r="E97" s="12"/>
      <c r="F97" s="12"/>
      <c r="G97" s="18">
        <v>3</v>
      </c>
      <c r="H97" t="s" s="19">
        <v>1996</v>
      </c>
      <c r="I97" s="12"/>
      <c r="J97" s="12"/>
      <c r="K97" s="12"/>
      <c r="L97" s="12"/>
      <c r="M97" s="12"/>
      <c r="N97" s="12"/>
      <c r="O97" s="12"/>
      <c r="P97" s="12"/>
    </row>
    <row r="98" ht="44.05" customHeight="1">
      <c r="A98" t="s" s="10">
        <v>1997</v>
      </c>
      <c r="B98" t="s" s="11">
        <v>1806</v>
      </c>
      <c r="C98" s="18">
        <v>300</v>
      </c>
      <c r="D98" s="12"/>
      <c r="E98" s="12"/>
      <c r="F98" s="12"/>
      <c r="G98" s="12"/>
      <c r="H98" t="s" s="19">
        <v>1998</v>
      </c>
      <c r="I98" s="12"/>
      <c r="J98" s="12"/>
      <c r="K98" s="12"/>
      <c r="L98" s="12"/>
      <c r="M98" s="12"/>
      <c r="N98" s="12"/>
      <c r="O98" s="12"/>
      <c r="P98" s="12"/>
    </row>
    <row r="99" ht="56.05" customHeight="1">
      <c r="A99" t="s" s="10">
        <v>1999</v>
      </c>
      <c r="B99" t="s" s="11">
        <v>1806</v>
      </c>
      <c r="C99" s="18">
        <v>800</v>
      </c>
      <c r="D99" s="12"/>
      <c r="E99" s="12"/>
      <c r="F99" s="12"/>
      <c r="G99" s="12"/>
      <c r="H99" t="s" s="19">
        <v>2000</v>
      </c>
      <c r="I99" s="12"/>
      <c r="J99" s="12"/>
      <c r="K99" s="12"/>
      <c r="L99" s="12"/>
      <c r="M99" s="12"/>
      <c r="N99" s="12"/>
      <c r="O99" s="12"/>
      <c r="P99" s="12"/>
    </row>
    <row r="100" ht="56.05" customHeight="1">
      <c r="A100" t="s" s="10">
        <v>2001</v>
      </c>
      <c r="B100" t="s" s="11">
        <v>1806</v>
      </c>
      <c r="C100" s="18">
        <v>600</v>
      </c>
      <c r="D100" s="12"/>
      <c r="E100" s="12"/>
      <c r="F100" s="12"/>
      <c r="G100" s="12"/>
      <c r="H100" t="s" s="19">
        <v>2002</v>
      </c>
      <c r="I100" s="12"/>
      <c r="J100" s="12"/>
      <c r="K100" s="12"/>
      <c r="L100" s="12"/>
      <c r="M100" s="12"/>
      <c r="N100" s="12"/>
      <c r="O100" s="12"/>
      <c r="P100" s="12"/>
    </row>
    <row r="101" ht="56.05" customHeight="1">
      <c r="A101" t="s" s="10">
        <v>2003</v>
      </c>
      <c r="B101" t="s" s="11">
        <v>1806</v>
      </c>
      <c r="C101" s="18">
        <v>300</v>
      </c>
      <c r="D101" s="12"/>
      <c r="E101" s="12"/>
      <c r="F101" s="12"/>
      <c r="G101" s="12"/>
      <c r="H101" t="s" s="19">
        <v>2004</v>
      </c>
      <c r="I101" s="12"/>
      <c r="J101" s="12"/>
      <c r="K101" s="12"/>
      <c r="L101" s="12"/>
      <c r="M101" s="12"/>
      <c r="N101" s="12"/>
      <c r="O101" s="12"/>
      <c r="P101" s="12"/>
    </row>
    <row r="102" ht="32.05" customHeight="1">
      <c r="A102" t="s" s="10">
        <v>2005</v>
      </c>
      <c r="B102" t="s" s="11">
        <v>1806</v>
      </c>
      <c r="C102" s="18">
        <v>500</v>
      </c>
      <c r="D102" s="12"/>
      <c r="E102" s="12"/>
      <c r="F102" s="12"/>
      <c r="G102" s="12"/>
      <c r="H102" t="s" s="19">
        <v>2006</v>
      </c>
      <c r="I102" s="12"/>
      <c r="J102" s="12"/>
      <c r="K102" s="12"/>
      <c r="L102" s="12"/>
      <c r="M102" s="12"/>
      <c r="N102" s="12"/>
      <c r="O102" s="12"/>
      <c r="P102" s="12"/>
    </row>
    <row r="103" ht="44.05" customHeight="1">
      <c r="A103" t="s" s="10">
        <v>2007</v>
      </c>
      <c r="B103" t="s" s="11">
        <v>1806</v>
      </c>
      <c r="C103" s="18">
        <v>1000</v>
      </c>
      <c r="D103" s="12"/>
      <c r="E103" s="12"/>
      <c r="F103" s="12"/>
      <c r="G103" s="12"/>
      <c r="H103" t="s" s="19">
        <v>2008</v>
      </c>
      <c r="I103" s="12"/>
      <c r="J103" s="12"/>
      <c r="K103" s="12"/>
      <c r="L103" s="12"/>
      <c r="M103" s="12"/>
      <c r="N103" s="12"/>
      <c r="O103" s="12"/>
      <c r="P103" s="12"/>
    </row>
    <row r="104" ht="26.7" customHeight="1">
      <c r="A104" t="s" s="10">
        <v>2009</v>
      </c>
      <c r="B104" t="s" s="11">
        <v>1806</v>
      </c>
      <c r="C104" s="18">
        <v>1000</v>
      </c>
      <c r="D104" s="12"/>
      <c r="E104" s="12"/>
      <c r="F104" s="12"/>
      <c r="G104" s="12"/>
      <c r="H104" t="s" s="19">
        <v>2010</v>
      </c>
      <c r="I104" s="12"/>
      <c r="J104" s="12"/>
      <c r="K104" s="12"/>
      <c r="L104" t="s" s="19">
        <v>35</v>
      </c>
      <c r="M104" s="12"/>
      <c r="N104" s="12"/>
      <c r="O104" s="12"/>
      <c r="P104" t="s" s="19">
        <v>35</v>
      </c>
    </row>
    <row r="105" ht="20.05" customHeight="1">
      <c r="A105" t="s" s="10">
        <v>2011</v>
      </c>
      <c r="B105" t="s" s="11">
        <v>1806</v>
      </c>
      <c r="C105" s="18">
        <v>1500</v>
      </c>
      <c r="D105" s="12"/>
      <c r="E105" s="12"/>
      <c r="F105" s="12"/>
      <c r="G105" s="12"/>
      <c r="H105" t="s" s="19">
        <v>2012</v>
      </c>
      <c r="I105" s="12"/>
      <c r="J105" s="12"/>
      <c r="K105" s="12"/>
      <c r="L105" s="12"/>
      <c r="M105" s="12"/>
      <c r="N105" s="12"/>
      <c r="O105" s="12"/>
      <c r="P105" s="12"/>
    </row>
    <row r="106" ht="44.55" customHeight="1">
      <c r="A106" t="s" s="10">
        <v>2013</v>
      </c>
      <c r="B106" t="s" s="11">
        <v>1806</v>
      </c>
      <c r="C106" s="18">
        <v>800</v>
      </c>
      <c r="D106" s="12"/>
      <c r="E106" s="12"/>
      <c r="F106" s="12"/>
      <c r="G106" s="12"/>
      <c r="H106" t="s" s="19">
        <v>2014</v>
      </c>
      <c r="I106" s="12"/>
      <c r="J106" s="12"/>
      <c r="K106" s="12"/>
      <c r="L106" s="12"/>
      <c r="M106" s="12"/>
      <c r="N106" s="12"/>
      <c r="O106" s="12"/>
      <c r="P106" s="12"/>
    </row>
    <row r="107" ht="40.1" customHeight="1">
      <c r="A107" t="s" s="10">
        <v>2015</v>
      </c>
      <c r="B107" t="s" s="11">
        <v>1806</v>
      </c>
      <c r="C107" s="18">
        <v>0</v>
      </c>
      <c r="D107" s="12"/>
      <c r="E107" s="12"/>
      <c r="F107" s="12"/>
      <c r="G107" s="18">
        <v>2</v>
      </c>
      <c r="H107" t="s" s="19">
        <v>2016</v>
      </c>
      <c r="I107" s="12"/>
      <c r="J107" s="12"/>
      <c r="K107" s="12"/>
      <c r="L107" s="12"/>
      <c r="M107" s="12"/>
      <c r="N107" s="12"/>
      <c r="O107" s="12"/>
      <c r="P107" s="12"/>
    </row>
    <row r="108" ht="20.05" customHeight="1">
      <c r="A108" t="s" s="10">
        <v>2017</v>
      </c>
      <c r="B108" t="s" s="11">
        <v>1806</v>
      </c>
      <c r="C108" s="18">
        <v>0</v>
      </c>
      <c r="D108" s="12"/>
      <c r="E108" s="12"/>
      <c r="F108" s="12"/>
      <c r="G108" s="18">
        <v>2</v>
      </c>
      <c r="H108" t="s" s="19">
        <v>2018</v>
      </c>
      <c r="I108" s="12"/>
      <c r="J108" s="12"/>
      <c r="K108" s="12"/>
      <c r="L108" s="12"/>
      <c r="M108" s="12"/>
      <c r="N108" s="12"/>
      <c r="O108" s="12"/>
      <c r="P108" s="12"/>
    </row>
    <row r="109" ht="20.05" customHeight="1">
      <c r="A109" t="s" s="10">
        <v>2019</v>
      </c>
      <c r="B109" t="s" s="11">
        <v>1806</v>
      </c>
      <c r="C109" s="18">
        <v>0</v>
      </c>
      <c r="D109" s="12"/>
      <c r="E109" s="12"/>
      <c r="F109" s="12"/>
      <c r="G109" s="18">
        <v>5</v>
      </c>
      <c r="H109" t="s" s="19">
        <v>2020</v>
      </c>
      <c r="I109" s="12"/>
      <c r="J109" s="12"/>
      <c r="K109" s="12"/>
      <c r="L109" s="12"/>
      <c r="M109" s="12"/>
      <c r="N109" s="12"/>
      <c r="O109" s="12"/>
      <c r="P109" s="12"/>
    </row>
    <row r="110" ht="50.7" customHeight="1">
      <c r="A110" t="s" s="10">
        <v>2021</v>
      </c>
      <c r="B110" t="s" s="11">
        <v>1806</v>
      </c>
      <c r="C110" s="18">
        <v>0</v>
      </c>
      <c r="D110" s="12"/>
      <c r="E110" s="12"/>
      <c r="F110" s="12"/>
      <c r="G110" s="18">
        <v>3</v>
      </c>
      <c r="H110" t="s" s="19">
        <v>2022</v>
      </c>
      <c r="I110" s="12"/>
      <c r="J110" s="12"/>
      <c r="K110" s="12"/>
      <c r="L110" s="12"/>
      <c r="M110" s="12"/>
      <c r="N110" s="12"/>
      <c r="O110" s="12"/>
      <c r="P110" s="12"/>
    </row>
    <row r="111" ht="41.6" customHeight="1">
      <c r="A111" t="s" s="10">
        <v>2023</v>
      </c>
      <c r="B111" t="s" s="11">
        <v>1806</v>
      </c>
      <c r="C111" s="18">
        <v>0</v>
      </c>
      <c r="D111" s="12"/>
      <c r="E111" s="12"/>
      <c r="F111" s="12"/>
      <c r="G111" s="12"/>
      <c r="H111" t="s" s="19">
        <v>2024</v>
      </c>
      <c r="I111" s="12"/>
      <c r="J111" s="12"/>
      <c r="K111" s="12"/>
      <c r="L111" s="12"/>
      <c r="M111" s="12"/>
      <c r="N111" s="12"/>
      <c r="O111" s="12"/>
      <c r="P111" s="12"/>
    </row>
    <row r="112" ht="38.7" customHeight="1">
      <c r="A112" t="s" s="10">
        <v>2025</v>
      </c>
      <c r="B112" t="s" s="11">
        <v>1806</v>
      </c>
      <c r="C112" s="18">
        <v>500</v>
      </c>
      <c r="D112" s="12"/>
      <c r="E112" s="12"/>
      <c r="F112" s="12"/>
      <c r="G112" s="12"/>
      <c r="H112" t="s" s="19">
        <v>2026</v>
      </c>
      <c r="I112" s="12"/>
      <c r="J112" s="12"/>
      <c r="K112" s="12"/>
      <c r="L112" s="12"/>
      <c r="M112" s="12"/>
      <c r="N112" s="12"/>
      <c r="O112" s="12"/>
      <c r="P112" s="12"/>
    </row>
    <row r="113" ht="38.7" customHeight="1">
      <c r="A113" t="s" s="10">
        <v>2027</v>
      </c>
      <c r="B113" t="s" s="11">
        <v>1806</v>
      </c>
      <c r="C113" s="18">
        <v>500</v>
      </c>
      <c r="D113" s="12"/>
      <c r="E113" s="12"/>
      <c r="F113" s="12"/>
      <c r="G113" s="12"/>
      <c r="H113" t="s" s="19">
        <v>2028</v>
      </c>
      <c r="I113" s="12"/>
      <c r="J113" s="12"/>
      <c r="K113" s="12"/>
      <c r="L113" s="12"/>
      <c r="M113" s="12"/>
      <c r="N113" s="12"/>
      <c r="O113" s="12"/>
      <c r="P113" s="12"/>
    </row>
    <row r="114" ht="32.6" customHeight="1">
      <c r="A114" t="s" s="10">
        <v>2029</v>
      </c>
      <c r="B114" t="s" s="11">
        <v>1806</v>
      </c>
      <c r="C114" s="18">
        <v>500</v>
      </c>
      <c r="D114" s="12"/>
      <c r="E114" s="12"/>
      <c r="F114" s="12"/>
      <c r="G114" s="12"/>
      <c r="H114" t="s" s="19">
        <v>2030</v>
      </c>
      <c r="I114" s="12"/>
      <c r="J114" s="12"/>
      <c r="K114" s="12"/>
      <c r="L114" s="12"/>
      <c r="M114" s="12"/>
      <c r="N114" s="12"/>
      <c r="O114" s="12"/>
      <c r="P114" s="12"/>
    </row>
    <row r="115" ht="20.05" customHeight="1">
      <c r="A115" t="s" s="10">
        <v>2031</v>
      </c>
      <c r="B115" t="s" s="11">
        <v>1806</v>
      </c>
      <c r="C115" s="18">
        <v>300</v>
      </c>
      <c r="D115" s="12"/>
      <c r="E115" s="12"/>
      <c r="F115" s="12"/>
      <c r="G115" s="12"/>
      <c r="H115" t="s" s="19">
        <v>2032</v>
      </c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t="s" s="10">
        <v>2033</v>
      </c>
      <c r="B116" t="s" s="11">
        <v>1806</v>
      </c>
      <c r="C116" s="18">
        <v>500</v>
      </c>
      <c r="D116" s="12"/>
      <c r="E116" s="12"/>
      <c r="F116" s="12"/>
      <c r="G116" s="12"/>
      <c r="H116" t="s" s="19">
        <v>2034</v>
      </c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t="s" s="10">
        <v>2035</v>
      </c>
      <c r="B117" t="s" s="11">
        <v>1806</v>
      </c>
      <c r="C117" s="18">
        <v>600</v>
      </c>
      <c r="D117" s="12"/>
      <c r="E117" s="12"/>
      <c r="F117" s="12"/>
      <c r="G117" s="12"/>
      <c r="H117" t="s" s="19">
        <v>2036</v>
      </c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t="s" s="10">
        <v>2037</v>
      </c>
      <c r="B118" t="s" s="11">
        <v>1806</v>
      </c>
      <c r="C118" s="18">
        <v>1000</v>
      </c>
      <c r="D118" s="12"/>
      <c r="E118" s="12"/>
      <c r="F118" s="12"/>
      <c r="G118" s="12"/>
      <c r="H118" t="s" s="19">
        <v>2038</v>
      </c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t="s" s="10">
        <v>2039</v>
      </c>
      <c r="B119" t="s" s="11">
        <v>1806</v>
      </c>
      <c r="C119" s="18">
        <v>1000</v>
      </c>
      <c r="D119" s="12"/>
      <c r="E119" s="12"/>
      <c r="F119" s="12"/>
      <c r="G119" s="12"/>
      <c r="H119" t="s" s="19">
        <v>2040</v>
      </c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t="s" s="10">
        <v>2041</v>
      </c>
      <c r="B120" t="s" s="11">
        <v>1806</v>
      </c>
      <c r="C120" s="18">
        <v>1000</v>
      </c>
      <c r="D120" s="12"/>
      <c r="E120" s="12"/>
      <c r="F120" s="12"/>
      <c r="G120" s="12"/>
      <c r="H120" t="s" s="19">
        <v>2042</v>
      </c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t="s" s="10">
        <v>2043</v>
      </c>
      <c r="B121" t="s" s="11">
        <v>1806</v>
      </c>
      <c r="C121" s="18">
        <v>600</v>
      </c>
      <c r="D121" s="12"/>
      <c r="E121" s="12"/>
      <c r="F121" s="12"/>
      <c r="G121" s="12"/>
      <c r="H121" t="s" s="19">
        <v>2044</v>
      </c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t="s" s="10">
        <v>2045</v>
      </c>
      <c r="B122" t="s" s="11">
        <v>1806</v>
      </c>
      <c r="C122" s="18">
        <v>1500</v>
      </c>
      <c r="D122" s="12"/>
      <c r="E122" s="12"/>
      <c r="F122" s="12"/>
      <c r="G122" s="12"/>
      <c r="H122" t="s" s="19">
        <v>2046</v>
      </c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t="s" s="10">
        <v>2047</v>
      </c>
      <c r="B123" t="s" s="11">
        <v>1806</v>
      </c>
      <c r="C123" s="18">
        <v>0</v>
      </c>
      <c r="D123" s="12"/>
      <c r="E123" s="12"/>
      <c r="F123" s="12"/>
      <c r="G123" s="12"/>
      <c r="H123" t="s" s="19">
        <v>2048</v>
      </c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t="s" s="10">
        <v>2049</v>
      </c>
      <c r="B124" t="s" s="11">
        <v>1806</v>
      </c>
      <c r="C124" s="18">
        <v>600</v>
      </c>
      <c r="D124" s="12"/>
      <c r="E124" s="12"/>
      <c r="F124" s="12"/>
      <c r="G124" s="12"/>
      <c r="H124" t="s" s="19">
        <v>2050</v>
      </c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t="s" s="10">
        <v>2051</v>
      </c>
      <c r="B125" t="s" s="11">
        <v>1806</v>
      </c>
      <c r="C125" s="18">
        <v>800</v>
      </c>
      <c r="D125" s="12"/>
      <c r="E125" s="12"/>
      <c r="F125" s="12"/>
      <c r="G125" s="12"/>
      <c r="H125" t="s" s="19">
        <v>2052</v>
      </c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t="s" s="10">
        <v>2053</v>
      </c>
      <c r="B126" t="s" s="11">
        <v>1806</v>
      </c>
      <c r="C126" s="18">
        <v>1000</v>
      </c>
      <c r="D126" s="12"/>
      <c r="E126" s="12"/>
      <c r="F126" s="12"/>
      <c r="G126" s="12"/>
      <c r="H126" t="s" s="19">
        <v>2054</v>
      </c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t="s" s="10">
        <v>2055</v>
      </c>
      <c r="B127" t="s" s="11">
        <v>1806</v>
      </c>
      <c r="C127" s="18">
        <v>800</v>
      </c>
      <c r="D127" s="12"/>
      <c r="E127" s="12"/>
      <c r="F127" s="12"/>
      <c r="G127" s="12"/>
      <c r="H127" t="s" s="19">
        <v>2056</v>
      </c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t="s" s="10">
        <v>2057</v>
      </c>
      <c r="B128" t="s" s="11">
        <v>1806</v>
      </c>
      <c r="C128" s="18">
        <v>800</v>
      </c>
      <c r="D128" s="12"/>
      <c r="E128" s="12"/>
      <c r="F128" s="12"/>
      <c r="G128" s="12"/>
      <c r="H128" t="s" s="19">
        <v>2058</v>
      </c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t="s" s="10">
        <v>2059</v>
      </c>
      <c r="B129" t="s" s="11">
        <v>1806</v>
      </c>
      <c r="C129" s="18">
        <v>0</v>
      </c>
      <c r="D129" s="12"/>
      <c r="E129" s="12"/>
      <c r="F129" s="12"/>
      <c r="G129" s="12"/>
      <c r="H129" t="s" s="19">
        <v>2060</v>
      </c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t="s" s="10">
        <v>2061</v>
      </c>
      <c r="B130" t="s" s="11">
        <v>1806</v>
      </c>
      <c r="C130" s="18">
        <v>0</v>
      </c>
      <c r="D130" s="12"/>
      <c r="E130" s="12"/>
      <c r="F130" s="12"/>
      <c r="G130" s="12"/>
      <c r="H130" t="s" s="19">
        <v>2062</v>
      </c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t="s" s="10">
        <v>2063</v>
      </c>
      <c r="B131" t="s" s="11">
        <v>1806</v>
      </c>
      <c r="C131" s="18">
        <v>0</v>
      </c>
      <c r="D131" s="12"/>
      <c r="E131" s="12"/>
      <c r="F131" s="12"/>
      <c r="G131" s="12"/>
      <c r="H131" t="s" s="19">
        <v>2064</v>
      </c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t="s" s="10">
        <v>2065</v>
      </c>
      <c r="B132" t="s" s="11">
        <v>1806</v>
      </c>
      <c r="C132" s="18">
        <v>400</v>
      </c>
      <c r="D132" s="12"/>
      <c r="E132" s="12"/>
      <c r="F132" s="12"/>
      <c r="G132" s="12"/>
      <c r="H132" t="s" s="19">
        <v>2066</v>
      </c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t="s" s="10">
        <v>2067</v>
      </c>
      <c r="B133" t="s" s="11">
        <v>1806</v>
      </c>
      <c r="C133" s="18">
        <v>800</v>
      </c>
      <c r="D133" s="12"/>
      <c r="E133" s="12"/>
      <c r="F133" s="12"/>
      <c r="G133" s="12"/>
      <c r="H133" t="s" s="19">
        <v>2068</v>
      </c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36" customWidth="1"/>
    <col min="2" max="5" width="16.3516" style="36" customWidth="1"/>
    <col min="6" max="16384" width="16.3516" style="36" customWidth="1"/>
  </cols>
  <sheetData>
    <row r="1" ht="27.65" customHeight="1">
      <c r="A1" t="s" s="2">
        <v>0</v>
      </c>
      <c r="B1" s="3"/>
      <c r="C1" s="3"/>
      <c r="D1" s="3"/>
      <c r="E1" s="4"/>
    </row>
    <row r="2" ht="30.55" customHeight="1">
      <c r="A2" t="s" s="37">
        <v>22</v>
      </c>
      <c r="B2" t="s" s="37">
        <v>2069</v>
      </c>
      <c r="C2" t="s" s="37">
        <v>2070</v>
      </c>
      <c r="D2" t="s" s="37">
        <v>2071</v>
      </c>
      <c r="E2" t="s" s="37">
        <v>2072</v>
      </c>
    </row>
    <row r="3" ht="16.55" customHeight="1">
      <c r="A3" t="s" s="38">
        <v>2073</v>
      </c>
      <c r="B3" s="39">
        <v>52</v>
      </c>
      <c r="C3" s="40">
        <v>0.347</v>
      </c>
      <c r="D3" t="s" s="41">
        <v>2074</v>
      </c>
      <c r="E3" s="42">
        <f>_xlfn.COUNTIFS('Unit'!$J$3:$J$599,"Yes",'Unit'!$G$3:$G$599,1)+_xlfn.COUNTIFS('Trap'!$J$3:$J$544,"Yes",'Trap'!$G$3:$G$544,1)+_xlfn.COUNTIFS('Tech'!$J$3:$J$545,"Yes",'Tech'!$G$3:$G$545,1)</f>
        <v>131</v>
      </c>
    </row>
    <row r="4" ht="16.35" customHeight="1">
      <c r="A4" t="s" s="43">
        <v>2075</v>
      </c>
      <c r="B4" s="44">
        <v>48</v>
      </c>
      <c r="C4" s="45">
        <v>0.337</v>
      </c>
      <c r="D4" t="s" s="46">
        <v>2076</v>
      </c>
      <c r="E4" s="47">
        <f>_xlfn.COUNTIFS('Unit'!$J$3:$J$599,"Yes",'Unit'!$G$3:$G$599,2)+_xlfn.COUNTIFS('Trap'!$J$3:$J$544,"Yes",'Trap'!$G$3:$G$544,2)+_xlfn.COUNTIFS('Tech'!$J$3:$J$545,"Yes",'Tech'!$G$3:$G$545,2)</f>
        <v>118</v>
      </c>
    </row>
    <row r="5" ht="16.35" customHeight="1">
      <c r="A5" t="s" s="43">
        <v>2077</v>
      </c>
      <c r="B5" s="44">
        <v>27</v>
      </c>
      <c r="C5" s="45">
        <v>0.167</v>
      </c>
      <c r="D5" t="s" s="46">
        <v>2076</v>
      </c>
      <c r="E5" s="47">
        <f>_xlfn.COUNTIFS('Unit'!$J$3:$J$599,"Yes",'Unit'!$G$3:$G$599,3)+_xlfn.COUNTIFS('Trap'!$J$3:$J$544,"Yes",'Trap'!$G$3:$G$544,3)+_xlfn.COUNTIFS('Tech'!$J$3:$J$545,"Yes",'Tech'!$G$3:$G$545,3)</f>
        <v>110</v>
      </c>
    </row>
    <row r="6" ht="30.35" customHeight="1">
      <c r="A6" t="s" s="43">
        <v>2078</v>
      </c>
      <c r="B6" s="44">
        <v>16</v>
      </c>
      <c r="C6" s="45">
        <v>0.1</v>
      </c>
      <c r="D6" t="s" s="46">
        <v>2079</v>
      </c>
      <c r="E6" s="47">
        <f>_xlfn.COUNTIFS('Unit'!$J$3:$J$599,"Yes",'Unit'!$G$3:$G$599,4)+_xlfn.COUNTIFS('Trap'!$J$3:$J$544,"Yes",'Trap'!$G$3:$G$544,4)+_xlfn.COUNTIFS('Tech'!$J$3:$J$545,"Yes",'Tech'!$G$3:$G$545,4)</f>
        <v>72</v>
      </c>
    </row>
    <row r="7" ht="16.35" customHeight="1">
      <c r="A7" t="s" s="48">
        <v>2080</v>
      </c>
      <c r="B7" s="49">
        <v>9</v>
      </c>
      <c r="C7" s="50">
        <v>0.053</v>
      </c>
      <c r="D7" t="s" s="46">
        <v>2081</v>
      </c>
      <c r="E7" s="47">
        <f>_xlfn.COUNTIFS('Unit'!$J$3:$J$599,"Yes",'Unit'!$G$3:$G$599,5)+_xlfn.COUNTIFS('Trap'!$J$3:$J$544,"Yes",'Trap'!$G$3:$G$544,5)+_xlfn.COUNTIFS('Tech'!$J$3:$J$545,"Yes",'Tech'!$G$3:$G$545,5)</f>
        <v>57</v>
      </c>
    </row>
    <row r="8" ht="16.35" customHeight="1">
      <c r="A8" s="51"/>
      <c r="B8" s="52"/>
      <c r="C8" s="53"/>
      <c r="D8" s="54"/>
      <c r="E8" s="54"/>
    </row>
    <row r="9" ht="16.35" customHeight="1">
      <c r="A9" s="51"/>
      <c r="B9" s="52"/>
      <c r="C9" s="53"/>
      <c r="D9" s="54"/>
      <c r="E9" s="54"/>
    </row>
    <row r="10" ht="16.35" customHeight="1">
      <c r="A10" s="51"/>
      <c r="B10" s="52"/>
      <c r="C10" s="53"/>
      <c r="D10" s="54"/>
      <c r="E10" s="54"/>
    </row>
    <row r="11" ht="16.35" customHeight="1">
      <c r="A11" t="s" s="55">
        <v>22</v>
      </c>
      <c r="B11" t="s" s="56">
        <v>2069</v>
      </c>
      <c r="C11" s="57"/>
      <c r="D11" s="57"/>
      <c r="E11" t="s" s="58">
        <v>2072</v>
      </c>
    </row>
    <row r="12" ht="16.35" customHeight="1">
      <c r="A12" t="s" s="43">
        <v>2082</v>
      </c>
      <c r="B12" s="44">
        <v>60</v>
      </c>
      <c r="C12" s="54"/>
      <c r="D12" s="54"/>
      <c r="E12" s="47">
        <f>_xlfn.COUNTIFS('Unit'!$N$3:$N$599,"Yes")+_xlfn.COUNTIFS('Trap'!$N$3:$N$544,"Yes")+_xlfn.COUNTIFS('Tech'!$N$3:$N$545,"Yes")</f>
        <v>61</v>
      </c>
    </row>
    <row r="13" ht="16.35" customHeight="1">
      <c r="A13" t="s" s="43">
        <v>2083</v>
      </c>
      <c r="B13" s="44">
        <v>60</v>
      </c>
      <c r="C13" s="54"/>
      <c r="D13" s="54"/>
      <c r="E13" s="47">
        <f>_xlfn.COUNTIFS('Unit'!$O$3:$O$599,"Yes")+_xlfn.COUNTIFS('Trap'!$O$3:$O$544,"Yes")+_xlfn.COUNTIFS('Tech'!$O$3:$O$545,"Yes")</f>
        <v>60</v>
      </c>
    </row>
    <row r="14" ht="16.35" customHeight="1">
      <c r="A14" t="s" s="43">
        <v>2084</v>
      </c>
      <c r="B14" s="44">
        <v>60</v>
      </c>
      <c r="C14" s="54"/>
      <c r="D14" s="54"/>
      <c r="E14" s="47">
        <f>_xlfn.COUNTIFS('Unit'!$P$3:$P$599,"Yes")+_xlfn.COUNTIFS('Trap'!$P$3:$P$544,"Yes")+_xlfn.COUNTIFS('Tech'!$P$3:$P$545,"Yes")</f>
        <v>60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59" customWidth="1"/>
    <col min="6" max="16384" width="16.3516" style="59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s="6"/>
      <c r="B2" t="s" s="5">
        <v>2085</v>
      </c>
      <c r="C2" t="s" s="5">
        <v>2086</v>
      </c>
      <c r="D2" s="6"/>
      <c r="E2" s="6"/>
    </row>
    <row r="3" ht="20.25" customHeight="1">
      <c r="A3" s="60">
        <v>1</v>
      </c>
      <c r="B3" t="s" s="8">
        <v>2087</v>
      </c>
      <c r="C3" t="s" s="17">
        <v>2088</v>
      </c>
      <c r="D3" s="9"/>
      <c r="E3" s="9"/>
    </row>
    <row r="4" ht="20.05" customHeight="1">
      <c r="A4" s="61">
        <v>2</v>
      </c>
      <c r="B4" t="s" s="11">
        <v>2089</v>
      </c>
      <c r="C4" t="s" s="19">
        <v>2090</v>
      </c>
      <c r="D4" s="12"/>
      <c r="E4" s="12"/>
    </row>
    <row r="5" ht="20.05" customHeight="1">
      <c r="A5" s="61">
        <v>3</v>
      </c>
      <c r="B5" t="s" s="11">
        <v>2091</v>
      </c>
      <c r="C5" t="s" s="19">
        <v>2092</v>
      </c>
      <c r="D5" s="12"/>
      <c r="E5" s="12"/>
    </row>
    <row r="6" ht="20.05" customHeight="1">
      <c r="A6" s="61">
        <v>4</v>
      </c>
      <c r="B6" t="s" s="11">
        <v>2093</v>
      </c>
      <c r="C6" t="s" s="19">
        <v>2093</v>
      </c>
      <c r="D6" s="12"/>
      <c r="E6" s="12"/>
    </row>
    <row r="7" ht="20.05" customHeight="1">
      <c r="A7" s="61">
        <v>5</v>
      </c>
      <c r="B7" t="s" s="11">
        <v>2094</v>
      </c>
      <c r="C7" t="s" s="19">
        <v>2095</v>
      </c>
      <c r="D7" s="12"/>
      <c r="E7" s="12"/>
    </row>
    <row r="8" ht="20.05" customHeight="1">
      <c r="A8" s="61">
        <v>6</v>
      </c>
      <c r="B8" t="s" s="11">
        <v>2096</v>
      </c>
      <c r="C8" t="s" s="19">
        <v>2097</v>
      </c>
      <c r="D8" s="12"/>
      <c r="E8" s="12"/>
    </row>
    <row r="9" ht="20.05" customHeight="1">
      <c r="A9" s="61">
        <v>7</v>
      </c>
      <c r="B9" t="s" s="11">
        <v>2098</v>
      </c>
      <c r="C9" t="s" s="19">
        <v>2099</v>
      </c>
      <c r="D9" s="12"/>
      <c r="E9" s="12"/>
    </row>
    <row r="10" ht="20.05" customHeight="1">
      <c r="A10" s="61">
        <v>8</v>
      </c>
      <c r="B10" t="s" s="11">
        <v>2100</v>
      </c>
      <c r="C10" t="s" s="19">
        <v>2101</v>
      </c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