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<sst xmlns="http://schemas.openxmlformats.org/spreadsheetml/2006/main" uniqueCount="2100">
  <si>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</si>
  <si>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</si>
  <si>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</si>
  <si>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</si>
  <si>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</si>
  <si>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</si>
  <si>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</si>
  <si>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</si>
  <si>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</si>
  <si>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</si>
  <si>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</si>
  <si>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</si>
  <si>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</si>
  <si>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</si>
  <si>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</si>
  <si>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</si>
  <si>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</si>
  <si>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</si>
  <si>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</si>
  <si>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</si>
  <si>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</si>
  <si>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</si>
  <si>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</si>
  <si>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</si>
  <si>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</si>
  <si>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</si>
  <si>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</si>
  <si>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</si>
  <si>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</si>
  <si>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</si>
  <si>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</si>
  <si>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</si>
  <si>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</si>
  <si>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</si>
  <si>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</si>
  <si>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</si>
  <si>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</si>
  <si>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</si>
  <si>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</si>
  <si>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</si>
  <si>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</si>
  <si>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</si>
  <si>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</si>
  <si>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</si>
  <si>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</si>
  <si>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</si>
  <si>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</si>
  <si>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</si>
  <si>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</si>
  <si>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</si>
  <si>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</si>
  <si>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</si>
  <si>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</si>
  <si>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</si>
  <si>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</si>
  <si>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</si>
  <si>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</si>
  <si>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</si>
  <si>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</si>
  <si>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</si>
  <si>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</si>
  <si>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</si>
  <si>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</si>
  <si>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</si>
  <si>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</si>
  <si>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</si>
  <si>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</si>
  <si>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</si>
  <si>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</si>
  <si>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</si>
  <si>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</si>
  <si>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</si>
  <si>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</si>
  <si>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</si>
  <si>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</si>
  <si>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</si>
  <si>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</si>
  <si>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</si>
  <si>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</si>
  <si>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</si>
  <si>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</si>
  <si>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</si>
  <si>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</si>
  <si>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</si>
  <si>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</si>
  <si>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</si>
  <si>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</si>
  <si>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</si>
  <si>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</si>
  <si>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</si>
  <si>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</si>
  <si>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</si>
  <si>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</si>
  <si>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</si>
  <si>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</si>
  <si>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</si>
  <si>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</si>
  <si>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</si>
  <si>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</si>
  <si>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</si>
  <si>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</si>
  <si>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</si>
  <si>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</si>
  <si>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</si>
  <si>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</si>
  <si>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</si>
  <si>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</si>
  <si>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</si>
  <si>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</si>
  <si>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</si>
  <si>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</si>
  <si>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</si>
  <si>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</si>
  <si>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</si>
  <si>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</si>
  <si>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</si>
  <si>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</si>
  <si>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</si>
  <si>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</si>
  <si>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</si>
  <si>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</si>
  <si>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</si>
  <si>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</si>
  <si>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</si>
  <si>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</si>
  <si>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</si>
  <si>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</si>
  <si>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</si>
  <si>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</si>
  <si>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</si>
  <si>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</si>
  <si>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</si>
  <si>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</si>
  <si>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</si>
  <si>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</si>
  <si>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</si>
  <si>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DEF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</si>
  <si>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</si>
  <si>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</si>
  <si>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</si>
  <si>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</si>
  <si>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</si>
  <si>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</si>
  <si>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</si>
  <si>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</si>
  <si>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</si>
  <si>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</si>
  <si>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</si>
  <si>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</si>
  <si>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</si>
  <si>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</si>
  <si>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</si>
  <si>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</si>
  <si>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</si>
  <si>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</si>
  <si>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</si>
  <si>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</si>
  <si>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</si>
  <si>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</si>
  <si>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</si>
  <si>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</si>
  <si>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</si>
  <si>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</si>
  <si>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</si>
  <si>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</si>
  <si>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</si>
  <si>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</si>
  <si>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</si>
  <si>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</si>
  <si>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</si>
  <si>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</si>
  <si>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</si>
  <si>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</si>
  <si>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</si>
  <si>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</si>
  <si>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</si>
  <si>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</si>
  <si>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</si>
  <si>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</si>
  <si>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</si>
  <si>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</si>
  <si>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</si>
  <si>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</si>
  <si>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</si>
  <si>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</si>
  <si>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</si>
  <si>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</si>
  <si>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</si>
  <si>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</si>
  <si>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</si>
  <si>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</si>
  <si>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</si>
  <si>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</si>
  <si>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</si>
  <si>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</si>
  <si>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</si>
  <si>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</si>
  <si>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</si>
  <si>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</si>
  <si>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</si>
  <si>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</si>
  <si>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</si>
  <si>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</si>
  <si>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</si>
  <si>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</si>
  <si>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</si>
  <si>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</si>
  <si>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</si>
  <si>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</si>
  <si>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</si>
  <si>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</si>
  <si>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</si>
  <si>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</si>
  <si>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</si>
  <si>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</si>
  <si>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</si>
  <si>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</si>
  <si>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</si>
  <si>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</si>
  <si>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</si>
  <si>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</si>
  <si>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</si>
  <si>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</si>
  <si>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</si>
  <si>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</si>
  <si>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</si>
  <si>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</si>
  <si>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</si>
  <si>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</si>
  <si>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</si>
  <si>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</si>
  <si>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</si>
  <si>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</si>
  <si>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</si>
  <si>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</si>
  <si>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</si>
  <si>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</si>
  <si>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</si>
  <si>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</si>
  <si>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</si>
  <si>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</si>
  <si>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</si>
  <si>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</si>
  <si>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</si>
  <si>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</si>
  <si>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</si>
  <si>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</si>
  <si>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</si>
  <si>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</si>
  <si>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</si>
  <si>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</si>
  <si>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</si>
  <si>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</si>
  <si>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</si>
  <si>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</si>
  <si>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</si>
  <si>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</si>
  <si>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</si>
  <si>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</si>
  <si>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</si>
  <si>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</si>
  <si>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</si>
  <si>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</si>
  <si>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</si>
  <si>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</si>
  <si>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</si>
  <si>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</si>
  <si>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</si>
  <si>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</si>
  <si>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</si>
  <si>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</si>
  <si>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</si>
  <si>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</si>
  <si>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</si>
  <si>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</si>
  <si>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</si>
  <si>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</si>
  <si>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</si>
  <si>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</si>
  <si>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</si>
  <si>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</si>
  <si>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</si>
  <si>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</si>
  <si>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</si>
  <si>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</si>
  <si>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</si>
  <si>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Human Dog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</si>
  <si>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</si>
  <si>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</si>
  <si>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</si>
  <si>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</si>
  <si>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</si>
  <si>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</si>
  <si>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</si>
  <si>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</si>
  <si>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</si>
  <si>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</si>
  <si>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</si>
  <si>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Lady</t>
  </si>
  <si>
    <t>Once, unit in Reckoning with this card cannot attack until foe’s next turn end.</t>
  </si>
  <si>
    <t>Dark Blob</t>
  </si>
  <si>
    <t>After Reckoning: +5 ATK at the end of foe’s turn</t>
  </si>
  <si>
    <t>Skeleton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</si>
  <si>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</si>
  <si>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</si>
  <si>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</si>
  <si>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</si>
  <si>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</si>
  <si>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</si>
  <si>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</si>
  <si>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</si>
  <si>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</si>
  <si>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</si>
  <si>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</si>
  <si>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</si>
  <si>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</si>
  <si>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</si>
  <si>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</si>
  <si>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</si>
  <si>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</si>
  <si>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</si>
  <si>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</si>
  <si>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</si>
  <si>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</si>
  <si>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</si>
  <si>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 Usable face-down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</si>
  <si>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</si>
  <si>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</si>
  <si>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</si>
  <si>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</si>
  <si>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</si>
  <si>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</si>
  <si>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</si>
  <si>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</si>
  <si>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</si>
  <si>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</si>
  <si>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</si>
  <si>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</si>
  <si>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</si>
  <si>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</si>
  <si>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</si>
  <si>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</si>
  <si>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</si>
  <si>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</si>
  <si>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</si>
  <si>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</si>
  <si>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</si>
  <si>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</si>
  <si>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</si>
  <si>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</si>
  <si>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</si>
  <si>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</si>
  <si>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</si>
  <si>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</si>
  <si>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</si>
  <si>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</si>
  <si>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</si>
  <si>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</si>
  <si>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</si>
  <si>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</si>
  <si>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</si>
  <si>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</si>
  <si>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</si>
  <si>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</si>
  <si>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</si>
  <si>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</si>
  <si>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</si>
  <si>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</si>
  <si>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</si>
  <si>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</si>
  <si>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</si>
  <si>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</si>
  <si>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</si>
  <si>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</si>
  <si>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</si>
  <si>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</si>
  <si>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</si>
  <si>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</si>
  <si>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</si>
  <si>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</si>
  <si>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</si>
  <si>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</si>
  <si>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</si>
  <si>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</si>
  <si>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</si>
  <si>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</si>
  <si>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</si>
  <si>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In Reckoning, flip 2 coins. +5 ATK for each heads. +5 DEF for each tails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</si>
  <si>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</si>
  <si>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</si>
  <si>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</si>
  <si>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</si>
  <si>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</si>
  <si>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</si>
  <si>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</si>
  <si>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</si>
  <si>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</si>
  <si>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</si>
  <si>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</si>
  <si>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</si>
  <si>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</si>
  <si>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</si>
  <si>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</si>
  <si>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</si>
  <si>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</si>
  <si>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</si>
  <si>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</si>
  <si>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</si>
  <si>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</si>
  <si>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</si>
  <si>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</si>
  <si>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</si>
  <si>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</si>
  <si>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</si>
  <si>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</si>
  <si>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</si>
  <si>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</si>
  <si>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</si>
  <si>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</si>
  <si>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</si>
  <si>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</si>
  <si>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</si>
  <si>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</si>
  <si>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</si>
  <si>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</si>
  <si>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</si>
  <si>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Axeman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</si>
  <si>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</si>
  <si>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</si>
  <si>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</si>
  <si>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</si>
  <si>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</si>
  <si>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</si>
  <si>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</si>
  <si>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</si>
  <si>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</si>
  <si>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</si>
  <si>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</si>
  <si>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</si>
  <si>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</si>
  <si>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</si>
  <si>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</si>
  <si>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</si>
  <si>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</si>
  <si>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</si>
  <si>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</si>
  <si>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</si>
  <si>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</si>
  <si>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</si>
  <si>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</si>
  <si>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400 Crystals</t>
  </si>
  <si>
    <t>Wendella the Wise Princess</t>
  </si>
  <si>
    <t>Once exposed, choose either: reveal 1 foe’s cell or put 1 princes flag on ally unit.</t>
  </si>
  <si>
    <t>Fern the Mermaid Princess</t>
  </si>
  <si>
    <t>Nature units on your side gain +10 DEF. They also gain +5 DEF per princess flags on your side.</t>
  </si>
  <si>
    <t>Sharoniel the Dragon Princess</t>
  </si>
  <si>
    <t>Your unit with princess flag has +30 ATK. Dragon units with princess flag gain +30 more ATK.</t>
  </si>
  <si>
    <t>Nelfa the Windstorm Princess</t>
  </si>
  <si>
    <t>During Reckoning, destroy foe’s unit with 25 DEF or less. With princess flag : foe unit get -25 DEF</t>
  </si>
  <si>
    <t>Chihako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</si>
  <si>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</si>
  <si>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</si>
  <si>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</si>
  <si>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</si>
  <si>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</si>
  <si>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</si>
  <si>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</si>
  <si>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</si>
  <si>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</si>
  <si>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</si>
  <si>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</si>
  <si>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</si>
  <si>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</si>
  <si>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</si>
  <si>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</si>
  <si>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</si>
  <si>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Mystic Warrior</t>
  </si>
  <si>
    <t>Planewalker</t>
  </si>
  <si>
    <t>Once, if this card or Arcane ally is in Reckoning, you can relocate this card with any unit on your side. Usable face-down.</t>
  </si>
  <si>
    <t>Tower Guard</t>
  </si>
  <si>
    <t>Dwarven Explorer</t>
  </si>
  <si>
    <t>After Reckoning, reveal 1 adjacent cell.</t>
  </si>
  <si>
    <t>Hardworking Gremlin</t>
  </si>
  <si>
    <t>This card is unaffected by 0 cost traps</t>
  </si>
  <si>
    <t>Outpost Mage</t>
  </si>
  <si>
    <t>Once exposed, +15 ATK until the end of this turn.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</si>
  <si>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</si>
  <si>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</si>
  <si>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</si>
  <si>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</si>
  <si>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</si>
  <si>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Once exposed, flip a coin. Heads: +10 ATK&amp;DEF vs Non-Arcane</t>
  </si>
  <si>
    <t>Alluring Witch</t>
  </si>
  <si>
    <t>Once, at foe’s turn start, flip a coin. Head: foe can only attack once. Usable face-down.</t>
  </si>
  <si>
    <t>Mystic Dancer</t>
  </si>
  <si>
    <t>Greedy Gremlin</t>
  </si>
  <si>
    <t>Whenever you gains Crystals from any source, this card gains +10 ATK&amp;DEF permanently, once.</t>
  </si>
  <si>
    <t>Magical Craftsman</t>
  </si>
  <si>
    <t>At the end of foe’s turn, +10 ATK&amp;DEF permanently to 1 ally. Usable face-down.</t>
  </si>
  <si>
    <t>Library Critter</t>
  </si>
  <si>
    <t>+10 ATK vs. Arcane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</si>
  <si>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</si>
  <si>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</si>
  <si>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</si>
  <si>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</si>
  <si>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</si>
  <si>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</si>
  <si>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</si>
  <si>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</si>
  <si>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Reckoning, flip a coin. If head, reveal 2 adjacent cell, if tail, reveal 1 of adjacent cell</t>
  </si>
  <si>
    <t>Dwarven Bomber</t>
  </si>
  <si>
    <t>After this card battled, flip a coin. If 3 coin, reveal foe’s cell up to number of head. If got 3 tail, destroy this card</t>
  </si>
  <si>
    <t>Mad Spellcaster</t>
  </si>
  <si>
    <t>Ore Eater</t>
  </si>
  <si>
    <t>Whenever any player use tech, you receive 100 Crystals. Usable face-down.</t>
  </si>
  <si>
    <t>Green Mage</t>
  </si>
  <si>
    <t>When this card defends, the attacker permanently loses 10 ATK&amp;DEF.</t>
  </si>
  <si>
    <t>Uncanny Fortuneteller</t>
  </si>
  <si>
    <t>Your turn starts: flip a coin. Head: +5 ATK until your turn ends. Usable face-down.</t>
  </si>
  <si>
    <t>Spellcaster Exile</t>
  </si>
  <si>
    <t>Cloudbender</t>
  </si>
  <si>
    <t>+15 DEF vs Cosmic</t>
  </si>
  <si>
    <t>Freya the Rift Hunter</t>
  </si>
  <si>
    <t>In Reckoning, destroy foe’s revived unit or token copy.</t>
  </si>
  <si>
    <t>Fire Elemental</t>
  </si>
  <si>
    <t>Water Elemental</t>
  </si>
  <si>
    <t>Wind Elemental</t>
  </si>
  <si>
    <t>Earth Elemental</t>
  </si>
  <si>
    <t>Tornado Genie</t>
  </si>
  <si>
    <t>In Reckoning, flip 4 coins. +10 ATK for each heads. +10 DEF for each tails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</si>
  <si>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</si>
  <si>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</si>
  <si>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</si>
  <si>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</si>
  <si>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</si>
  <si>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</si>
  <si>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</si>
  <si>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</si>
  <si>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</si>
  <si>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Exposed : +100 crystals</t>
  </si>
  <si>
    <t>Bingo the Chrono Rabbit</t>
  </si>
  <si>
    <t>Once, revived itself after it is destroyed.</t>
  </si>
  <si>
    <t>Book with Fangs</t>
  </si>
  <si>
    <t>+30 ATK&amp;DEF vs Arcane</t>
  </si>
  <si>
    <t>Mad Wyvern</t>
  </si>
  <si>
    <t>Ethereal Enchanter</t>
  </si>
  <si>
    <t>If any player use tech, this card gains 50 ATK&amp;DEF until the end of that turn. Usable face-down.</t>
  </si>
  <si>
    <t>Mind Elemental</t>
  </si>
  <si>
    <t>Leviathan</t>
  </si>
  <si>
    <t>If ally Arcane card would be destroyed by Non-Arcane unit, pay 500 Crystals, it is not destroyed. Usable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</si>
  <si>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</si>
  <si>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</si>
  <si>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</si>
  <si>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</si>
  <si>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</si>
  <si>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</si>
  <si>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</si>
  <si>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</si>
  <si>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</si>
  <si>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</si>
  <si>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</si>
  <si>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</si>
  <si>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</si>
  <si>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</si>
  <si>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</si>
  <si>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</si>
  <si>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</si>
  <si>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</si>
  <si>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</si>
  <si>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</si>
  <si>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</si>
  <si>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</si>
  <si>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</si>
  <si>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</si>
  <si>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</si>
  <si>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</si>
  <si>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</si>
  <si>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</si>
  <si>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</si>
  <si>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</si>
  <si>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</si>
  <si>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</si>
  <si>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</si>
  <si>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</si>
  <si>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</si>
  <si>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</si>
  <si>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</si>
  <si>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</si>
  <si>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</si>
  <si>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</si>
  <si>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</si>
  <si>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</si>
  <si>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</si>
  <si>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</si>
  <si>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</si>
  <si>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</si>
  <si>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</si>
  <si>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</si>
  <si>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</si>
  <si>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</si>
  <si>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</si>
  <si>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</si>
  <si>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 and no ability.</t>
  </si>
  <si>
    <t>Rotten Shrieker</t>
  </si>
  <si>
    <t>Without Mutagen Flag : -10 ATK permanently at the end of your turn.</t>
  </si>
  <si>
    <t>Toxin Folk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</si>
  <si>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</si>
  <si>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</si>
  <si>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</si>
  <si>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</si>
  <si>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</si>
  <si>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</si>
  <si>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</si>
  <si>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</si>
  <si>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</si>
  <si>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</si>
  <si>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permanently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</si>
  <si>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</si>
  <si>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</si>
  <si>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</si>
  <si>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</si>
  <si>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</si>
  <si>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</si>
  <si>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</si>
  <si>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</si>
  <si>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</si>
  <si>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</si>
  <si>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With Mutagen Flag : At the end of your turn, put 1 Mutagen Flag on one of your exposed card.</t>
  </si>
  <si>
    <t>Black Worms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</si>
  <si>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</si>
  <si>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</si>
  <si>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</si>
  <si>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</si>
  <si>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</si>
  <si>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</si>
  <si>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</si>
  <si>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</si>
  <si>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</si>
  <si>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</si>
  <si>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</si>
  <si>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</si>
  <si>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</si>
  <si>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</si>
  <si>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</si>
  <si>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</si>
  <si>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</si>
  <si>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</si>
  <si>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</si>
  <si>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</si>
  <si>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</si>
  <si>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</si>
  <si>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</si>
  <si>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</si>
  <si>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</si>
  <si>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</si>
  <si>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</si>
  <si>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In Reckoning, flip a coin. Heads: +10 ATK&amp;DEF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</si>
  <si>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</si>
  <si>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</si>
  <si>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</si>
  <si>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</si>
  <si>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</si>
  <si>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</si>
  <si>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</si>
  <si>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</si>
  <si>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</si>
  <si>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</si>
  <si>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</si>
  <si>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</si>
  <si>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Dealer</t>
  </si>
  <si>
    <t>Any player use Tech card, they reveal 1 cell on their field. Usable face-down.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</si>
  <si>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</si>
  <si>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</si>
  <si>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</si>
  <si>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</si>
  <si>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</si>
  <si>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</si>
  <si>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</si>
  <si>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</si>
  <si>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</si>
  <si>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</si>
  <si>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</si>
  <si>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</si>
  <si>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</si>
  <si>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</si>
  <si>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</si>
  <si>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</si>
  <si>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</si>
  <si>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</si>
  <si>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</si>
  <si>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</si>
  <si>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</si>
  <si>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</si>
  <si>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</si>
  <si>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</si>
  <si>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</si>
  <si>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</si>
  <si>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</si>
  <si>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</si>
  <si>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</si>
  <si>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</si>
  <si>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</si>
  <si>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</si>
  <si>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</si>
  <si>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</si>
  <si>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</si>
  <si>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</si>
  <si>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</si>
  <si>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</si>
  <si>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</si>
  <si>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</si>
  <si>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</si>
  <si>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</si>
  <si>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</si>
  <si>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</si>
  <si>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</si>
  <si>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</si>
  <si>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</si>
  <si>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</si>
  <si>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</si>
  <si>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</si>
  <si>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</si>
  <si>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</si>
  <si>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</si>
  <si>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</si>
  <si>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</si>
  <si>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</si>
  <si>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</si>
  <si>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</si>
  <si>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</si>
  <si>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</si>
  <si>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</si>
  <si>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</si>
  <si>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</si>
  <si>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</si>
  <si>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</si>
  <si>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</si>
  <si>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</si>
  <si>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</si>
  <si>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</si>
  <si>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</si>
  <si>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</si>
  <si>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</si>
  <si>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</si>
  <si>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</si>
  <si>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</si>
  <si>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</si>
  <si>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</si>
  <si>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</si>
  <si>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</si>
  <si>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</si>
  <si>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</si>
  <si>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</si>
  <si>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</si>
  <si>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</si>
  <si>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</si>
  <si>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</si>
  <si>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</si>
  <si>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</si>
  <si>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</si>
  <si>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</si>
  <si>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</si>
  <si>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</si>
  <si>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</si>
  <si>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</si>
  <si>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</si>
  <si>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</si>
  <si>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</si>
  <si>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units. In Reckoning, Dragon foe get -50 DEF permanently.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</si>
  <si>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</si>
  <si>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</si>
  <si>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</si>
  <si>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</si>
  <si>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</si>
  <si>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</si>
  <si>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</si>
  <si>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</si>
  <si>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</si>
  <si>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</si>
  <si>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</si>
  <si>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</si>
  <si>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</si>
  <si>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</si>
  <si>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</si>
  <si>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</si>
  <si>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</si>
  <si>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</si>
  <si>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</si>
  <si>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</si>
  <si>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</si>
  <si>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</si>
  <si>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In Reckoning, flip 3 coins. +5 ATK for each heads. If 3 tails, -15ATK&amp;DEF</t>
  </si>
  <si>
    <t>Dragoon</t>
  </si>
  <si>
    <t>+40 ATK&amp;DEF if there is another “Dragon” card on your field</t>
  </si>
  <si>
    <t>Blade Biker</t>
  </si>
  <si>
    <t>Dragon Hunter Vanrose</t>
  </si>
  <si>
    <t>Once, +100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</si>
  <si>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</si>
  <si>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</si>
  <si>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</si>
  <si>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</si>
  <si>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</si>
  <si>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</si>
  <si>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</si>
  <si>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</si>
  <si>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</si>
  <si>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</si>
  <si>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</si>
  <si>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While you have 0 attacks count, you can command this face-down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</si>
  <si>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</si>
  <si>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</si>
  <si>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</si>
  <si>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</si>
  <si>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</si>
  <si>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</si>
  <si>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</si>
  <si>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</si>
  <si>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</si>
  <si>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</si>
  <si>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</si>
  <si>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</si>
  <si>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+40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</si>
  <si>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</si>
  <si>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</si>
  <si>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</si>
  <si>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</si>
  <si>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</si>
  <si>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</si>
  <si>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</si>
  <si>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</si>
  <si>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</si>
  <si>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</si>
  <si>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</si>
  <si>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</si>
  <si>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</si>
  <si>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</si>
  <si>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</si>
  <si>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</si>
  <si>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Once per turn, after a successful attack, gain 1 attack count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</si>
  <si>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</si>
  <si>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</si>
  <si>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</si>
  <si>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</si>
  <si>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</si>
  <si>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</si>
  <si>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</si>
  <si>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</si>
  <si>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</si>
  <si>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</si>
  <si>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</si>
  <si>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</si>
  <si>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</si>
  <si>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</si>
  <si>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</si>
  <si>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</si>
  <si>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</si>
  <si>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</si>
  <si>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In Reckoning, flip a coin. Heads: You can choose to swap its ATK&amp;DEF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</si>
  <si>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</si>
  <si>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</si>
  <si>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</si>
  <si>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</si>
  <si>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</si>
  <si>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</si>
  <si>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</si>
  <si>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</si>
  <si>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</si>
  <si>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</si>
  <si>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</si>
  <si>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</si>
  <si>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</si>
  <si>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</si>
  <si>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</si>
  <si>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</si>
  <si>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</si>
  <si>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</si>
  <si>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</si>
  <si>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</si>
  <si>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</si>
  <si>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</si>
  <si>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</si>
  <si>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</si>
  <si>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</si>
  <si>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</si>
  <si>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</si>
  <si>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Urban Zombie</t>
  </si>
  <si>
    <t>With Mutagen Flag: +20 ATK&amp;DEF for each Zombie card on the field</t>
  </si>
  <si>
    <t>Necro Zombie</t>
  </si>
  <si>
    <t>If this card is going to be destroyed, you can destroy ally Zombie card instead.</t>
  </si>
  <si>
    <t>Zombie Dog</t>
  </si>
  <si>
    <t>With Mutagen Flag: After Reckoning, reveal 1 adjacent cell around foe’s unit.</t>
  </si>
  <si>
    <t>Zombie Knight</t>
  </si>
  <si>
    <t>Red Zombie</t>
  </si>
  <si>
    <t>With Mutagen Flag: If used as a Union material, revive it at the end of this turn.</t>
  </si>
  <si>
    <t>Zombie Hunter</t>
  </si>
  <si>
    <t>In Reckoning, destroy Zombie card</t>
  </si>
  <si>
    <t>Crystal Rabbit</t>
  </si>
  <si>
    <t>If this card is used for Union summon, get 500 crystals</t>
  </si>
  <si>
    <t>Elven Archer</t>
  </si>
  <si>
    <t>After performed attack : -30 DEF</t>
  </si>
  <si>
    <t>Elven Swordsman</t>
  </si>
  <si>
    <t>After successfully defended : -20 DEF</t>
  </si>
  <si>
    <t>Elven Blacksmith</t>
  </si>
  <si>
    <t>Once, if a Nature card in surrounding cell get exposed, that card get +5 ATK&amp;DEF. Usable facedown.</t>
  </si>
  <si>
    <t>Elven Huntsman</t>
  </si>
  <si>
    <t>Once, Nature card in surrounding cell can attack twice. Usable face-down</t>
  </si>
  <si>
    <t>Elven Merchant</t>
  </si>
  <si>
    <t>Nature card in surrounding cell cost are halved.</t>
  </si>
  <si>
    <t>Dragonling</t>
  </si>
  <si>
    <t>Without face-up Arcane card on your side, -40 DEF</t>
  </si>
  <si>
    <t>War Dragon</t>
  </si>
  <si>
    <t>+10 ATK&amp;DEF to ally Dragon units</t>
  </si>
  <si>
    <t>Lesser Dragon</t>
  </si>
  <si>
    <t>Snow Dragon</t>
  </si>
  <si>
    <t>Exposed : Select 1 of foe’s face-up unit, it cannot attack until the foe’s next turn end.</t>
  </si>
  <si>
    <t>Gold Dragon</t>
  </si>
  <si>
    <t>After a successful Reckoning with unit cost ≥ 800, your foe lose 500 crystals</t>
  </si>
  <si>
    <t>Orc Maceman</t>
  </si>
  <si>
    <t>Orc Berserker</t>
  </si>
  <si>
    <t>Once, this card can attack twice</t>
  </si>
  <si>
    <t>Orc Cannoneer</t>
  </si>
  <si>
    <t>Once, after performed attacked, destroy 1 card in adjacent cell</t>
  </si>
  <si>
    <t>Orc Bannerlord</t>
  </si>
  <si>
    <t>All ally Orc units on your side get +15ATK&amp;DEF</t>
  </si>
  <si>
    <t>Maria the Battle Priest</t>
  </si>
  <si>
    <t>Coin flip ability of units in surrounding cell will always lands on head. Usable face-down</t>
  </si>
  <si>
    <t>Travis the Battle Priest</t>
  </si>
  <si>
    <t>After Reckoning, flip a coin. Heads: Reveal one adjacent cell. Destroy it if it’s Chaos.</t>
  </si>
  <si>
    <t>Benedict the Battle Priest</t>
  </si>
  <si>
    <t>Once, if Battle Priest is going to be destroyed, flip a coin. Heads: It’s not destroyed.</t>
  </si>
  <si>
    <t>Ninjamaster Sasuya</t>
  </si>
  <si>
    <t>Ally Ninja units is not destroyed in Reckoning.</t>
  </si>
  <si>
    <t>Legendary Ninja</t>
  </si>
  <si>
    <t>Effect of Union card in Reckoning with this card becomes None until the end of your turn.</t>
  </si>
  <si>
    <t>Garuda</t>
  </si>
  <si>
    <t>Heartbreaker Cupid</t>
  </si>
  <si>
    <t>At the end of exposed turn, it get -120 ATK</t>
  </si>
  <si>
    <t>Gamma Slime</t>
  </si>
  <si>
    <t>In Reckoning, - 20 ATK&amp;DEF to Bio or Anima foe’s unit</t>
  </si>
  <si>
    <t>Black Slime</t>
  </si>
  <si>
    <t>Shining Nobleman</t>
  </si>
  <si>
    <t>In Reckoning, destroy Divine card and gain 300 crystals</t>
  </si>
  <si>
    <t>Unholy Nobleman</t>
  </si>
  <si>
    <t>Gain 300 crystal if destroyed a unit</t>
  </si>
  <si>
    <t>Nobleman Wizard</t>
  </si>
  <si>
    <t>All Arcane unit on your side gain +10 ATK&amp;DEF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</si>
  <si>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</si>
  <si>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</si>
  <si>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</si>
  <si>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</si>
  <si>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</si>
  <si>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</si>
  <si>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</si>
  <si>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</si>
  <si>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</si>
  <si>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</si>
  <si>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</si>
  <si>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</si>
  <si>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</si>
  <si>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</si>
  <si>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</si>
  <si>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</si>
  <si>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</si>
  <si>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</si>
  <si>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</si>
  <si>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</si>
  <si>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</si>
  <si>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</si>
  <si>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</si>
  <si>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</si>
  <si>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</si>
  <si>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</si>
  <si>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</si>
  <si>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</si>
  <si>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</si>
  <si>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</si>
  <si>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</si>
  <si>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</si>
  <si>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</si>
  <si>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</si>
  <si>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</si>
  <si>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</si>
  <si>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</si>
  <si>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</si>
  <si>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</si>
  <si>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</si>
  <si>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</si>
  <si>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</si>
  <si>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</si>
  <si>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</si>
  <si>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</si>
  <si>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</si>
  <si>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</si>
  <si>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</si>
  <si>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</si>
  <si>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</si>
  <si>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</si>
  <si>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</si>
  <si>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</si>
  <si>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</si>
  <si>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</si>
  <si>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</si>
  <si>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</si>
  <si>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</si>
  <si>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</si>
  <si>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</si>
  <si>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</si>
  <si>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</si>
  <si>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</si>
  <si>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</si>
  <si>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</si>
  <si>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</si>
  <si>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</si>
  <si>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</si>
  <si>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</si>
  <si>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</si>
  <si>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</si>
  <si>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</si>
  <si>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</si>
  <si>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</si>
  <si>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</si>
  <si>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</si>
  <si>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</si>
  <si>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</si>
  <si>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</si>
  <si>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</si>
  <si>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</si>
  <si>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</si>
  <si>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</si>
  <si>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</si>
  <si>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</si>
  <si>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</si>
  <si>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</si>
  <si>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</si>
  <si>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</si>
  <si>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</si>
  <si>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</si>
  <si>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</si>
  <si>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</si>
  <si>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</si>
  <si>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</si>
  <si>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</si>
  <si>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</si>
  <si>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</si>
  <si>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</si>
  <si>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</si>
  <si>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</si>
  <si>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</si>
  <si>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</si>
  <si>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</si>
  <si>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</si>
  <si>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</si>
  <si>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</si>
  <si>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</si>
  <si>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</si>
  <si>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</si>
  <si>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</si>
  <si>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</si>
  <si>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</si>
  <si>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</si>
  <si>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</si>
  <si>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</si>
  <si>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</si>
  <si>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</si>
  <si>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</si>
  <si>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</si>
  <si>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</si>
  <si>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</si>
  <si>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</si>
  <si>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</si>
  <si>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</si>
  <si>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</si>
  <si>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</si>
  <si>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</si>
  <si>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</si>
  <si>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</si>
  <si>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</si>
  <si>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</si>
  <si>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</si>
  <si>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</si>
  <si>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</si>
  <si>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</si>
  <si>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</si>
  <si>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</si>
  <si>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</si>
  <si>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</si>
  <si>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</si>
  <si>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</si>
  <si>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</si>
  <si>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</si>
  <si>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</si>
  <si>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</si>
  <si>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</si>
  <si>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</si>
  <si>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</si>
  <si>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</si>
  <si>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</si>
  <si>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</si>
  <si>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</si>
  <si>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</si>
  <si>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</si>
  <si>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</si>
  <si>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</si>
  <si>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</si>
  <si>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</si>
  <si>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</si>
  <si>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</si>
  <si>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</si>
  <si>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</si>
  <si>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</si>
  <si>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</si>
  <si>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</si>
  <si>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</si>
  <si>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</si>
  <si>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</si>
  <si>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</si>
  <si>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</si>
  <si>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</si>
  <si>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</si>
  <si>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</si>
  <si>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</si>
  <si>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</si>
  <si>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</si>
  <si>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</si>
  <si>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</si>
  <si>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</si>
  <si>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</si>
  <si>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</si>
  <si>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</si>
  <si>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</si>
  <si>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</si>
  <si>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</si>
  <si>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</si>
  <si>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</si>
  <si>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</si>
  <si>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</si>
  <si>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</si>
  <si>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</si>
  <si>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</si>
  <si>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</si>
  <si>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</si>
  <si>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</si>
  <si>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</si>
  <si>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</si>
  <si>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</si>
  <si>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</si>
  <si>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</si>
  <si>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</si>
  <si>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</si>
  <si>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</si>
  <si>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</si>
  <si>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</si>
  <si>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</si>
  <si>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</si>
  <si>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</si>
  <si>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</si>
  <si>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</si>
  <si>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</si>
  <si>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</si>
  <si>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</si>
  <si>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 (max 120)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</si>
  <si>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</si>
  <si>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</si>
  <si>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</si>
  <si>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</si>
  <si>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</si>
  <si>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Mean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</si>
  <si>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</si>
  <si>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</si>
  <si>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</si>
  <si>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</si>
  <si>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</si>
  <si>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</si>
  <si>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</si>
  <si>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</si>
  <si>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</si>
  <si>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</si>
  <si>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</si>
  <si>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</si>
  <si>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</si>
  <si>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</si>
  <si>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</si>
  <si>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</si>
  <si>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</si>
  <si>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</si>
  <si>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</si>
  <si>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</si>
  <si>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</si>
  <si>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</si>
  <si>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</si>
  <si>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</si>
  <si>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</si>
  <si>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</si>
  <si>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</si>
  <si>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</si>
  <si>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</si>
  <si>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</si>
  <si>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</si>
  <si>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</si>
  <si>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</si>
  <si>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</si>
  <si>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</si>
  <si>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</si>
  <si>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</si>
  <si>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</si>
  <si>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</si>
  <si>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</t>
  </si>
  <si>
    <t>+50 ATK&amp;DEF for each Divine cards on the field.</t>
  </si>
  <si>
    <t>3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</si>
  <si>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</si>
  <si>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</si>
  <si>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</si>
  <si>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</si>
  <si>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</si>
  <si>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</si>
  <si>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00100
01010
00000
10001</t>
  </si>
  <si>
    <t>Big Bang Dragon</t>
  </si>
  <si>
    <t>Summoned: destroy all ???</t>
  </si>
  <si>
    <t>Summoned: destroy all other exposed ally units. No paid cost.</t>
  </si>
  <si>
    <t>5 ??? + 2500 cost</t>
  </si>
  <si>
    <t>5 Cosmic cards + 2500 cost</t>
  </si>
  <si>
    <t>00001
00010
00100
01000
10000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</si>
  <si>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</si>
  <si>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</si>
  <si>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</si>
  <si>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</si>
  <si>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</si>
  <si>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</si>
  <si>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</si>
  <si>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</si>
  <si>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</si>
  <si>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</si>
  <si>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</si>
  <si>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</si>
  <si>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</si>
  <si>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</si>
  <si>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</si>
  <si>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</si>
  <si>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Manticore</t>
  </si>
  <si>
    <t>+?? ATK at the end of your turn. Whenever this card attacks, ??</t>
  </si>
  <si>
    <t>+50 ATK at the end of your turn. Reset this bonus after performed attack.</t>
  </si>
  <si>
    <t>1 ??? + 1 ??? + 1 ??? + 500 cost</t>
  </si>
  <si>
    <t>Centaur + Minotaur + Pegasus + 500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</si>
  <si>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</si>
  <si>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</si>
  <si>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</si>
  <si>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</si>
  <si>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</si>
  <si>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</si>
  <si>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</si>
  <si>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</si>
  <si>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</si>
  <si>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</si>
  <si>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</si>
  <si>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</si>
  <si>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</si>
  <si>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</si>
  <si>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</si>
  <si>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</si>
  <si>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</si>
  <si>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</si>
  <si>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</si>
  <si>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</si>
  <si>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</si>
  <si>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</si>
  <si>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</si>
  <si>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</si>
  <si>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</si>
  <si>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</si>
  <si>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</si>
  <si>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</si>
  <si>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 permanently (max 90).</t>
  </si>
  <si>
    <t>Sinister Cultist + 1 Chaos card + 1000 cost</t>
  </si>
  <si>
    <t xml:space="preserve">00000
00000 
01110
01110
01110
</t>
  </si>
  <si>
    <t>Ethereal Marquees</t>
  </si>
  <si>
    <t>-80 DEF if ???</t>
  </si>
  <si>
    <t>-80 DEF vs Arcane card. If this survived Reckoning, pay 500 cost</t>
  </si>
  <si>
    <t>Nobleman card + Ethereal card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</si>
  <si>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</si>
  <si>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</si>
  <si>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</si>
  <si>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</si>
  <si>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</si>
  <si>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</si>
  <si>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Chronomancer</t>
  </si>
  <si>
    <t>For cannot revive or create token copy a unit. Once, after Arcane unit is destroyed, ???</t>
  </si>
  <si>
    <t>For cannot revive or create token copy a unit. Once, after Arcane unit is destroyed, revive it.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</si>
  <si>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</si>
  <si>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</si>
  <si>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</si>
  <si>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</si>
  <si>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</si>
  <si>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+ 1500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</si>
  <si>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</si>
  <si>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</si>
  <si>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</si>
  <si>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</si>
  <si>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</si>
  <si>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</si>
  <si>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</si>
  <si>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</si>
  <si>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</si>
  <si>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</si>
  <si>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</si>
  <si>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</si>
  <si>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</si>
  <si>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</si>
  <si>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</si>
  <si>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</si>
  <si>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</si>
  <si>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</si>
  <si>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</si>
  <si>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</si>
  <si>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</si>
  <si>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</si>
  <si>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</si>
  <si>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</si>
  <si>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+60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</si>
  <si>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</si>
  <si>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</si>
  <si>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</si>
  <si>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</si>
  <si>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</si>
  <si>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</si>
  <si>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</si>
  <si>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</si>
  <si>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</si>
  <si>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</si>
  <si>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</si>
  <si>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</si>
  <si>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</si>
  <si>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</si>
  <si>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</si>
  <si>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</si>
  <si>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</si>
  <si>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</si>
  <si>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</si>
  <si>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</si>
  <si>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</si>
  <si>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</si>
  <si>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</si>
  <si>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</si>
  <si>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</si>
  <si>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</si>
  <si>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</si>
  <si>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</si>
  <si>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</si>
  <si>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</si>
  <si>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</si>
  <si>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</si>
  <si>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</si>
  <si>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>1 Nanomites cards + 1 Bio card + 1000 cost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</si>
  <si>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</si>
  <si>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</si>
  <si>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</si>
  <si>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</si>
  <si>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</si>
  <si>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</si>
  <si>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</si>
  <si>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on this card’s Union Zone, ???</t>
  </si>
  <si>
    <t>If there is Anima unit on this card’s Union Zone, this card is not destroyed</t>
  </si>
  <si>
    <t>2 Anima (DEF ≥ 100) + 1000 cost</t>
  </si>
  <si>
    <t>Dark Champion</t>
  </si>
  <si>
    <t>Cannot select unit with ??? target. Destroy ??? with 0 ATK unit</t>
  </si>
  <si>
    <t>Cannot select unit with 0 DEF as attack target. Destroy this card in Reckoning with 0 ATK unit</t>
  </si>
  <si>
    <t>1 Death Knight + 1 Chaos card + 1000 cost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</si>
  <si>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</si>
  <si>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</si>
  <si>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</si>
  <si>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</si>
  <si>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</si>
  <si>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</si>
  <si>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</si>
  <si>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</si>
  <si>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</si>
  <si>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</si>
  <si>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</si>
  <si>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</si>
  <si>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</si>
  <si>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</si>
  <si>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</si>
  <si>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</si>
  <si>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</si>
  <si>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</si>
  <si>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</si>
  <si>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</si>
  <si>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</si>
  <si>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</si>
  <si>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</si>
  <si>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</si>
  <si>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</si>
  <si>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</si>
  <si>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</si>
  <si>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</si>
  <si>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</si>
  <si>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</si>
  <si>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</si>
  <si>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</si>
  <si>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</si>
  <si>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</si>
  <si>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</si>
  <si>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</si>
  <si>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</si>
  <si>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</si>
  <si>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</si>
  <si>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</si>
  <si>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</si>
  <si>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</si>
  <si>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</si>
  <si>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</si>
  <si>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</si>
  <si>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</si>
  <si>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</si>
  <si>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</si>
  <si>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</si>
  <si>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</si>
  <si>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</si>
  <si>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</si>
  <si>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</si>
  <si>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</si>
  <si>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</si>
  <si>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</si>
  <si>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</si>
  <si>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</si>
  <si>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</si>
  <si>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</si>
  <si>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</si>
  <si>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</si>
  <si>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</si>
  <si>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</si>
  <si>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</si>
  <si>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</si>
  <si>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</si>
  <si>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</si>
  <si>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</si>
  <si>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</si>
  <si>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</si>
  <si>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</si>
  <si>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</si>
  <si>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</si>
  <si>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</si>
  <si>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</si>
  <si>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</si>
  <si>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</si>
  <si>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</si>
  <si>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</si>
  <si>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</si>
  <si>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</si>
  <si>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</si>
  <si>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</si>
  <si>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</si>
  <si>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</si>
  <si>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</si>
  <si>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</si>
  <si>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</si>
  <si>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</si>
  <si>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</si>
  <si>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</si>
  <si>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</si>
  <si>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>1 Europan card with Europa Flag+ 1 Cosmic + 1000 cost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</si>
  <si>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</si>
  <si>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</si>
  <si>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</si>
  <si>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</si>
  <si>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</si>
  <si>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</si>
  <si>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>Solarling + 1 Cosmic card (≥ 800 cost) + 1200 cost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</si>
  <si>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</si>
  <si>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</si>
  <si>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</si>
  <si>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</si>
  <si>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</si>
  <si>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</si>
  <si>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</si>
  <si>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</si>
  <si>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</si>
  <si>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</si>
  <si>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</si>
  <si>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>1 Mutant cards + 1 Bio (≥ 500 cost) + 500 cost</t>
  </si>
  <si>
    <t xml:space="preserve">00000
10101 
10101
10101
00000
</t>
  </si>
  <si>
    <t>Mistress-001</t>
  </si>
  <si>
    <t>Summoned: select 1 other face-up card on the field, it gain +50 ATK, but get -50 DEF</t>
  </si>
  <si>
    <t>2 Bio cards with number in its name + 500 cost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</si>
  <si>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</si>
  <si>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</si>
  <si>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</si>
  <si>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</si>
  <si>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</si>
  <si>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</si>
  <si>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</si>
  <si>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Red Closet + 1 Chaos (≥ 800 cost) + 1500 cost</t>
  </si>
  <si>
    <t>00100
01010 
10001
00000
11111</t>
  </si>
  <si>
    <t>Eye in the Sky</t>
  </si>
  <si>
    <t>Summoned: Reveal 1 card per unit in your void</t>
  </si>
  <si>
    <t>Drifting Head + 1 Chaos + 500 cost</t>
  </si>
  <si>
    <t xml:space="preserve">01110
10001 
00100
10001
01110
</t>
  </si>
  <si>
    <t>Bloody Mask</t>
  </si>
  <si>
    <t>Jacob the Ski Mask + Franky the Steel Claw + 200 cost</t>
  </si>
  <si>
    <t xml:space="preserve">11011
11011 
00000
10001
01110
</t>
  </si>
  <si>
    <t>Cthulhu</t>
  </si>
  <si>
    <t>-50 ATK&amp;DEF to foe unit in this card’s Union Zone pattern</t>
  </si>
  <si>
    <t>Blood Mage + Chaos (≥ 1000 cost)  + 1200 cost)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</si>
  <si>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</si>
  <si>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</si>
  <si>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</si>
  <si>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</si>
  <si>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</si>
  <si>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</si>
  <si>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</si>
  <si>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>1 Anima (≥ 800 cost) + 2 Anima (≥ 500 cost) + 800</t>
  </si>
  <si>
    <t xml:space="preserve">11000
11000 
00000
00001
01111
</t>
  </si>
  <si>
    <t>Ultimate Railgun</t>
  </si>
  <si>
    <t>Can only attack if there is only Railgun Ammo in your void</t>
  </si>
  <si>
    <t>1 Railgun card + 1 Anima + 1000 cost</t>
  </si>
  <si>
    <t xml:space="preserve">00000
01000 
00100
00010
11110
</t>
  </si>
  <si>
    <t>The Last Paladin</t>
  </si>
  <si>
    <t>+300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</si>
  <si>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</si>
  <si>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</si>
  <si>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</si>
  <si>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</si>
  <si>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</si>
  <si>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</si>
  <si>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</si>
  <si>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??? or lose ???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</si>
  <si>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</si>
  <si>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</si>
  <si>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</si>
  <si>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</si>
  <si>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???.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</si>
  <si>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</si>
  <si>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</si>
  <si>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</si>
  <si>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</si>
  <si>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</si>
  <si>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</si>
  <si>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Ultimate Zombie</t>
  </si>
  <si>
    <t>Mutagen Flag : If this card is destroyed, ???</t>
  </si>
  <si>
    <t>Mutagen Flag : If this card is destroyed, also destroy foe’s unit</t>
  </si>
  <si>
    <t>Dark Surgeon</t>
  </si>
  <si>
    <t>Summoned : Revive ???</t>
  </si>
  <si>
    <t>Summoned : Revive 1 unit. Its DEF becomes 0</t>
  </si>
  <si>
    <t>Mad Doctor + Wicked Nurse + 800 cost</t>
  </si>
  <si>
    <t>Lady Long Leng</t>
  </si>
  <si>
    <t>1 Chaos (≥ 500 cost) + 1 Lady unit + 800 cost</t>
  </si>
  <si>
    <t>00100
11011
10001
10001
10001</t>
  </si>
  <si>
    <t>White Ninja</t>
  </si>
  <si>
    <t>Effect of unit in Reckoning with this card becomes ???.</t>
  </si>
  <si>
    <t>Effect of unit in Reckoning with this card becomes None until the end of your turn.</t>
  </si>
  <si>
    <t>1 Ninja + 1 Anima (≥ 800 cost) + 1000 cost</t>
  </si>
  <si>
    <t>10010
01100
10010
00000
00000</t>
  </si>
  <si>
    <t>Lab Abomination</t>
  </si>
  <si>
    <t>1 Lab card + 1 Bio card + 800 cost</t>
  </si>
  <si>
    <t>00000
10101
10001
01110
10101</t>
  </si>
  <si>
    <t>Elven King</t>
  </si>
  <si>
    <t>If there is Nature unit on this card’s Union Zone, ???</t>
  </si>
  <si>
    <t>If there is Nature unit on this card’s Union Zone, it gain +100 DEF</t>
  </si>
  <si>
    <t>2 Elven or Elf card + 1000 cost</t>
  </si>
  <si>
    <t>11011
10101
01110
00100
00100</t>
  </si>
  <si>
    <t>Rift Guardian</t>
  </si>
  <si>
    <t>If your Arcane unit is in Reckoning with ???, your opponent choose ??? to fight in place of this card</t>
  </si>
  <si>
    <t>If your Arcane unit is in Reckoning with revived units or copied token, your opponent choose 1 of their unit to fight in place of this card</t>
  </si>
  <si>
    <t>Freya the Rift Walker + Planewalker + 1200 cost.</t>
  </si>
  <si>
    <t>Mother Nature</t>
  </si>
  <si>
    <t>-??? ATK&amp;DEF for each face-up unit on foe’s side.</t>
  </si>
  <si>
    <t>-100 ATK&amp;DEF for each face-up unit on foe’s side.</t>
  </si>
  <si>
    <t>Dryad + 1 Nature + 1500 cost</t>
  </si>
  <si>
    <t>01000
01110
00110
01110
01000</t>
  </si>
  <si>
    <t>Orzolos the Sinister King</t>
  </si>
  <si>
    <t>Halve its ATK&amp;DEF in Reckoning with Divine units. -40 ATK&amp;DEF for each foe’s unit in same pattern as its union zone</t>
  </si>
  <si>
    <t>3 Chaos (≥ 800 cost) + 2 Chaos (≥ 500 cost) + 2500 cost</t>
  </si>
  <si>
    <t>00100
00100
01110
10101
01010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</si>
  <si>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</si>
  <si>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</si>
  <si>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</si>
  <si>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</si>
  <si>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</si>
  <si>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</si>
  <si>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</si>
  <si>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</si>
  <si>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</si>
  <si>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</si>
  <si>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</si>
  <si>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</si>
  <si>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</si>
  <si>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</si>
  <si>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</si>
  <si>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</si>
  <si>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</si>
  <si>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</si>
  <si>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</si>
  <si>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</si>
  <si>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</si>
  <si>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foe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</si>
  <si>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</si>
  <si>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</si>
  <si>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</si>
  <si>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</si>
  <si>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</si>
  <si>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</si>
  <si>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</si>
  <si>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</si>
  <si>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</si>
  <si>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</si>
  <si>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</si>
  <si>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</si>
  <si>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</si>
  <si>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</si>
  <si>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</si>
  <si>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</si>
  <si>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</si>
  <si>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</si>
  <si>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</si>
  <si>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</si>
  <si>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</si>
  <si>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</si>
  <si>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</si>
  <si>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</si>
  <si>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</si>
  <si>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</si>
  <si>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</si>
  <si>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</si>
  <si>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</si>
  <si>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</si>
  <si>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</si>
  <si>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</si>
  <si>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</si>
  <si>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</si>
  <si>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</si>
  <si>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</si>
  <si>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</si>
  <si>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</si>
  <si>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</si>
  <si>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</si>
  <si>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</si>
  <si>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</si>
  <si>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</si>
  <si>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to attack in that turn, -50 DEF</t>
  </si>
  <si>
    <t>Science Cage</t>
  </si>
  <si>
    <t>If attacker Is Bio affinity, end their turn immediately. Remove all flags from it.</t>
  </si>
  <si>
    <t>Loop Hole</t>
  </si>
  <si>
    <t>If attacker is Arcane, its ability become None permanently.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</si>
  <si>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</si>
  <si>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</si>
  <si>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</si>
  <si>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</si>
  <si>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</si>
  <si>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</si>
  <si>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</si>
  <si>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</si>
  <si>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</si>
  <si>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</si>
  <si>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</si>
  <si>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attacker Is Union card, that unit cannot attack until the attacker’s next turn ends.</t>
  </si>
  <si>
    <t>Plunder</t>
  </si>
  <si>
    <t>The attacker chooses to let you receive 1000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</si>
  <si>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</si>
  <si>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</si>
  <si>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</si>
  <si>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</si>
  <si>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</si>
  <si>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</si>
  <si>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</si>
  <si>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of your unit and swap or relocate to any cell. Repeat Reckoning if it’s this cell.</t>
  </si>
  <si>
    <t>Boiling Oil</t>
  </si>
  <si>
    <t>All of attacker’s unit get -10 ATK&amp;DEF until your turn ends.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</si>
  <si>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</si>
  <si>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</si>
  <si>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</si>
  <si>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</si>
  <si>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</si>
  <si>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</si>
  <si>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</si>
  <si>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</si>
  <si>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</si>
  <si>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</si>
  <si>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</si>
  <si>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</si>
  <si>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</si>
  <si>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</si>
  <si>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</si>
  <si>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</si>
  <si>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</si>
  <si>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</si>
  <si>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</si>
  <si>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+10 ATK until your turn ends, but also destroy it. You pay no cost.</t>
  </si>
  <si>
    <t>Rank C Bounty</t>
  </si>
  <si>
    <t>The attacker’s cost is increased by 100 until the end of your turn.</t>
  </si>
  <si>
    <t>Pepper Spray</t>
  </si>
  <si>
    <t>Flip 2 coins.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</si>
  <si>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</si>
  <si>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</si>
  <si>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</si>
  <si>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</si>
  <si>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Soak Wet</t>
  </si>
  <si>
    <t>Flip 4 coins. The attacking unit get -5 DEF for each heads until your turn ends.</t>
  </si>
  <si>
    <t>Supersonic</t>
  </si>
  <si>
    <t>Flip 4 coins. The attacking unit get -5 ATK for each heads until the foe's next turn ends.</t>
  </si>
  <si>
    <t>Kill Zone</t>
  </si>
  <si>
    <t>Destroy the attacker with 50 or less ATK. Attacker side pay no cost.</t>
  </si>
  <si>
    <t>Boulder Trap</t>
  </si>
  <si>
    <t>Destroy the attacker with 20 or less DEF. Attacker side pay no cost.</t>
  </si>
  <si>
    <t>Rank S Bounty</t>
  </si>
  <si>
    <t>The attacker’s cost is doubled until the end of your turn.</t>
  </si>
  <si>
    <t>Flimsy Ground</t>
  </si>
  <si>
    <t>If any Dead-end surrounding this card is being attacked, turn this card face-up, flip a coin. Heads: destroy the attacking unit. Attacker pay no cost</t>
  </si>
  <si>
    <t>Shaky Ground</t>
  </si>
  <si>
    <t>If any Dead-end surrounding this card is being attacked, turn this card face-up, attacking unit get -5 DEF permanently</t>
  </si>
  <si>
    <t>Anti-intelligence</t>
  </si>
  <si>
    <t>If foe use any effect that reveal your cell, turn this card face-up and cancel it.</t>
  </si>
  <si>
    <t>Amnesia</t>
  </si>
  <si>
    <t>If foe’s unit triggered any ability, turn this card face-up. Its ability becomes None until the end of this turn.</t>
  </si>
  <si>
    <t>Confiscate</t>
  </si>
  <si>
    <t>If foe use any effect that increase Crystal, flip this card face-up and cancel it.</t>
  </si>
  <si>
    <t>Steel Fortress</t>
  </si>
  <si>
    <t>If any Anima unit surrounding this card is being attacked, turn this card face-up, +15 DEF until the end of this turn</t>
  </si>
  <si>
    <t>Casino Swindler</t>
  </si>
  <si>
    <t>If foe use any effect that flip a coin, turn this card face-up, you Flip a coin. Heads: That effect lands on Tail.</t>
  </si>
  <si>
    <t>The House Always Win</t>
  </si>
  <si>
    <t>If foe use any effect that flip a coin, turn this card face-up, that effect lands on Tail.</t>
  </si>
  <si>
    <t>Ancestral Spirit</t>
  </si>
  <si>
    <t>Whenever Tribe unit on your side is destroyed, you can flip this card face-up and revive that unt.</t>
  </si>
  <si>
    <t>Midlife Crisis</t>
  </si>
  <si>
    <t>Attacker’s ability becomes None until the end of your turn.</t>
  </si>
  <si>
    <t>Underpay</t>
  </si>
  <si>
    <t>Attacker’s ability becomes “The cost of this card is halved” permanently</t>
  </si>
  <si>
    <t>Discount</t>
  </si>
  <si>
    <t>The cost of all units on your side is halved until the end of this turn.</t>
  </si>
  <si>
    <t>Rift Trap</t>
  </si>
  <si>
    <t>If any unit trigger relocation ability, turn this card face-up then destroy it.</t>
  </si>
  <si>
    <t>Substitute Player</t>
  </si>
  <si>
    <t>Your foe choose another of their unit, swap location with the Attacker, then repeat Reckoning.</t>
  </si>
  <si>
    <t>Disunite</t>
  </si>
  <si>
    <t>Destroy Union attack. Revive units used for union summon. Their cost becomes 0.</t>
  </si>
  <si>
    <t>Union Checkpoint</t>
  </si>
  <si>
    <t>Once foe summoned Union card, turn this card face-up. That Union card cannot attack during this turn.</t>
  </si>
  <si>
    <t>Tear Gas</t>
  </si>
  <si>
    <t>Flip 4 coins. All foe’s unit get -10 ATK for each heads until the end of this turn.</t>
  </si>
  <si>
    <t>Flashbang</t>
  </si>
  <si>
    <t>Flip 3 coins. Select foe’s unit up to number of heads. Those unit s cannot attack until the end of this turn.</t>
  </si>
  <si>
    <t>Taser</t>
  </si>
  <si>
    <t>Flip 2 coins. The attacking unit get -10 DEF for each heads until the end of your turn</t>
  </si>
  <si>
    <t>Rank B Bounty</t>
  </si>
  <si>
    <t>The attacker’s cost is increased by 250 until the end of your turn.</t>
  </si>
  <si>
    <t>Rank A Bounty</t>
  </si>
  <si>
    <t>The attacker’s cost is increased by 500 until the end of your turn.</t>
  </si>
  <si>
    <t>Inferno Trap</t>
  </si>
  <si>
    <t>The attacking unit gets -25 ATK permanently.</t>
  </si>
  <si>
    <t>Trap Dealer</t>
  </si>
  <si>
    <t>This turn, all of your trap cost becomes 0.</t>
  </si>
  <si>
    <t>Play Zone</t>
  </si>
  <si>
    <t>Until your turn ends, all unit cost becomes 0.</t>
  </si>
  <si>
    <t>Evacuation Zone</t>
  </si>
  <si>
    <t>Until the end of this turn, cost of all Anima cards on your side is halved.</t>
  </si>
  <si>
    <t>13th Night</t>
  </si>
  <si>
    <t>Revive 1 Chaos monster from your void on this cell and repeat Reckoning</t>
  </si>
  <si>
    <t>Union Safeguard</t>
  </si>
  <si>
    <t>Relocate Union card on your side to this cell and repeat Reckoning.</t>
  </si>
  <si>
    <t>Infestation</t>
  </si>
  <si>
    <t>Destroy 1 parasite or worm unit on your field (you pay no cost). Select 1 face-up unit on foe’s side and repeat Reckoning with the attacker.</t>
  </si>
  <si>
    <t>Gamma Trap</t>
  </si>
  <si>
    <t>If there is Gamma or Radia unit on your side, -20 DEF to the attacker permanently.</t>
  </si>
  <si>
    <t>Poisonous Tea</t>
  </si>
  <si>
    <t>Foe gain 1000 crystals. They lose 1500 crystals at the end of their next turn.</t>
  </si>
  <si>
    <t>Elven Arrow Trap</t>
  </si>
  <si>
    <t>If there is face-up Elven unit on your side, destroy the attacker.</t>
  </si>
  <si>
    <t>Zantetsuken</t>
  </si>
  <si>
    <t>If there is face-up Swordsman unit on your side, destroy the attacker.</t>
  </si>
  <si>
    <t>Bone Trap</t>
  </si>
  <si>
    <t>If there is face-up Skeleton unit on your side, halve attacker’s ATK&amp;DEF permanently.</t>
  </si>
  <si>
    <t>Golem Reconstruction</t>
  </si>
  <si>
    <t>If your Golem unit is destroyed, you can turn this card face-up, revive it at the end of this turn.</t>
  </si>
  <si>
    <t>Force of Nature</t>
  </si>
  <si>
    <t>Nature units with 500 cost or less on both player’s side get 25 ATK&amp;DEF until the end of your turn.</t>
  </si>
  <si>
    <t>Abundant Nature</t>
  </si>
  <si>
    <t>Cost of Nature units on both player’s side is halved until the end of your turn.</t>
  </si>
  <si>
    <t>Venom Pool</t>
  </si>
  <si>
    <t>If there is face-up Nature unit on your side, attacker get -50 DEF permanently</t>
  </si>
  <si>
    <t>Turtling</t>
  </si>
  <si>
    <t>Until the end of this turn, DEF of all Nature units is doubled</t>
  </si>
  <si>
    <t>Trench Warfare</t>
  </si>
  <si>
    <t>Until the end of this turn, DEF of all units is doubled until the end of your turn.</t>
  </si>
  <si>
    <t>The Harder They Fall</t>
  </si>
  <si>
    <t>Destroy attacker with 200 or more ATK or DEF</t>
  </si>
  <si>
    <t>Miniature Warfare</t>
  </si>
  <si>
    <t>Until the end of this turn, ATK of all units is halved until the end of your turn.</t>
  </si>
  <si>
    <t>Holy Insight</t>
  </si>
  <si>
    <t>If the attacker is Divine, reveal 3 cells on opponent’s side.</t>
  </si>
  <si>
    <t>Dark Insight</t>
  </si>
  <si>
    <t>If the attacker is Chaos, reveal 3 cells on opponent’s side.</t>
  </si>
  <si>
    <t>Wild Insight</t>
  </si>
  <si>
    <t>If the attacker is Nature, reveal 3 cells on opponent’s side.</t>
  </si>
  <si>
    <t>Magic Insight</t>
  </si>
  <si>
    <t>If the attacker is Arcane, reveal 3 cells on opponent’s side.</t>
  </si>
  <si>
    <t>Scientific Insight</t>
  </si>
  <si>
    <t>If the attacker is Bio, reveal 3 cells on opponent’s side.</t>
  </si>
  <si>
    <t>Quantum Insight</t>
  </si>
  <si>
    <t>If the attacker is Cosmic, reveal 3 cells on opponent’s side.</t>
  </si>
  <si>
    <t>Spiritual Insight</t>
  </si>
  <si>
    <t>If the attacker is Anima, reveal 3 cells on opponent’s side.</t>
  </si>
  <si>
    <t>Dawnbreak</t>
  </si>
  <si>
    <t>Reveal 1 cells on opponent’s side.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</si>
  <si>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</si>
  <si>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</si>
  <si>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</si>
  <si>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</si>
  <si>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</si>
  <si>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</si>
  <si>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</si>
  <si>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</si>
  <si>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</si>
  <si>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</si>
  <si>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</si>
  <si>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</si>
  <si>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</si>
  <si>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</si>
  <si>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</si>
  <si>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</si>
  <si>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</si>
  <si>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</si>
  <si>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</si>
  <si>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</si>
  <si>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</si>
  <si>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</si>
  <si>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</si>
  <si>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</si>
  <si>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</si>
  <si>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</si>
  <si>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</si>
  <si>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</si>
  <si>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</si>
  <si>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3 adjacent cells on foe’s field and destroy it. No cost is paid</t>
  </si>
  <si>
    <t>Great Diplomacy</t>
  </si>
  <si>
    <t>You select up to 3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</si>
  <si>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</si>
  <si>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</si>
  <si>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</si>
  <si>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</si>
  <si>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</si>
  <si>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</si>
  <si>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</si>
  <si>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</si>
  <si>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</si>
  <si>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</si>
  <si>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</si>
  <si>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</si>
  <si>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</si>
  <si>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</si>
  <si>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</si>
  <si>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</si>
  <si>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</si>
  <si>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</si>
  <si>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</si>
  <si>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You gain 1 attack count until the end of this turn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</si>
  <si>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</si>
  <si>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</si>
  <si>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</si>
  <si>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</si>
  <si>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</si>
  <si>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Copy all its ATK&amp;DEF bonuses or debuffs to another ally unit (if valid) until the end of this turn.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</si>
  <si>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</si>
  <si>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</si>
  <si>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</si>
  <si>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</si>
  <si>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</si>
  <si>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</si>
  <si>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</si>
  <si>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</si>
  <si>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</si>
  <si>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</si>
  <si>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</si>
  <si>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</si>
  <si>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</si>
  <si>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</si>
  <si>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</si>
  <si>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</si>
  <si>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</si>
  <si>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</si>
  <si>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</si>
  <si>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</si>
  <si>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</si>
  <si>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</si>
  <si>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</si>
  <si>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</si>
  <si>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</si>
  <si>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</si>
  <si>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</si>
  <si>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</si>
  <si>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</si>
  <si>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</si>
  <si>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</si>
  <si>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</si>
  <si>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</si>
  <si>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</si>
  <si>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</si>
  <si>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you receive 100 Crystals</t>
  </si>
  <si>
    <t>Phony Fight</t>
  </si>
  <si>
    <t>-10 DEF to 1 exposed unit on foe’s side until the end of this turn. Foe receive 500 Crystals</t>
  </si>
  <si>
    <t>Borrow</t>
  </si>
  <si>
    <t>Receive 200 Crystals. At the end of your next turn, you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</si>
  <si>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</si>
  <si>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</si>
  <si>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</si>
  <si>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</si>
  <si>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</si>
  <si>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</si>
  <si>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</si>
  <si>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</si>
  <si>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</si>
  <si>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the end of your next turn, you lose 900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</si>
  <si>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</si>
  <si>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</si>
  <si>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</si>
  <si>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</si>
  <si>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</si>
  <si>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</si>
  <si>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</si>
  <si>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next turn, you lose 1700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</si>
  <si>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</si>
  <si>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</si>
  <si>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</si>
  <si>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</si>
  <si>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</si>
  <si>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</si>
  <si>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</si>
  <si>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</si>
  <si>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</si>
  <si>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</si>
  <si>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</si>
  <si>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</si>
  <si>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</si>
  <si>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</si>
  <si>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</si>
  <si>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</si>
  <si>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</si>
  <si>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</si>
  <si>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</si>
  <si>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</si>
  <si>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</si>
  <si>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</si>
  <si>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</si>
  <si>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</si>
  <si>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</si>
  <si>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</si>
  <si>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</si>
  <si>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</si>
  <si>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</si>
  <si>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</si>
  <si>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</si>
  <si>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</si>
  <si>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</si>
  <si>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</si>
  <si>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</si>
  <si>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</si>
  <si>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</si>
  <si>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</si>
  <si>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</si>
  <si>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</si>
  <si>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</si>
  <si>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</si>
  <si>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</si>
  <si>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</si>
  <si>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</si>
  <si>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</si>
  <si>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</si>
  <si>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</si>
  <si>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</si>
  <si>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</si>
  <si>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</si>
  <si>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</si>
  <si>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</si>
  <si>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</si>
  <si>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</si>
  <si>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</si>
  <si>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</si>
  <si>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</si>
  <si>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</si>
  <si>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</si>
  <si>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</si>
  <si>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</si>
  <si>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</si>
  <si>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</si>
  <si>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</si>
  <si>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</si>
  <si>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</si>
  <si>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</si>
  <si>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</si>
  <si>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</si>
  <si>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</si>
  <si>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</si>
  <si>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</si>
  <si>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</si>
  <si>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</si>
  <si>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</si>
  <si>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</si>
  <si>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</si>
  <si>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</si>
  <si>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</si>
  <si>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</si>
  <si>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</si>
  <si>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</si>
  <si>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</si>
  <si>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</si>
  <si>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</si>
  <si>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</si>
  <si>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</si>
  <si>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</si>
  <si>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</si>
  <si>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unit on either’s side. Its ability becomes None until foe’s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</si>
  <si>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</si>
  <si>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</si>
  <si>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</si>
  <si>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</si>
  <si>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</si>
  <si>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</si>
  <si>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</si>
  <si>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</si>
  <si>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</si>
  <si>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</si>
  <si>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</si>
  <si>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</si>
  <si>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</si>
  <si>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</si>
  <si>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Bloody Machete</t>
  </si>
  <si>
    <t>If you have ‘Bloody Mask’ on your side, destroy 1 face-up unit.</t>
  </si>
  <si>
    <t>Simple Unity</t>
  </si>
  <si>
    <t>If you have Union card with None ability, destroy 1 card on the field.</t>
  </si>
  <si>
    <t>Nanomites Outbreak</t>
  </si>
  <si>
    <t>Double cost of foe’s unit up to number of Nanomites unit on your side</t>
  </si>
  <si>
    <t>Zombie Outbreak</t>
  </si>
  <si>
    <t>Foe’s unit up to number of Mutant or Zombie unit on your side, get -50 DEF</t>
  </si>
  <si>
    <t>Europa Supply</t>
  </si>
  <si>
    <t>Put 1 Europa Flag on your unit</t>
  </si>
  <si>
    <t>Simple Sword</t>
  </si>
  <si>
    <t>+20 ATK&amp;DEF to 1 unit on your side with None ability until the end of foe’s turn</t>
  </si>
  <si>
    <t>Slim Gray Ray</t>
  </si>
  <si>
    <t>If you have 1 face-up Slim Gray on your side, both player reveal 1 of their own cells</t>
  </si>
  <si>
    <t>Oni Slam</t>
  </si>
  <si>
    <t>If you have face-up Oni card on your side, destroy 1 card on your foe’s field.</t>
  </si>
  <si>
    <t>Knight’s Oath</t>
  </si>
  <si>
    <t>Until the end of foe's turn, Knight units are not destroyed.</t>
  </si>
  <si>
    <t>Advanced Medicine</t>
  </si>
  <si>
    <t>If you have face-up Doctor or Healer card on your field, you gain 1800 crystals</t>
  </si>
  <si>
    <t>Warrior’s Oath</t>
  </si>
  <si>
    <t>Select 1 face-up Warrior card on your side, it gain +40 ATK</t>
  </si>
  <si>
    <t>Dragon’s Breath</t>
  </si>
  <si>
    <t>If you have face-up Dragon card on your field, destroy 2 cards on the field. Foe pay no cost.</t>
  </si>
  <si>
    <t>Elemental Recycle</t>
  </si>
  <si>
    <t>Select 1 face-up Elemental card on your side, destroy it without paying cost. You gain 500 crystals</t>
  </si>
  <si>
    <t>Princess Ballroom</t>
  </si>
  <si>
    <t>Put up to 3 princess flag on units on your side.</t>
  </si>
  <si>
    <t>Princess Magic</t>
  </si>
  <si>
    <t>Once, any unit in Reckoning with unit with princess flag is destroyed.</t>
  </si>
  <si>
    <t>Monarch’s Ascendry</t>
  </si>
  <si>
    <t>Until the end of foe’s turn, King, Queen, Emperor, Empress card on your side gain 50 ATK&amp;DEF</t>
  </si>
  <si>
    <t>Four Tower</t>
  </si>
  <si>
    <t>Until the end of foe's turn, the corner cells on your grid is not targetable</t>
  </si>
  <si>
    <t>Safe House</t>
  </si>
  <si>
    <t>Select 1 cell on your grid. Until the end of foe's turn, the very selected grid is not targetable</t>
  </si>
  <si>
    <t>Cremation</t>
  </si>
  <si>
    <t xml:space="preserve">Destroy all revived units and token copies on the field. </t>
  </si>
  <si>
    <t>Winter Sale</t>
  </si>
  <si>
    <t>All unit cost on the field are halved until the end of foe’s turn.</t>
  </si>
  <si>
    <t>Staff Rotation</t>
  </si>
  <si>
    <t>Relocate two of your units</t>
  </si>
  <si>
    <t>Eviction</t>
  </si>
  <si>
    <t>Relocate two of foe’s face-up units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</si>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</sst>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99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"&amp;COUNTIF(N3:N599,"Yes")</f>
        <v>29</v>
      </c>
      <c r="O2" t="s" s="5">
        <f>"Booster Pack - Unseen Presence / "&amp;COUNTIF(O3:O599,"Yes")</f>
        <v>30</v>
      </c>
      <c r="P2" t="s" s="5">
        <f>"Booster Pack - Wind of Dominance / "&amp;COUNTIF(P3:P599,"Yes")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t="s" s="19">
        <v>35</v>
      </c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t="s" s="19">
        <v>35</v>
      </c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t="s" s="19">
        <v>35</v>
      </c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2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t="s" s="19">
        <v>35</v>
      </c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t="s" s="19">
        <v>35</v>
      </c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t="s" s="19">
        <v>35</v>
      </c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t="s" s="19">
        <v>35</v>
      </c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t="s" s="19">
        <v>35</v>
      </c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t="s" s="19">
        <v>35</v>
      </c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t="s" s="19">
        <v>35</v>
      </c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387</v>
      </c>
      <c r="I203" s="12"/>
      <c r="J203" t="s" s="19">
        <v>35</v>
      </c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388</v>
      </c>
      <c r="B204" t="s" s="11">
        <v>33</v>
      </c>
      <c r="C204" s="18">
        <v>300</v>
      </c>
      <c r="D204" s="18">
        <v>10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t="s" s="19">
        <v>35</v>
      </c>
      <c r="K204" s="18">
        <f>(D204*6)+(E204*4)</f>
        <v>180</v>
      </c>
      <c r="L204" s="12"/>
      <c r="M204" s="12"/>
      <c r="N204" s="12"/>
      <c r="O204" s="12"/>
      <c r="P204" s="12"/>
    </row>
    <row r="205" ht="56.05" customHeight="1">
      <c r="A205" t="s" s="10">
        <v>389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390</v>
      </c>
      <c r="I205" s="12"/>
      <c r="J205" t="s" s="19">
        <v>35</v>
      </c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391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392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393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394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395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396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397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398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399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400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401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402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403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404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405</v>
      </c>
      <c r="I213" s="12"/>
      <c r="J213" t="s" s="19">
        <v>35</v>
      </c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406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401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407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408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409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410</v>
      </c>
      <c r="I216" s="12"/>
      <c r="J216" t="s" s="19">
        <v>35</v>
      </c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411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401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412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413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414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401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415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416</v>
      </c>
      <c r="I220" s="12"/>
      <c r="J220" t="s" s="19">
        <v>35</v>
      </c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417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418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419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420</v>
      </c>
      <c r="I222" s="12"/>
      <c r="J222" t="s" s="19">
        <v>35</v>
      </c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421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422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423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424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425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401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426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427</v>
      </c>
      <c r="I226" s="12"/>
      <c r="J226" t="s" s="19">
        <v>35</v>
      </c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428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429</v>
      </c>
      <c r="I227" s="12"/>
      <c r="J227" t="s" s="19">
        <v>35</v>
      </c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430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431</v>
      </c>
      <c r="I228" s="12"/>
      <c r="J228" t="s" s="19">
        <v>35</v>
      </c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432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t="s" s="19">
        <v>35</v>
      </c>
      <c r="K229" s="18">
        <f>(D229*6)+(E229*4)</f>
        <v>410</v>
      </c>
      <c r="L229" s="12"/>
      <c r="M229" s="12"/>
      <c r="N229" s="12"/>
      <c r="O229" s="12"/>
      <c r="P229" s="12"/>
    </row>
    <row r="230" ht="32.05" customHeight="1">
      <c r="A230" t="s" s="10">
        <v>433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2</v>
      </c>
      <c r="H230" t="s" s="19">
        <v>434</v>
      </c>
      <c r="I230" s="12"/>
      <c r="J230" t="s" s="19">
        <v>35</v>
      </c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435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436</v>
      </c>
      <c r="I231" s="12"/>
      <c r="J231" t="s" s="19">
        <v>35</v>
      </c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437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2</v>
      </c>
      <c r="H232" t="s" s="19">
        <v>438</v>
      </c>
      <c r="I232" s="12"/>
      <c r="J232" t="s" s="19">
        <v>35</v>
      </c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439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440</v>
      </c>
      <c r="I233" s="12"/>
      <c r="J233" t="s" s="19">
        <v>35</v>
      </c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441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442</v>
      </c>
      <c r="I234" s="12"/>
      <c r="J234" t="s" s="19">
        <v>35</v>
      </c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443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444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445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446</v>
      </c>
      <c r="I236" s="12"/>
      <c r="J236" t="s" s="19">
        <v>35</v>
      </c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447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448</v>
      </c>
      <c r="I237" s="12"/>
      <c r="J237" t="s" s="19">
        <v>35</v>
      </c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449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450</v>
      </c>
      <c r="I238" s="12"/>
      <c r="J238" t="s" s="19">
        <v>35</v>
      </c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451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452</v>
      </c>
      <c r="I239" s="12"/>
      <c r="J239" t="s" s="19">
        <v>35</v>
      </c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453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454</v>
      </c>
      <c r="I240" s="12"/>
      <c r="J240" t="s" s="19">
        <v>35</v>
      </c>
      <c r="K240" s="18">
        <f>(D240*6)+(E240*4)</f>
        <v>300</v>
      </c>
      <c r="L240" s="12"/>
      <c r="M240" s="12"/>
      <c r="N240" s="12"/>
      <c r="O240" s="12"/>
      <c r="P240" s="12"/>
    </row>
    <row r="241" ht="38.7" customHeight="1">
      <c r="A241" t="s" s="10">
        <v>455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456</v>
      </c>
      <c r="I241" s="12"/>
      <c r="J241" t="s" s="19">
        <v>35</v>
      </c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457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458</v>
      </c>
      <c r="I242" s="12"/>
      <c r="J242" t="s" s="19">
        <v>35</v>
      </c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459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460</v>
      </c>
      <c r="I243" s="12"/>
      <c r="J243" t="s" s="19">
        <v>35</v>
      </c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461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462</v>
      </c>
      <c r="I244" s="12"/>
      <c r="J244" t="s" s="19">
        <v>35</v>
      </c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463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t="s" s="19">
        <v>35</v>
      </c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464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t="s" s="19">
        <v>35</v>
      </c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465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t="s" s="19">
        <v>35</v>
      </c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466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467</v>
      </c>
      <c r="I248" s="12"/>
      <c r="J248" t="s" s="19">
        <v>35</v>
      </c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468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t="s" s="19">
        <v>35</v>
      </c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469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t="s" s="19">
        <v>35</v>
      </c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470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471</v>
      </c>
      <c r="I251" s="12"/>
      <c r="J251" t="s" s="19">
        <v>35</v>
      </c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472</v>
      </c>
      <c r="B252" t="s" s="11">
        <v>33</v>
      </c>
      <c r="C252" s="18">
        <v>1200</v>
      </c>
      <c r="D252" s="18">
        <v>75</v>
      </c>
      <c r="E252" s="18">
        <v>100</v>
      </c>
      <c r="F252" t="s" s="19">
        <v>9</v>
      </c>
      <c r="G252" s="18">
        <v>5</v>
      </c>
      <c r="H252" t="s" s="19">
        <v>473</v>
      </c>
      <c r="I252" s="12"/>
      <c r="J252" t="s" s="19">
        <v>35</v>
      </c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474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475</v>
      </c>
      <c r="I253" s="12"/>
      <c r="J253" t="s" s="19">
        <v>35</v>
      </c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476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t="s" s="19">
        <v>35</v>
      </c>
      <c r="K254" s="18">
        <f>(D254*6)+(E254*4)</f>
        <v>180</v>
      </c>
      <c r="L254" s="12"/>
      <c r="M254" s="12"/>
      <c r="N254" s="12"/>
      <c r="O254" s="12"/>
      <c r="P254" s="12"/>
    </row>
    <row r="255" ht="50.7" customHeight="1">
      <c r="A255" t="s" s="10">
        <v>477</v>
      </c>
      <c r="B255" t="s" s="11">
        <v>33</v>
      </c>
      <c r="C255" s="18">
        <v>400</v>
      </c>
      <c r="D255" s="18">
        <v>5</v>
      </c>
      <c r="E255" s="18">
        <v>20</v>
      </c>
      <c r="F255" t="s" s="19">
        <v>7</v>
      </c>
      <c r="G255" s="18">
        <v>1</v>
      </c>
      <c r="H255" t="s" s="19">
        <v>478</v>
      </c>
      <c r="I255" s="12"/>
      <c r="J255" t="s" s="19">
        <v>35</v>
      </c>
      <c r="K255" s="18">
        <f>(D255*6)+(E255*4)</f>
        <v>110</v>
      </c>
      <c r="L255" s="12"/>
      <c r="M255" s="12"/>
      <c r="N255" s="12"/>
      <c r="O255" s="12"/>
      <c r="P255" s="12"/>
    </row>
    <row r="256" ht="20.05" customHeight="1">
      <c r="A256" t="s" s="10">
        <v>479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t="s" s="19">
        <v>35</v>
      </c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480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481</v>
      </c>
      <c r="I257" s="12"/>
      <c r="J257" t="s" s="19">
        <v>35</v>
      </c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482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483</v>
      </c>
      <c r="I258" s="12"/>
      <c r="J258" t="s" s="19">
        <v>35</v>
      </c>
      <c r="K258" s="18">
        <f>(D258*6)+(E258*4)</f>
        <v>150</v>
      </c>
      <c r="L258" s="12"/>
      <c r="M258" s="12"/>
      <c r="N258" s="12"/>
      <c r="O258" s="12"/>
      <c r="P258" s="12"/>
    </row>
    <row r="259" ht="32" customHeight="1">
      <c r="A259" t="s" s="10">
        <v>484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485</v>
      </c>
      <c r="I259" s="12"/>
      <c r="J259" t="s" s="19">
        <v>35</v>
      </c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486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487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488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489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490</v>
      </c>
      <c r="B262" t="s" s="11">
        <v>33</v>
      </c>
      <c r="C262" s="18">
        <v>240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491</v>
      </c>
      <c r="I262" s="12"/>
      <c r="J262" t="s" s="19">
        <v>35</v>
      </c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492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493</v>
      </c>
      <c r="I263" s="12"/>
      <c r="J263" t="s" s="19">
        <v>35</v>
      </c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494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t="s" s="19">
        <v>35</v>
      </c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495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496</v>
      </c>
      <c r="I265" s="12"/>
      <c r="J265" t="s" s="19">
        <v>35</v>
      </c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497</v>
      </c>
      <c r="B266" t="s" s="11">
        <v>33</v>
      </c>
      <c r="C266" s="18">
        <v>200</v>
      </c>
      <c r="D266" s="18">
        <v>10</v>
      </c>
      <c r="E266" s="18">
        <v>10</v>
      </c>
      <c r="F266" t="s" s="19">
        <v>7</v>
      </c>
      <c r="G266" s="18">
        <v>1</v>
      </c>
      <c r="H266" t="s" s="19">
        <v>498</v>
      </c>
      <c r="I266" s="12"/>
      <c r="J266" t="s" s="19">
        <v>35</v>
      </c>
      <c r="K266" s="18">
        <f>(D266*6)+(E266*4)</f>
        <v>100</v>
      </c>
      <c r="L266" s="12"/>
      <c r="M266" s="12"/>
      <c r="N266" s="12"/>
      <c r="O266" s="12"/>
      <c r="P266" s="12"/>
    </row>
    <row r="267" ht="20.05" customHeight="1">
      <c r="A267" t="s" s="10">
        <v>499</v>
      </c>
      <c r="B267" t="s" s="11">
        <v>33</v>
      </c>
      <c r="C267" s="18">
        <v>120</v>
      </c>
      <c r="D267" s="18">
        <v>15</v>
      </c>
      <c r="E267" s="18">
        <v>15</v>
      </c>
      <c r="F267" t="s" s="19">
        <v>7</v>
      </c>
      <c r="G267" s="18">
        <v>1</v>
      </c>
      <c r="H267" t="s" s="19">
        <v>500</v>
      </c>
      <c r="I267" s="12"/>
      <c r="J267" t="s" s="19">
        <v>35</v>
      </c>
      <c r="K267" s="18">
        <f>(D267*6)+(E267*4)</f>
        <v>150</v>
      </c>
      <c r="L267" s="12"/>
      <c r="M267" s="12"/>
      <c r="N267" s="12"/>
      <c r="O267" s="12"/>
      <c r="P267" s="12"/>
    </row>
    <row r="268" ht="44.05" customHeight="1">
      <c r="A268" t="s" s="10">
        <v>501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403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502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503</v>
      </c>
      <c r="I269" s="12"/>
      <c r="J269" t="s" s="19">
        <v>35</v>
      </c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504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505</v>
      </c>
      <c r="I270" s="12"/>
      <c r="J270" t="s" s="19">
        <v>35</v>
      </c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506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507</v>
      </c>
      <c r="I271" s="12"/>
      <c r="J271" t="s" s="19">
        <v>35</v>
      </c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508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509</v>
      </c>
      <c r="I272" s="12"/>
      <c r="J272" t="s" s="19">
        <v>35</v>
      </c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510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511</v>
      </c>
      <c r="I273" s="12"/>
      <c r="J273" t="s" s="19">
        <v>35</v>
      </c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512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t="s" s="19">
        <v>35</v>
      </c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513</v>
      </c>
      <c r="B275" t="s" s="11">
        <v>33</v>
      </c>
      <c r="C275" s="18">
        <v>280</v>
      </c>
      <c r="D275" s="18">
        <v>0</v>
      </c>
      <c r="E275" s="18">
        <v>30</v>
      </c>
      <c r="F275" t="s" s="19">
        <v>7</v>
      </c>
      <c r="G275" s="18">
        <v>2</v>
      </c>
      <c r="H275" t="s" s="19">
        <v>514</v>
      </c>
      <c r="I275" s="12"/>
      <c r="J275" t="s" s="19">
        <v>35</v>
      </c>
      <c r="K275" s="18">
        <f>(D275*6)+(E275*4)</f>
        <v>120</v>
      </c>
      <c r="L275" s="12"/>
      <c r="M275" s="12"/>
      <c r="N275" s="12"/>
      <c r="O275" s="12"/>
      <c r="P275" s="12"/>
    </row>
    <row r="276" ht="44.05" customHeight="1">
      <c r="A276" t="s" s="10">
        <v>515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516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517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518</v>
      </c>
      <c r="I277" s="12"/>
      <c r="J277" t="s" s="19">
        <v>35</v>
      </c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519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520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521</v>
      </c>
      <c r="I279" s="12"/>
      <c r="J279" t="s" s="19">
        <v>35</v>
      </c>
      <c r="K279" s="18">
        <f>(D279*6)+(E279*4)</f>
        <v>260</v>
      </c>
      <c r="L279" s="12"/>
      <c r="M279" s="12"/>
      <c r="N279" s="12"/>
      <c r="O279" s="12"/>
      <c r="P279" s="12"/>
    </row>
    <row r="280" ht="26.7" customHeight="1">
      <c r="A280" t="s" s="10">
        <v>522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523</v>
      </c>
      <c r="I280" s="12"/>
      <c r="J280" t="s" s="19">
        <v>35</v>
      </c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524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525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526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527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528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529</v>
      </c>
      <c r="I285" s="12"/>
      <c r="J285" t="s" s="19">
        <v>35</v>
      </c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530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531</v>
      </c>
      <c r="I286" s="12"/>
      <c r="J286" t="s" s="19">
        <v>35</v>
      </c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532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533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534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535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536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537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538</v>
      </c>
      <c r="B290" t="s" s="11">
        <v>33</v>
      </c>
      <c r="C290" s="18">
        <v>500</v>
      </c>
      <c r="D290" s="18">
        <v>20</v>
      </c>
      <c r="E290" s="18">
        <v>40</v>
      </c>
      <c r="F290" t="s" s="19">
        <v>7</v>
      </c>
      <c r="G290" s="18">
        <v>3</v>
      </c>
      <c r="H290" t="s" s="19">
        <v>539</v>
      </c>
      <c r="I290" s="12"/>
      <c r="J290" t="s" s="19">
        <v>35</v>
      </c>
      <c r="K290" s="18">
        <f>(D290*6)+(E290*4)</f>
        <v>280</v>
      </c>
      <c r="L290" s="12"/>
      <c r="M290" s="12"/>
      <c r="N290" s="12"/>
      <c r="O290" s="12"/>
      <c r="P290" s="12"/>
    </row>
    <row r="291" ht="32.05" customHeight="1">
      <c r="A291" t="s" s="10">
        <v>540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541</v>
      </c>
      <c r="I291" s="12"/>
      <c r="J291" t="s" s="19">
        <v>35</v>
      </c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542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543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544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545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546</v>
      </c>
      <c r="I294" s="12"/>
      <c r="J294" t="s" s="19">
        <v>35</v>
      </c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547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t="s" s="19">
        <v>35</v>
      </c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548</v>
      </c>
      <c r="B296" t="s" s="11">
        <v>33</v>
      </c>
      <c r="C296" s="18">
        <v>1200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549</v>
      </c>
      <c r="I296" s="12"/>
      <c r="J296" s="12"/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550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551</v>
      </c>
      <c r="I297" s="12"/>
      <c r="J297" s="12"/>
      <c r="K297" s="18">
        <f>(D297*6)+(E297*4)</f>
        <v>540</v>
      </c>
      <c r="L297" s="12"/>
      <c r="M297" s="12"/>
      <c r="N297" s="12"/>
      <c r="O297" s="12"/>
      <c r="P297" s="12"/>
    </row>
    <row r="298" ht="44.05" customHeight="1">
      <c r="A298" t="s" s="10">
        <v>552</v>
      </c>
      <c r="B298" t="s" s="11">
        <v>33</v>
      </c>
      <c r="C298" s="18">
        <v>1000</v>
      </c>
      <c r="D298" s="18">
        <v>0</v>
      </c>
      <c r="E298" s="18">
        <v>0</v>
      </c>
      <c r="F298" t="s" s="19">
        <v>7</v>
      </c>
      <c r="G298" s="18">
        <v>4</v>
      </c>
      <c r="H298" t="s" s="19">
        <v>553</v>
      </c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32.05" customHeight="1">
      <c r="A299" t="s" s="10">
        <v>554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555</v>
      </c>
      <c r="I299" s="12"/>
      <c r="J299" s="12"/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556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557</v>
      </c>
      <c r="I300" s="12"/>
      <c r="J300" s="12"/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558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559</v>
      </c>
      <c r="I301" s="12"/>
      <c r="J301" s="12"/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560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561</v>
      </c>
      <c r="I302" s="12"/>
      <c r="J302" s="12"/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562</v>
      </c>
      <c r="B303" t="s" s="11">
        <v>33</v>
      </c>
      <c r="C303" s="18">
        <v>2000</v>
      </c>
      <c r="D303" s="18">
        <v>120</v>
      </c>
      <c r="E303" s="18">
        <v>120</v>
      </c>
      <c r="F303" t="s" s="19">
        <v>7</v>
      </c>
      <c r="G303" s="18">
        <v>5</v>
      </c>
      <c r="H303" t="s" s="19">
        <v>563</v>
      </c>
      <c r="I303" s="12"/>
      <c r="J303" s="12"/>
      <c r="K303" s="18">
        <f>(D303*6)+(E303*4)</f>
        <v>1200</v>
      </c>
      <c r="L303" s="12"/>
      <c r="M303" s="12"/>
      <c r="N303" s="12"/>
      <c r="O303" s="12"/>
      <c r="P303" s="12"/>
    </row>
    <row r="304" ht="20.05" customHeight="1">
      <c r="A304" t="s" s="10">
        <v>564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565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566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567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568</v>
      </c>
      <c r="B306" t="s" s="11">
        <v>33</v>
      </c>
      <c r="C306" s="18">
        <v>120</v>
      </c>
      <c r="D306" s="18">
        <v>25</v>
      </c>
      <c r="E306" s="18">
        <v>0</v>
      </c>
      <c r="F306" t="s" s="19">
        <v>11</v>
      </c>
      <c r="G306" s="18">
        <v>1</v>
      </c>
      <c r="H306" t="s" s="19">
        <v>39</v>
      </c>
      <c r="I306" s="12"/>
      <c r="J306" s="12"/>
      <c r="K306" s="18">
        <f>(D306*6)+(E306*4)</f>
        <v>150</v>
      </c>
      <c r="L306" s="12"/>
      <c r="M306" s="12"/>
      <c r="N306" s="12"/>
      <c r="O306" s="12"/>
      <c r="P306" s="12"/>
    </row>
    <row r="307" ht="20.05" customHeight="1">
      <c r="A307" t="s" s="10">
        <v>569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570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571</v>
      </c>
      <c r="B308" t="s" s="11">
        <v>33</v>
      </c>
      <c r="C308" s="18">
        <v>200</v>
      </c>
      <c r="D308" s="18">
        <v>20</v>
      </c>
      <c r="E308" s="18">
        <v>25</v>
      </c>
      <c r="F308" t="s" s="19">
        <v>11</v>
      </c>
      <c r="G308" s="18">
        <v>1</v>
      </c>
      <c r="H308" t="s" s="19">
        <v>39</v>
      </c>
      <c r="I308" s="12"/>
      <c r="J308" s="12"/>
      <c r="K308" s="18">
        <f>(D308*6)+(E308*4)</f>
        <v>220</v>
      </c>
      <c r="L308" s="12"/>
      <c r="M308" s="12"/>
      <c r="N308" s="12"/>
      <c r="O308" s="12"/>
      <c r="P308" s="12"/>
    </row>
    <row r="309" ht="44.05" customHeight="1">
      <c r="A309" t="s" s="10">
        <v>572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573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574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575</v>
      </c>
      <c r="I310" s="12"/>
      <c r="J310" s="12"/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576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577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578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579</v>
      </c>
      <c r="I312" s="12"/>
      <c r="J312" s="12"/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580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581</v>
      </c>
      <c r="I313" s="12"/>
      <c r="J313" s="12"/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582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583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584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585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586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587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588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589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590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591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592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s="12"/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593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594</v>
      </c>
      <c r="I320" s="12"/>
      <c r="J320" s="12"/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595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596</v>
      </c>
      <c r="I321" s="12"/>
      <c r="J321" s="12"/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597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s="12"/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598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599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600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601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602</v>
      </c>
      <c r="I325" s="12"/>
      <c r="J325" s="12"/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603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604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605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606</v>
      </c>
      <c r="I327" s="12"/>
      <c r="J327" s="12"/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607</v>
      </c>
      <c r="B328" t="s" s="11">
        <v>33</v>
      </c>
      <c r="C328" s="18">
        <v>100</v>
      </c>
      <c r="D328" s="18">
        <v>10</v>
      </c>
      <c r="E328" s="18">
        <v>15</v>
      </c>
      <c r="F328" t="s" s="19">
        <v>11</v>
      </c>
      <c r="G328" s="18">
        <v>2</v>
      </c>
      <c r="H328" t="s" s="19">
        <v>39</v>
      </c>
      <c r="I328" s="12"/>
      <c r="J328" s="12"/>
      <c r="K328" s="18">
        <f>(D328*6)+(E328*4)</f>
        <v>120</v>
      </c>
      <c r="L328" s="12"/>
      <c r="M328" s="12"/>
      <c r="N328" s="12"/>
      <c r="O328" s="12"/>
      <c r="P328" s="12"/>
    </row>
    <row r="329" ht="56.05" customHeight="1">
      <c r="A329" t="s" s="10">
        <v>608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609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610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611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612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s="12"/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613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614</v>
      </c>
      <c r="I332" s="12"/>
      <c r="J332" s="12"/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615</v>
      </c>
      <c r="B333" t="s" s="11">
        <v>33</v>
      </c>
      <c r="C333" s="18">
        <v>900</v>
      </c>
      <c r="D333" s="18">
        <v>80</v>
      </c>
      <c r="E333" s="18">
        <v>45</v>
      </c>
      <c r="F333" t="s" s="19">
        <v>11</v>
      </c>
      <c r="G333" s="18">
        <v>3</v>
      </c>
      <c r="H333" t="s" s="19">
        <v>616</v>
      </c>
      <c r="I333" s="12"/>
      <c r="J333" s="12"/>
      <c r="K333" s="18">
        <f>(D333*6)+(E333*4)</f>
        <v>660</v>
      </c>
      <c r="L333" s="12"/>
      <c r="M333" s="12"/>
      <c r="N333" s="12"/>
      <c r="O333" s="12"/>
      <c r="P333" s="12"/>
    </row>
    <row r="334" ht="20.05" customHeight="1">
      <c r="A334" t="s" s="10">
        <v>617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s="12"/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618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619</v>
      </c>
      <c r="I335" s="12"/>
      <c r="J335" s="12"/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620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2</v>
      </c>
      <c r="H336" t="s" s="19">
        <v>621</v>
      </c>
      <c r="I336" s="12"/>
      <c r="J336" s="12"/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622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623</v>
      </c>
      <c r="I337" s="12"/>
      <c r="J337" s="12"/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624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625</v>
      </c>
      <c r="I338" s="12"/>
      <c r="J338" s="12"/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626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627</v>
      </c>
      <c r="I339" s="12"/>
      <c r="J339" s="12"/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628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629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630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631</v>
      </c>
      <c r="I341" s="12"/>
      <c r="J341" s="12"/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632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633</v>
      </c>
      <c r="I342" s="12"/>
      <c r="J342" s="12"/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634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635</v>
      </c>
      <c r="I343" s="12"/>
      <c r="J343" s="12"/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636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637</v>
      </c>
      <c r="I344" s="12"/>
      <c r="J344" s="12"/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638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639</v>
      </c>
      <c r="I345" s="12"/>
      <c r="J345" s="12"/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640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641</v>
      </c>
      <c r="I346" s="12"/>
      <c r="J346" s="12"/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642</v>
      </c>
      <c r="B347" t="s" s="11">
        <v>33</v>
      </c>
      <c r="C347" s="18">
        <v>950</v>
      </c>
      <c r="D347" s="18">
        <v>40</v>
      </c>
      <c r="E347" s="18">
        <v>75</v>
      </c>
      <c r="F347" t="s" s="19">
        <v>11</v>
      </c>
      <c r="G347" s="18">
        <v>5</v>
      </c>
      <c r="H347" t="s" s="19">
        <v>643</v>
      </c>
      <c r="I347" s="12"/>
      <c r="J347" s="12"/>
      <c r="K347" s="18">
        <f>(D347*6)+(E347*4)</f>
        <v>540</v>
      </c>
      <c r="L347" s="12"/>
      <c r="M347" s="12"/>
      <c r="N347" s="12"/>
      <c r="O347" s="12"/>
      <c r="P347" s="12"/>
    </row>
    <row r="348" ht="32.05" customHeight="1">
      <c r="A348" t="s" s="10">
        <v>644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s="12"/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645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646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647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648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649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650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651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652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653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654</v>
      </c>
      <c r="I353" s="12"/>
      <c r="J353" s="12"/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655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656</v>
      </c>
      <c r="I354" s="12"/>
      <c r="J354" s="12"/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657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s="12"/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658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s="12"/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659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660</v>
      </c>
      <c r="I357" s="12"/>
      <c r="J357" s="12"/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661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662</v>
      </c>
      <c r="I358" s="12"/>
      <c r="J358" s="12"/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663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664</v>
      </c>
      <c r="I359" s="12"/>
      <c r="J359" s="12"/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665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666</v>
      </c>
      <c r="I360" s="12"/>
      <c r="J360" s="12"/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667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668</v>
      </c>
      <c r="I361" s="12"/>
      <c r="J361" s="12"/>
      <c r="K361" s="18">
        <f>(D361*6)+(E361*4)</f>
        <v>220</v>
      </c>
      <c r="L361" s="12"/>
      <c r="M361" s="12"/>
      <c r="N361" s="12"/>
      <c r="O361" s="12"/>
      <c r="P361" s="12"/>
    </row>
    <row r="362" ht="32.05" customHeight="1">
      <c r="A362" t="s" s="10">
        <v>669</v>
      </c>
      <c r="B362" t="s" s="11">
        <v>33</v>
      </c>
      <c r="C362" s="18">
        <v>150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670</v>
      </c>
      <c r="I362" s="12"/>
      <c r="J362" s="12"/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671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672</v>
      </c>
      <c r="I363" s="12"/>
      <c r="J363" s="12"/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673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674</v>
      </c>
      <c r="I364" s="12"/>
      <c r="J364" s="12"/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675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676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677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678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679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680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681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682</v>
      </c>
      <c r="I368" s="12"/>
      <c r="J368" s="12"/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683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684</v>
      </c>
      <c r="I369" s="12"/>
      <c r="J369" s="12"/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685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686</v>
      </c>
      <c r="I370" s="12"/>
      <c r="J370" s="12"/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687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688</v>
      </c>
      <c r="I371" s="12"/>
      <c r="J371" s="12"/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689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648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690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691</v>
      </c>
      <c r="I373" s="12"/>
      <c r="J373" s="12"/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692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693</v>
      </c>
      <c r="I374" s="12"/>
      <c r="J374" s="12"/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694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695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696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697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698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699</v>
      </c>
      <c r="I377" s="12"/>
      <c r="J377" s="12"/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700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701</v>
      </c>
      <c r="I378" s="12"/>
      <c r="J378" s="12"/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702</v>
      </c>
      <c r="B379" t="s" s="11">
        <v>33</v>
      </c>
      <c r="C379" s="18">
        <v>800</v>
      </c>
      <c r="D379" s="18">
        <v>20</v>
      </c>
      <c r="E379" s="18">
        <v>30</v>
      </c>
      <c r="F379" t="s" s="19">
        <v>13</v>
      </c>
      <c r="G379" s="18">
        <v>2</v>
      </c>
      <c r="H379" t="s" s="19">
        <v>703</v>
      </c>
      <c r="I379" s="12"/>
      <c r="J379" s="12"/>
      <c r="K379" s="18">
        <f>(D379*6)+(E379*4)</f>
        <v>240</v>
      </c>
      <c r="L379" s="12"/>
      <c r="M379" s="12"/>
      <c r="N379" s="12"/>
      <c r="O379" s="12"/>
      <c r="P379" s="12"/>
    </row>
    <row r="380" ht="33.5" customHeight="1">
      <c r="A380" t="s" s="10">
        <v>704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705</v>
      </c>
      <c r="I380" s="12"/>
      <c r="J380" s="12"/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706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707</v>
      </c>
      <c r="I381" s="12"/>
      <c r="J381" s="12"/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708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709</v>
      </c>
      <c r="I382" s="12"/>
      <c r="J382" s="12"/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710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711</v>
      </c>
      <c r="I383" s="12"/>
      <c r="J383" s="12"/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712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713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714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715</v>
      </c>
      <c r="I385" s="12"/>
      <c r="J385" s="12"/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716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646</v>
      </c>
      <c r="I386" s="12"/>
      <c r="J386" s="12"/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717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718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719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720</v>
      </c>
      <c r="I388" s="12"/>
      <c r="J388" s="12"/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721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722</v>
      </c>
      <c r="I389" s="12"/>
      <c r="J389" s="12"/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723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724</v>
      </c>
      <c r="I390" s="12"/>
      <c r="J390" s="12"/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725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726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727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s="12"/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728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s="12"/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729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730</v>
      </c>
      <c r="I394" s="12"/>
      <c r="J394" s="12"/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731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732</v>
      </c>
      <c r="I395" s="12"/>
      <c r="J395" s="12"/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733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734</v>
      </c>
      <c r="I396" s="12"/>
      <c r="J396" s="12"/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735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736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737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738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739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740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741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742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743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744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745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746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747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748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749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750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751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752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753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754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755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756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757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758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759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760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761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762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763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764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765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766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767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768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769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770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771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772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773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774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775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776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777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778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779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780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781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782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783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784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785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786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787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788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789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790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791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792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793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794</v>
      </c>
      <c r="B433" t="s" s="11">
        <v>33</v>
      </c>
      <c r="C433" s="18">
        <v>280</v>
      </c>
      <c r="D433" s="18">
        <v>30</v>
      </c>
      <c r="E433" s="18">
        <v>30</v>
      </c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300</v>
      </c>
      <c r="L433" s="12"/>
      <c r="M433" s="12"/>
      <c r="N433" s="12"/>
      <c r="O433" s="12"/>
      <c r="P433" s="12"/>
    </row>
    <row r="434" ht="20.05" customHeight="1">
      <c r="A434" t="s" s="10">
        <v>795</v>
      </c>
      <c r="B434" t="s" s="11">
        <v>33</v>
      </c>
      <c r="C434" s="18">
        <v>300</v>
      </c>
      <c r="D434" s="18">
        <v>35</v>
      </c>
      <c r="E434" s="18">
        <v>20</v>
      </c>
      <c r="F434" t="s" s="19">
        <v>15</v>
      </c>
      <c r="G434" s="18">
        <v>2</v>
      </c>
      <c r="H434" t="s" s="19">
        <v>796</v>
      </c>
      <c r="I434" s="12"/>
      <c r="J434" s="12"/>
      <c r="K434" s="18">
        <f>(D434*6)+(E434*4)</f>
        <v>290</v>
      </c>
      <c r="L434" s="12"/>
      <c r="M434" s="12"/>
      <c r="N434" s="12"/>
      <c r="O434" s="12"/>
      <c r="P434" s="12"/>
    </row>
    <row r="435" ht="20.05" customHeight="1">
      <c r="A435" t="s" s="10">
        <v>797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798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799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800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801</v>
      </c>
      <c r="B437" t="s" s="11">
        <v>33</v>
      </c>
      <c r="C437" s="18">
        <v>380</v>
      </c>
      <c r="D437" s="18">
        <v>40</v>
      </c>
      <c r="E437" s="18">
        <v>25</v>
      </c>
      <c r="F437" t="s" s="19">
        <v>15</v>
      </c>
      <c r="G437" s="18">
        <v>2</v>
      </c>
      <c r="H437" t="s" s="19">
        <v>802</v>
      </c>
      <c r="I437" s="12"/>
      <c r="J437" s="12"/>
      <c r="K437" s="18">
        <f>(D437*6)+(E437*4)</f>
        <v>340</v>
      </c>
      <c r="L437" s="12"/>
      <c r="M437" s="12"/>
      <c r="N437" s="12"/>
      <c r="O437" s="12"/>
      <c r="P437" s="12"/>
    </row>
    <row r="438" ht="20.05" customHeight="1">
      <c r="A438" t="s" s="10">
        <v>803</v>
      </c>
      <c r="B438" t="s" s="11">
        <v>33</v>
      </c>
      <c r="C438" s="18">
        <v>420</v>
      </c>
      <c r="D438" s="18">
        <v>25</v>
      </c>
      <c r="E438" s="18">
        <v>40</v>
      </c>
      <c r="F438" t="s" s="19">
        <v>15</v>
      </c>
      <c r="G438" s="18">
        <v>2</v>
      </c>
      <c r="H438" t="s" s="19">
        <v>804</v>
      </c>
      <c r="I438" s="12"/>
      <c r="J438" s="12"/>
      <c r="K438" s="18">
        <f>(D438*6)+(E438*4)</f>
        <v>310</v>
      </c>
      <c r="L438" s="12"/>
      <c r="M438" s="12"/>
      <c r="N438" s="12"/>
      <c r="O438" s="12"/>
      <c r="P438" s="12"/>
    </row>
    <row r="439" ht="20.05" customHeight="1">
      <c r="A439" t="s" s="10">
        <v>805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806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807</v>
      </c>
      <c r="B440" t="s" s="11">
        <v>33</v>
      </c>
      <c r="C440" s="18">
        <v>560</v>
      </c>
      <c r="D440" s="18">
        <v>40</v>
      </c>
      <c r="E440" s="18">
        <v>35</v>
      </c>
      <c r="F440" t="s" s="19">
        <v>15</v>
      </c>
      <c r="G440" s="18">
        <v>2</v>
      </c>
      <c r="H440" t="s" s="19">
        <v>808</v>
      </c>
      <c r="I440" s="12"/>
      <c r="J440" s="12"/>
      <c r="K440" s="18">
        <f>(D440*6)+(E440*4)</f>
        <v>380</v>
      </c>
      <c r="L440" s="12"/>
      <c r="M440" s="12"/>
      <c r="N440" s="12"/>
      <c r="O440" s="12"/>
      <c r="P440" s="12"/>
    </row>
    <row r="441" ht="20.05" customHeight="1">
      <c r="A441" t="s" s="10">
        <v>809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2</v>
      </c>
      <c r="H441" t="s" s="19">
        <v>810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811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812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813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814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815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816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817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818</v>
      </c>
      <c r="B446" t="s" s="11">
        <v>33</v>
      </c>
      <c r="C446" s="18">
        <v>800</v>
      </c>
      <c r="D446" s="18">
        <v>10</v>
      </c>
      <c r="E446" s="18">
        <v>15</v>
      </c>
      <c r="F446" t="s" s="19">
        <v>15</v>
      </c>
      <c r="G446" s="18">
        <v>2</v>
      </c>
      <c r="H446" t="s" s="19">
        <v>819</v>
      </c>
      <c r="I446" s="12"/>
      <c r="J446" s="12"/>
      <c r="K446" s="18">
        <f>(D446*6)+(E446*4)</f>
        <v>120</v>
      </c>
      <c r="L446" s="12"/>
      <c r="M446" s="12"/>
      <c r="N446" s="12"/>
      <c r="O446" s="12"/>
      <c r="P446" s="12"/>
    </row>
    <row r="447" ht="20.05" customHeight="1">
      <c r="A447" t="s" s="10">
        <v>820</v>
      </c>
      <c r="B447" t="s" s="11">
        <v>33</v>
      </c>
      <c r="C447" s="18">
        <v>500</v>
      </c>
      <c r="D447" s="18">
        <v>60</v>
      </c>
      <c r="E447" s="18">
        <v>30</v>
      </c>
      <c r="F447" t="s" s="19">
        <v>15</v>
      </c>
      <c r="G447" s="18">
        <v>3</v>
      </c>
      <c r="H447" t="s" s="19">
        <v>821</v>
      </c>
      <c r="I447" s="12"/>
      <c r="J447" s="12"/>
      <c r="K447" s="18">
        <f>(D447*6)+(E447*4)</f>
        <v>480</v>
      </c>
      <c r="L447" s="12"/>
      <c r="M447" s="12"/>
      <c r="N447" s="12"/>
      <c r="O447" s="12"/>
      <c r="P447" s="12"/>
    </row>
    <row r="448" ht="20.05" customHeight="1">
      <c r="A448" t="s" s="10">
        <v>822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823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824</v>
      </c>
      <c r="B449" t="s" s="11">
        <v>33</v>
      </c>
      <c r="C449" s="18">
        <v>750</v>
      </c>
      <c r="D449" s="18">
        <v>70</v>
      </c>
      <c r="E449" s="18">
        <v>60</v>
      </c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660</v>
      </c>
      <c r="L449" s="12"/>
      <c r="M449" s="12"/>
      <c r="N449" s="12"/>
      <c r="O449" s="12"/>
      <c r="P449" s="12"/>
    </row>
    <row r="450" ht="20.05" customHeight="1">
      <c r="A450" t="s" s="10">
        <v>825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826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827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828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829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830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831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832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833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834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835</v>
      </c>
      <c r="B455" t="s" s="11">
        <v>33</v>
      </c>
      <c r="C455" s="18">
        <v>350</v>
      </c>
      <c r="D455" s="18">
        <v>30</v>
      </c>
      <c r="E455" s="18">
        <v>20</v>
      </c>
      <c r="F455" t="s" s="19">
        <v>15</v>
      </c>
      <c r="G455" s="18">
        <v>2</v>
      </c>
      <c r="H455" t="s" s="19">
        <v>836</v>
      </c>
      <c r="I455" s="12"/>
      <c r="J455" s="12"/>
      <c r="K455" s="18">
        <f>(D455*6)+(E455*4)</f>
        <v>260</v>
      </c>
      <c r="L455" s="12"/>
      <c r="M455" s="12"/>
      <c r="N455" s="12"/>
      <c r="O455" s="12"/>
      <c r="P455" s="12"/>
    </row>
    <row r="456" ht="20.05" customHeight="1">
      <c r="A456" t="s" s="10">
        <v>837</v>
      </c>
      <c r="B456" t="s" s="11">
        <v>33</v>
      </c>
      <c r="C456" s="18">
        <v>780</v>
      </c>
      <c r="D456" s="18">
        <v>55</v>
      </c>
      <c r="E456" s="18">
        <v>50</v>
      </c>
      <c r="F456" t="s" s="19">
        <v>15</v>
      </c>
      <c r="G456" s="18">
        <v>3</v>
      </c>
      <c r="H456" t="s" s="19">
        <v>838</v>
      </c>
      <c r="I456" s="12"/>
      <c r="J456" s="12"/>
      <c r="K456" s="18">
        <f>(D456*6)+(E456*4)</f>
        <v>530</v>
      </c>
      <c r="L456" s="12"/>
      <c r="M456" s="12"/>
      <c r="N456" s="12"/>
      <c r="O456" s="12"/>
      <c r="P456" s="12"/>
    </row>
    <row r="457" ht="20.05" customHeight="1">
      <c r="A457" t="s" s="10">
        <v>839</v>
      </c>
      <c r="B457" t="s" s="11">
        <v>33</v>
      </c>
      <c r="C457" s="18">
        <v>800</v>
      </c>
      <c r="D457" s="18">
        <v>80</v>
      </c>
      <c r="E457" s="18">
        <v>20</v>
      </c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560</v>
      </c>
      <c r="L457" s="12"/>
      <c r="M457" s="12"/>
      <c r="N457" s="12"/>
      <c r="O457" s="12"/>
      <c r="P457" s="12"/>
    </row>
    <row r="458" ht="20.05" customHeight="1">
      <c r="A458" t="s" s="10">
        <v>840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841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842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843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844</v>
      </c>
      <c r="B460" t="s" s="11">
        <v>33</v>
      </c>
      <c r="C460" s="18">
        <v>660</v>
      </c>
      <c r="D460" s="18">
        <v>55</v>
      </c>
      <c r="E460" s="18">
        <v>40</v>
      </c>
      <c r="F460" t="s" s="19">
        <v>15</v>
      </c>
      <c r="G460" s="18">
        <v>4</v>
      </c>
      <c r="H460" t="s" s="19">
        <v>845</v>
      </c>
      <c r="I460" s="12"/>
      <c r="J460" s="12"/>
      <c r="K460" s="18">
        <f>(D460*6)+(E460*4)</f>
        <v>490</v>
      </c>
      <c r="L460" s="12"/>
      <c r="M460" s="12"/>
      <c r="N460" s="12"/>
      <c r="O460" s="12"/>
      <c r="P460" s="12"/>
    </row>
    <row r="461" ht="20.05" customHeight="1">
      <c r="A461" t="s" s="10">
        <v>846</v>
      </c>
      <c r="B461" t="s" s="11">
        <v>33</v>
      </c>
      <c r="C461" s="18">
        <v>550</v>
      </c>
      <c r="D461" s="18">
        <v>45</v>
      </c>
      <c r="E461" s="18">
        <v>35</v>
      </c>
      <c r="F461" t="s" s="19">
        <v>15</v>
      </c>
      <c r="G461" s="18">
        <v>4</v>
      </c>
      <c r="H461" t="s" s="19">
        <v>847</v>
      </c>
      <c r="I461" s="12"/>
      <c r="J461" s="12"/>
      <c r="K461" s="18">
        <f>(D461*6)+(E461*4)</f>
        <v>410</v>
      </c>
      <c r="L461" s="12"/>
      <c r="M461" s="12"/>
      <c r="N461" s="12"/>
      <c r="O461" s="12"/>
      <c r="P461" s="12"/>
    </row>
    <row r="462" ht="20.05" customHeight="1">
      <c r="A462" t="s" s="10">
        <v>848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849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850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851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852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853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854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855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856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857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858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859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860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861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862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863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864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865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866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867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868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869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870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871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872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873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874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875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876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877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878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879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880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881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882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883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884</v>
      </c>
      <c r="I480" s="12"/>
      <c r="J480" s="12"/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t="s" s="10">
        <v>885</v>
      </c>
      <c r="B481" t="s" s="11">
        <v>33</v>
      </c>
      <c r="C481" s="18">
        <v>300</v>
      </c>
      <c r="D481" s="18">
        <v>25</v>
      </c>
      <c r="E481" s="18">
        <v>0</v>
      </c>
      <c r="F481" t="s" s="19">
        <v>11</v>
      </c>
      <c r="G481" s="18">
        <v>2</v>
      </c>
      <c r="H481" t="s" s="19">
        <v>886</v>
      </c>
      <c r="I481" s="12"/>
      <c r="J481" s="19"/>
      <c r="K481" s="18">
        <f>(D481*6)+(E481*4)</f>
        <v>150</v>
      </c>
      <c r="L481" s="19"/>
      <c r="M481" s="12"/>
      <c r="N481" s="12"/>
      <c r="O481" s="19"/>
      <c r="P481" s="12"/>
    </row>
    <row r="482" ht="20.05" customHeight="1">
      <c r="A482" t="s" s="10">
        <v>887</v>
      </c>
      <c r="B482" t="s" s="11">
        <v>33</v>
      </c>
      <c r="C482" s="18">
        <v>500</v>
      </c>
      <c r="D482" s="18">
        <v>70</v>
      </c>
      <c r="E482" s="18">
        <v>15</v>
      </c>
      <c r="F482" t="s" s="19">
        <v>5</v>
      </c>
      <c r="G482" s="18">
        <v>3</v>
      </c>
      <c r="H482" t="s" s="19">
        <v>888</v>
      </c>
      <c r="I482" s="12"/>
      <c r="J482" s="19"/>
      <c r="K482" s="18">
        <f>(D482*6)+(E482*4)</f>
        <v>480</v>
      </c>
      <c r="L482" s="19"/>
      <c r="M482" s="12"/>
      <c r="N482" s="12"/>
      <c r="O482" s="12"/>
      <c r="P482" s="12"/>
    </row>
    <row r="483" ht="20.05" customHeight="1">
      <c r="A483" t="s" s="10">
        <v>889</v>
      </c>
      <c r="B483" t="s" s="11">
        <v>33</v>
      </c>
      <c r="C483" s="18">
        <v>450</v>
      </c>
      <c r="D483" s="18">
        <v>55</v>
      </c>
      <c r="E483" s="18">
        <v>20</v>
      </c>
      <c r="F483" t="s" s="19">
        <v>11</v>
      </c>
      <c r="G483" s="18">
        <v>3</v>
      </c>
      <c r="H483" t="s" s="19">
        <v>890</v>
      </c>
      <c r="I483" s="12"/>
      <c r="J483" s="19"/>
      <c r="K483" s="18">
        <f>(D483*6)+(E483*4)</f>
        <v>410</v>
      </c>
      <c r="L483" s="19"/>
      <c r="M483" s="12"/>
      <c r="N483" s="12"/>
      <c r="O483" s="12"/>
      <c r="P483" s="12"/>
    </row>
    <row r="484" ht="20.05" customHeight="1">
      <c r="A484" t="s" s="10">
        <v>891</v>
      </c>
      <c r="B484" t="s" s="11">
        <v>33</v>
      </c>
      <c r="C484" s="18">
        <v>800</v>
      </c>
      <c r="D484" s="18">
        <v>80</v>
      </c>
      <c r="E484" s="18">
        <v>60</v>
      </c>
      <c r="F484" t="s" s="19">
        <v>5</v>
      </c>
      <c r="G484" s="18">
        <v>4</v>
      </c>
      <c r="H484" t="s" s="19">
        <v>39</v>
      </c>
      <c r="I484" s="12"/>
      <c r="J484" s="19"/>
      <c r="K484" s="18">
        <f>(D484*6)+(E484*4)</f>
        <v>720</v>
      </c>
      <c r="L484" s="19"/>
      <c r="M484" s="12"/>
      <c r="N484" s="12"/>
      <c r="O484" s="12"/>
      <c r="P484" s="12"/>
    </row>
    <row r="485" ht="20.05" customHeight="1">
      <c r="A485" t="s" s="10">
        <v>892</v>
      </c>
      <c r="B485" t="s" s="11">
        <v>33</v>
      </c>
      <c r="C485" s="18">
        <v>580</v>
      </c>
      <c r="D485" s="18">
        <v>60</v>
      </c>
      <c r="E485" s="18">
        <v>30</v>
      </c>
      <c r="F485" t="s" s="19">
        <v>11</v>
      </c>
      <c r="G485" s="18">
        <v>3</v>
      </c>
      <c r="H485" t="s" s="19">
        <v>893</v>
      </c>
      <c r="I485" s="12"/>
      <c r="J485" s="19"/>
      <c r="K485" s="18">
        <f>(D485*6)+(E485*4)</f>
        <v>480</v>
      </c>
      <c r="L485" s="19"/>
      <c r="M485" s="12"/>
      <c r="N485" s="12"/>
      <c r="O485" s="12"/>
      <c r="P485" s="12"/>
    </row>
    <row r="486" ht="20.05" customHeight="1">
      <c r="A486" t="s" s="10">
        <v>894</v>
      </c>
      <c r="B486" t="s" s="11">
        <v>33</v>
      </c>
      <c r="C486" s="18">
        <v>500</v>
      </c>
      <c r="D486" s="18">
        <v>40</v>
      </c>
      <c r="E486" s="18">
        <v>30</v>
      </c>
      <c r="F486" t="s" s="19">
        <v>15</v>
      </c>
      <c r="G486" s="18">
        <v>2</v>
      </c>
      <c r="H486" t="s" s="19">
        <v>895</v>
      </c>
      <c r="I486" s="12"/>
      <c r="J486" s="19"/>
      <c r="K486" s="18">
        <f>(D486*6)+(E486*4)</f>
        <v>360</v>
      </c>
      <c r="L486" s="19"/>
      <c r="M486" s="12"/>
      <c r="N486" s="12"/>
      <c r="O486" s="12"/>
      <c r="P486" s="12"/>
    </row>
    <row r="487" ht="20.05" customHeight="1">
      <c r="A487" t="s" s="10">
        <v>896</v>
      </c>
      <c r="B487" t="s" s="11">
        <v>33</v>
      </c>
      <c r="C487" s="18">
        <v>300</v>
      </c>
      <c r="D487" s="18">
        <v>10</v>
      </c>
      <c r="E487" s="18">
        <v>25</v>
      </c>
      <c r="F487" t="s" s="19">
        <v>9</v>
      </c>
      <c r="G487" s="18">
        <v>2</v>
      </c>
      <c r="H487" t="s" s="19">
        <v>897</v>
      </c>
      <c r="I487" s="12"/>
      <c r="J487" s="19"/>
      <c r="K487" s="18">
        <f>(D487*6)+(E487*4)</f>
        <v>160</v>
      </c>
      <c r="L487" s="19"/>
      <c r="M487" s="12"/>
      <c r="N487" s="12"/>
      <c r="O487" s="12"/>
      <c r="P487" s="12"/>
    </row>
    <row r="488" ht="20.05" customHeight="1">
      <c r="A488" t="s" s="10">
        <v>898</v>
      </c>
      <c r="B488" t="s" s="11">
        <v>33</v>
      </c>
      <c r="C488" s="18">
        <v>320</v>
      </c>
      <c r="D488" s="18">
        <v>40</v>
      </c>
      <c r="E488" s="18">
        <v>20</v>
      </c>
      <c r="F488" t="s" s="19">
        <v>9</v>
      </c>
      <c r="G488" s="18">
        <v>1</v>
      </c>
      <c r="H488" t="s" s="19">
        <v>899</v>
      </c>
      <c r="I488" s="12"/>
      <c r="J488" s="19"/>
      <c r="K488" s="18">
        <f>(D488*6)+(E488*4)</f>
        <v>320</v>
      </c>
      <c r="L488" s="19"/>
      <c r="M488" s="12"/>
      <c r="N488" s="12"/>
      <c r="O488" s="12"/>
      <c r="P488" s="19"/>
    </row>
    <row r="489" ht="20.05" customHeight="1">
      <c r="A489" t="s" s="10">
        <v>900</v>
      </c>
      <c r="B489" t="s" s="11">
        <v>33</v>
      </c>
      <c r="C489" s="18">
        <v>290</v>
      </c>
      <c r="D489" s="18">
        <v>25</v>
      </c>
      <c r="E489" s="18">
        <v>35</v>
      </c>
      <c r="F489" t="s" s="19">
        <v>9</v>
      </c>
      <c r="G489" s="18">
        <v>1</v>
      </c>
      <c r="H489" t="s" s="19">
        <v>901</v>
      </c>
      <c r="I489" s="12"/>
      <c r="J489" s="19"/>
      <c r="K489" s="18">
        <f>(D489*6)+(E489*4)</f>
        <v>290</v>
      </c>
      <c r="L489" s="12"/>
      <c r="M489" s="12"/>
      <c r="N489" s="12"/>
      <c r="O489" s="12"/>
      <c r="P489" s="12"/>
    </row>
    <row r="490" ht="20.05" customHeight="1">
      <c r="A490" t="s" s="10">
        <v>902</v>
      </c>
      <c r="B490" t="s" s="11">
        <v>33</v>
      </c>
      <c r="C490" s="18">
        <v>250</v>
      </c>
      <c r="D490" s="18">
        <v>15</v>
      </c>
      <c r="E490" s="18">
        <v>15</v>
      </c>
      <c r="F490" t="s" s="19">
        <v>9</v>
      </c>
      <c r="G490" s="18">
        <v>2</v>
      </c>
      <c r="H490" t="s" s="19">
        <v>903</v>
      </c>
      <c r="I490" s="12"/>
      <c r="J490" s="19"/>
      <c r="K490" s="18">
        <f>(D490*6)+(E490*4)</f>
        <v>150</v>
      </c>
      <c r="L490" s="12"/>
      <c r="M490" s="12"/>
      <c r="N490" s="12"/>
      <c r="O490" s="12"/>
      <c r="P490" s="12"/>
    </row>
    <row r="491" ht="20.05" customHeight="1">
      <c r="A491" t="s" s="10">
        <v>904</v>
      </c>
      <c r="B491" t="s" s="11">
        <v>33</v>
      </c>
      <c r="C491" s="18">
        <v>400</v>
      </c>
      <c r="D491" s="18">
        <v>40</v>
      </c>
      <c r="E491" s="18">
        <v>35</v>
      </c>
      <c r="F491" t="s" s="19">
        <v>9</v>
      </c>
      <c r="G491" s="18">
        <v>2</v>
      </c>
      <c r="H491" t="s" s="19">
        <v>905</v>
      </c>
      <c r="I491" s="12"/>
      <c r="J491" s="19"/>
      <c r="K491" s="18">
        <f>(D491*6)+(E491*4)</f>
        <v>380</v>
      </c>
      <c r="L491" s="12"/>
      <c r="M491" s="12"/>
      <c r="N491" s="12"/>
      <c r="O491" s="12"/>
      <c r="P491" s="12"/>
    </row>
    <row r="492" ht="20.05" customHeight="1">
      <c r="A492" t="s" s="10">
        <v>906</v>
      </c>
      <c r="B492" t="s" s="11">
        <v>33</v>
      </c>
      <c r="C492" s="18">
        <v>500</v>
      </c>
      <c r="D492" s="18">
        <v>10</v>
      </c>
      <c r="E492" s="18">
        <v>30</v>
      </c>
      <c r="F492" t="s" s="19">
        <v>9</v>
      </c>
      <c r="G492" s="18">
        <v>2</v>
      </c>
      <c r="H492" t="s" s="19">
        <v>907</v>
      </c>
      <c r="I492" s="12"/>
      <c r="J492" s="19"/>
      <c r="K492" s="18">
        <f>(D492*6)+(E492*4)</f>
        <v>180</v>
      </c>
      <c r="L492" s="12"/>
      <c r="M492" s="12"/>
      <c r="N492" s="12"/>
      <c r="O492" s="12"/>
      <c r="P492" s="12"/>
    </row>
    <row r="493" ht="20.05" customHeight="1">
      <c r="A493" t="s" s="10">
        <v>908</v>
      </c>
      <c r="B493" t="s" s="11">
        <v>33</v>
      </c>
      <c r="C493" s="18">
        <v>400</v>
      </c>
      <c r="D493" s="18">
        <v>40</v>
      </c>
      <c r="E493" s="18">
        <v>40</v>
      </c>
      <c r="F493" t="s" s="19">
        <v>7</v>
      </c>
      <c r="G493" s="18">
        <v>2</v>
      </c>
      <c r="H493" t="s" s="19">
        <v>909</v>
      </c>
      <c r="I493" s="12"/>
      <c r="J493" s="19"/>
      <c r="K493" s="18">
        <f>(D493*6)+(E493*4)</f>
        <v>400</v>
      </c>
      <c r="L493" s="12"/>
      <c r="M493" s="12"/>
      <c r="N493" s="12"/>
      <c r="O493" s="12"/>
      <c r="P493" s="12"/>
    </row>
    <row r="494" ht="20.05" customHeight="1">
      <c r="A494" t="s" s="10">
        <v>910</v>
      </c>
      <c r="B494" t="s" s="11">
        <v>33</v>
      </c>
      <c r="C494" s="18">
        <v>950</v>
      </c>
      <c r="D494" s="18">
        <v>95</v>
      </c>
      <c r="E494" s="18">
        <v>70</v>
      </c>
      <c r="F494" t="s" s="19">
        <v>7</v>
      </c>
      <c r="G494" s="18">
        <v>4</v>
      </c>
      <c r="H494" t="s" s="19">
        <v>911</v>
      </c>
      <c r="I494" s="12"/>
      <c r="J494" s="19"/>
      <c r="K494" s="18">
        <f>(D494*6)+(E494*4)</f>
        <v>850</v>
      </c>
      <c r="L494" s="12"/>
      <c r="M494" s="12"/>
      <c r="N494" s="12"/>
      <c r="O494" s="12"/>
      <c r="P494" s="12"/>
    </row>
    <row r="495" ht="20.05" customHeight="1">
      <c r="A495" t="s" s="10">
        <v>912</v>
      </c>
      <c r="B495" t="s" s="11">
        <v>33</v>
      </c>
      <c r="C495" s="18">
        <v>600</v>
      </c>
      <c r="D495" s="18">
        <v>65</v>
      </c>
      <c r="E495" s="18">
        <v>35</v>
      </c>
      <c r="F495" t="s" s="19">
        <v>7</v>
      </c>
      <c r="G495" s="18">
        <v>3</v>
      </c>
      <c r="H495" t="s" s="19">
        <v>39</v>
      </c>
      <c r="I495" s="12"/>
      <c r="J495" s="19"/>
      <c r="K495" s="18">
        <f>(D495*6)+(E495*4)</f>
        <v>530</v>
      </c>
      <c r="L495" s="12"/>
      <c r="M495" s="12"/>
      <c r="N495" s="12"/>
      <c r="O495" s="12"/>
      <c r="P495" s="12"/>
    </row>
    <row r="496" ht="20.05" customHeight="1">
      <c r="A496" t="s" s="10">
        <v>913</v>
      </c>
      <c r="B496" t="s" s="11">
        <v>33</v>
      </c>
      <c r="C496" s="18">
        <v>1000</v>
      </c>
      <c r="D496" s="18">
        <v>60</v>
      </c>
      <c r="E496" s="18">
        <v>60</v>
      </c>
      <c r="F496" t="s" s="19">
        <v>7</v>
      </c>
      <c r="G496" s="18">
        <v>4</v>
      </c>
      <c r="H496" t="s" s="19">
        <v>914</v>
      </c>
      <c r="I496" s="12"/>
      <c r="J496" s="19"/>
      <c r="K496" s="18">
        <f>(D496*6)+(E496*4)</f>
        <v>600</v>
      </c>
      <c r="L496" s="12"/>
      <c r="M496" s="12"/>
      <c r="N496" s="12"/>
      <c r="O496" s="12"/>
      <c r="P496" s="12"/>
    </row>
    <row r="497" ht="20.05" customHeight="1">
      <c r="A497" t="s" s="10">
        <v>915</v>
      </c>
      <c r="B497" t="s" s="11">
        <v>33</v>
      </c>
      <c r="C497" s="18">
        <v>1250</v>
      </c>
      <c r="D497" s="18">
        <v>120</v>
      </c>
      <c r="E497" s="18">
        <v>110</v>
      </c>
      <c r="F497" t="s" s="19">
        <v>7</v>
      </c>
      <c r="G497" s="18">
        <v>5</v>
      </c>
      <c r="H497" t="s" s="19">
        <v>916</v>
      </c>
      <c r="I497" s="12"/>
      <c r="J497" s="19"/>
      <c r="K497" s="18">
        <f>(D497*6)+(E497*4)</f>
        <v>1160</v>
      </c>
      <c r="L497" s="12"/>
      <c r="M497" s="12"/>
      <c r="N497" s="12"/>
      <c r="O497" s="12"/>
      <c r="P497" s="12"/>
    </row>
    <row r="498" ht="20.05" customHeight="1">
      <c r="A498" t="s" s="10">
        <v>917</v>
      </c>
      <c r="B498" t="s" s="11">
        <v>33</v>
      </c>
      <c r="C498" s="18">
        <v>500</v>
      </c>
      <c r="D498" s="18">
        <v>50</v>
      </c>
      <c r="E498" s="18">
        <v>50</v>
      </c>
      <c r="F498" t="s" s="19">
        <v>5</v>
      </c>
      <c r="G498" s="18">
        <v>3</v>
      </c>
      <c r="H498" t="s" s="19">
        <v>39</v>
      </c>
      <c r="I498" s="12"/>
      <c r="J498" s="19"/>
      <c r="K498" s="18">
        <f>(D498*6)+(E498*4)</f>
        <v>500</v>
      </c>
      <c r="L498" s="12"/>
      <c r="M498" s="12"/>
      <c r="N498" s="12"/>
      <c r="O498" s="12"/>
      <c r="P498" s="12"/>
    </row>
    <row r="499" ht="20.05" customHeight="1">
      <c r="A499" t="s" s="10">
        <v>918</v>
      </c>
      <c r="B499" t="s" s="11">
        <v>33</v>
      </c>
      <c r="C499" s="18">
        <v>800</v>
      </c>
      <c r="D499" s="18">
        <v>75</v>
      </c>
      <c r="E499" s="18">
        <v>25</v>
      </c>
      <c r="F499" t="s" s="19">
        <v>5</v>
      </c>
      <c r="G499" s="18">
        <v>3</v>
      </c>
      <c r="H499" t="s" s="19">
        <v>919</v>
      </c>
      <c r="I499" s="12"/>
      <c r="J499" s="19"/>
      <c r="K499" s="18">
        <f>(D499*6)+(E499*4)</f>
        <v>550</v>
      </c>
      <c r="L499" s="12"/>
      <c r="M499" s="12"/>
      <c r="N499" s="12"/>
      <c r="O499" s="12"/>
      <c r="P499" s="12"/>
    </row>
    <row r="500" ht="20.05" customHeight="1">
      <c r="A500" t="s" s="10">
        <v>920</v>
      </c>
      <c r="B500" t="s" s="11">
        <v>33</v>
      </c>
      <c r="C500" s="18">
        <v>850</v>
      </c>
      <c r="D500" s="18">
        <v>40</v>
      </c>
      <c r="E500" s="18">
        <v>60</v>
      </c>
      <c r="F500" t="s" s="19">
        <v>5</v>
      </c>
      <c r="G500" s="18">
        <v>4</v>
      </c>
      <c r="H500" t="s" s="19">
        <v>921</v>
      </c>
      <c r="I500" s="12"/>
      <c r="J500" s="19"/>
      <c r="K500" s="18">
        <f>(D500*6)+(E500*4)</f>
        <v>480</v>
      </c>
      <c r="L500" s="12"/>
      <c r="M500" s="12"/>
      <c r="N500" s="12"/>
      <c r="O500" s="12"/>
      <c r="P500" s="12"/>
    </row>
    <row r="501" ht="20.05" customHeight="1">
      <c r="A501" t="s" s="10">
        <v>922</v>
      </c>
      <c r="B501" t="s" s="11">
        <v>33</v>
      </c>
      <c r="C501" s="18">
        <v>650</v>
      </c>
      <c r="D501" s="18">
        <v>55</v>
      </c>
      <c r="E501" s="18">
        <v>35</v>
      </c>
      <c r="F501" t="s" s="19">
        <v>5</v>
      </c>
      <c r="G501" s="18">
        <v>4</v>
      </c>
      <c r="H501" t="s" s="19">
        <v>923</v>
      </c>
      <c r="I501" s="12"/>
      <c r="J501" s="19"/>
      <c r="K501" s="18">
        <f>(D501*6)+(E501*4)</f>
        <v>470</v>
      </c>
      <c r="L501" s="12"/>
      <c r="M501" s="12"/>
      <c r="N501" s="12"/>
      <c r="O501" s="12"/>
      <c r="P501" s="12"/>
    </row>
    <row r="502" ht="20.05" customHeight="1">
      <c r="A502" t="s" s="10">
        <v>924</v>
      </c>
      <c r="B502" t="s" s="11">
        <v>33</v>
      </c>
      <c r="C502" s="18">
        <v>820</v>
      </c>
      <c r="D502" s="18">
        <v>55</v>
      </c>
      <c r="E502" s="18">
        <v>70</v>
      </c>
      <c r="F502" t="s" s="19">
        <v>3</v>
      </c>
      <c r="G502" s="18">
        <v>4</v>
      </c>
      <c r="H502" t="s" s="19">
        <v>925</v>
      </c>
      <c r="I502" s="12"/>
      <c r="J502" s="19"/>
      <c r="K502" s="18">
        <f>(D502*6)+(E502*4)</f>
        <v>610</v>
      </c>
      <c r="L502" s="19"/>
      <c r="M502" s="12"/>
      <c r="N502" s="12"/>
      <c r="O502" s="19"/>
      <c r="P502" s="12"/>
    </row>
    <row r="503" ht="20.05" customHeight="1">
      <c r="A503" t="s" s="10">
        <v>926</v>
      </c>
      <c r="B503" t="s" s="11">
        <v>33</v>
      </c>
      <c r="C503" s="18">
        <v>700</v>
      </c>
      <c r="D503" s="18">
        <v>80</v>
      </c>
      <c r="E503" s="18">
        <v>25</v>
      </c>
      <c r="F503" t="s" s="19">
        <v>3</v>
      </c>
      <c r="G503" s="18">
        <v>3</v>
      </c>
      <c r="H503" t="s" s="19">
        <v>927</v>
      </c>
      <c r="I503" s="12"/>
      <c r="J503" s="19"/>
      <c r="K503" s="18">
        <f>(D503*6)+(E503*4)</f>
        <v>580</v>
      </c>
      <c r="L503" s="19"/>
      <c r="M503" s="12"/>
      <c r="N503" s="12"/>
      <c r="O503" s="19"/>
      <c r="P503" s="12"/>
    </row>
    <row r="504" ht="20.05" customHeight="1">
      <c r="A504" t="s" s="10">
        <v>928</v>
      </c>
      <c r="B504" t="s" s="11">
        <v>33</v>
      </c>
      <c r="C504" s="18">
        <v>750</v>
      </c>
      <c r="D504" s="18">
        <v>60</v>
      </c>
      <c r="E504" s="18">
        <v>60</v>
      </c>
      <c r="F504" t="s" s="19">
        <v>3</v>
      </c>
      <c r="G504" s="18">
        <v>3</v>
      </c>
      <c r="H504" t="s" s="19">
        <v>929</v>
      </c>
      <c r="I504" s="12"/>
      <c r="J504" s="19"/>
      <c r="K504" s="18">
        <f>(D504*6)+(E504*4)</f>
        <v>600</v>
      </c>
      <c r="L504" s="19"/>
      <c r="M504" s="12"/>
      <c r="N504" s="12"/>
      <c r="O504" s="19"/>
      <c r="P504" s="12"/>
    </row>
    <row r="505" ht="20.05" customHeight="1">
      <c r="A505" t="s" s="10">
        <v>930</v>
      </c>
      <c r="B505" t="s" s="11">
        <v>33</v>
      </c>
      <c r="C505" s="18">
        <v>900</v>
      </c>
      <c r="D505" s="18">
        <v>65</v>
      </c>
      <c r="E505" s="18">
        <v>50</v>
      </c>
      <c r="F505" t="s" s="19">
        <v>15</v>
      </c>
      <c r="G505" s="18">
        <v>3</v>
      </c>
      <c r="H505" t="s" s="19">
        <v>931</v>
      </c>
      <c r="I505" s="12"/>
      <c r="J505" s="19"/>
      <c r="K505" s="18">
        <f>(D505*6)+(E505*4)</f>
        <v>590</v>
      </c>
      <c r="L505" s="12"/>
      <c r="M505" s="12"/>
      <c r="N505" s="12"/>
      <c r="O505" s="12"/>
      <c r="P505" s="12"/>
    </row>
    <row r="506" ht="33.05" customHeight="1">
      <c r="A506" t="s" s="10">
        <v>932</v>
      </c>
      <c r="B506" t="s" s="11">
        <v>33</v>
      </c>
      <c r="C506" s="18">
        <v>1000</v>
      </c>
      <c r="D506" s="18">
        <v>80</v>
      </c>
      <c r="E506" s="18">
        <v>55</v>
      </c>
      <c r="F506" t="s" s="19">
        <v>15</v>
      </c>
      <c r="G506" s="18">
        <v>4</v>
      </c>
      <c r="H506" t="s" s="19">
        <v>933</v>
      </c>
      <c r="I506" s="12"/>
      <c r="J506" s="19"/>
      <c r="K506" s="18">
        <f>(D506*6)+(E506*4)</f>
        <v>700</v>
      </c>
      <c r="L506" s="12"/>
      <c r="M506" s="12"/>
      <c r="N506" s="12"/>
      <c r="O506" s="12"/>
      <c r="P506" s="12"/>
    </row>
    <row r="507" ht="20.05" customHeight="1">
      <c r="A507" t="s" s="10">
        <v>934</v>
      </c>
      <c r="B507" t="s" s="11">
        <v>33</v>
      </c>
      <c r="C507" s="18">
        <v>1300</v>
      </c>
      <c r="D507" s="18">
        <v>140</v>
      </c>
      <c r="E507" s="18">
        <v>100</v>
      </c>
      <c r="F507" t="s" s="19">
        <v>3</v>
      </c>
      <c r="G507" s="18">
        <v>5</v>
      </c>
      <c r="H507" t="s" s="19">
        <v>39</v>
      </c>
      <c r="I507" s="12"/>
      <c r="J507" s="19"/>
      <c r="K507" s="18">
        <f>(D507*6)+(E507*4)</f>
        <v>1240</v>
      </c>
      <c r="L507" s="12"/>
      <c r="M507" s="12"/>
      <c r="N507" s="12"/>
      <c r="O507" s="12"/>
      <c r="P507" s="12"/>
    </row>
    <row r="508" ht="20.05" customHeight="1">
      <c r="A508" t="s" s="10">
        <v>935</v>
      </c>
      <c r="B508" t="s" s="11">
        <v>33</v>
      </c>
      <c r="C508" s="18">
        <v>1000</v>
      </c>
      <c r="D508" s="18">
        <v>160</v>
      </c>
      <c r="E508" s="18">
        <v>0</v>
      </c>
      <c r="F508" t="s" s="19">
        <v>3</v>
      </c>
      <c r="G508" s="18">
        <v>5</v>
      </c>
      <c r="H508" t="s" s="19">
        <v>936</v>
      </c>
      <c r="I508" s="12"/>
      <c r="J508" s="19"/>
      <c r="K508" s="18">
        <f>(D508*6)+(E508*4)</f>
        <v>960</v>
      </c>
      <c r="L508" s="12"/>
      <c r="M508" s="12"/>
      <c r="N508" s="12"/>
      <c r="O508" s="12"/>
      <c r="P508" s="12"/>
    </row>
    <row r="509" ht="20.05" customHeight="1">
      <c r="A509" t="s" s="10">
        <v>937</v>
      </c>
      <c r="B509" t="s" s="11">
        <v>33</v>
      </c>
      <c r="C509" s="18">
        <v>500</v>
      </c>
      <c r="D509" s="18">
        <v>20</v>
      </c>
      <c r="E509" s="18">
        <v>20</v>
      </c>
      <c r="F509" t="s" s="19">
        <v>11</v>
      </c>
      <c r="G509" s="18">
        <v>2</v>
      </c>
      <c r="H509" t="s" s="19">
        <v>938</v>
      </c>
      <c r="I509" s="12"/>
      <c r="J509" s="19"/>
      <c r="K509" s="18">
        <f>(D509*6)+(E509*4)</f>
        <v>200</v>
      </c>
      <c r="L509" s="12"/>
      <c r="M509" s="12"/>
      <c r="N509" s="12"/>
      <c r="O509" s="12"/>
      <c r="P509" s="12"/>
    </row>
    <row r="510" ht="20.05" customHeight="1">
      <c r="A510" t="s" s="10">
        <v>939</v>
      </c>
      <c r="B510" t="s" s="11">
        <v>33</v>
      </c>
      <c r="C510" s="18">
        <v>400</v>
      </c>
      <c r="D510" s="18">
        <v>0</v>
      </c>
      <c r="E510" s="18">
        <v>80</v>
      </c>
      <c r="F510" t="s" s="19">
        <v>11</v>
      </c>
      <c r="G510" s="18">
        <v>3</v>
      </c>
      <c r="H510" t="s" s="19">
        <v>39</v>
      </c>
      <c r="I510" s="12"/>
      <c r="J510" s="12"/>
      <c r="K510" s="18">
        <f>(D510*6)+(E510*4)</f>
        <v>320</v>
      </c>
      <c r="L510" s="12"/>
      <c r="M510" s="12"/>
      <c r="N510" s="12"/>
      <c r="O510" s="12"/>
      <c r="P510" s="12"/>
    </row>
    <row r="511" ht="20.05" customHeight="1">
      <c r="A511" t="s" s="10">
        <v>940</v>
      </c>
      <c r="B511" t="s" s="11">
        <v>33</v>
      </c>
      <c r="C511" s="18">
        <v>800</v>
      </c>
      <c r="D511" s="18">
        <v>50</v>
      </c>
      <c r="E511" s="18">
        <v>90</v>
      </c>
      <c r="F511" t="s" s="19">
        <v>3</v>
      </c>
      <c r="G511" s="18">
        <v>5</v>
      </c>
      <c r="H511" t="s" s="19">
        <v>941</v>
      </c>
      <c r="I511" s="12"/>
      <c r="J511" s="19"/>
      <c r="K511" s="18">
        <f>(D511*6)+(E511*4)</f>
        <v>660</v>
      </c>
      <c r="L511" s="19"/>
      <c r="M511" s="12"/>
      <c r="N511" s="12"/>
      <c r="O511" s="12"/>
      <c r="P511" s="12"/>
    </row>
    <row r="512" ht="20.05" customHeight="1">
      <c r="A512" t="s" s="10">
        <v>942</v>
      </c>
      <c r="B512" t="s" s="11">
        <v>33</v>
      </c>
      <c r="C512" s="18">
        <v>750</v>
      </c>
      <c r="D512" s="18">
        <v>85</v>
      </c>
      <c r="E512" s="18">
        <v>55</v>
      </c>
      <c r="F512" t="s" s="19">
        <v>5</v>
      </c>
      <c r="G512" s="18">
        <v>4</v>
      </c>
      <c r="H512" t="s" s="19">
        <v>943</v>
      </c>
      <c r="I512" s="12"/>
      <c r="J512" s="19"/>
      <c r="K512" s="18">
        <f>(D512*6)+(E512*4)</f>
        <v>730</v>
      </c>
      <c r="L512" s="19"/>
      <c r="M512" s="12"/>
      <c r="N512" s="12"/>
      <c r="O512" s="12"/>
      <c r="P512" s="12"/>
    </row>
    <row r="513" ht="20.05" customHeight="1">
      <c r="A513" t="s" s="10">
        <v>944</v>
      </c>
      <c r="B513" t="s" s="11">
        <v>33</v>
      </c>
      <c r="C513" s="18">
        <v>600</v>
      </c>
      <c r="D513" s="18">
        <v>50</v>
      </c>
      <c r="E513" s="18">
        <v>50</v>
      </c>
      <c r="F513" t="s" s="19">
        <v>7</v>
      </c>
      <c r="G513" s="18">
        <v>3</v>
      </c>
      <c r="H513" t="s" s="19">
        <v>945</v>
      </c>
      <c r="I513" s="12"/>
      <c r="J513" s="19"/>
      <c r="K513" s="18">
        <f>(D513*6)+(E513*4)</f>
        <v>500</v>
      </c>
      <c r="L513" s="19"/>
      <c r="M513" s="12"/>
      <c r="N513" s="12"/>
      <c r="O513" s="12"/>
      <c r="P513" s="12"/>
    </row>
    <row r="514" ht="20.05" customHeight="1">
      <c r="A514" s="13"/>
      <c r="B514" s="1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3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946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947</v>
      </c>
      <c r="I2" t="s" s="5">
        <v>948</v>
      </c>
      <c r="J2" t="s" s="5">
        <v>949</v>
      </c>
      <c r="K2" t="s" s="5">
        <v>950</v>
      </c>
      <c r="L2" t="s" s="5">
        <v>951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952</v>
      </c>
      <c r="B3" t="s" s="25">
        <v>946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953</v>
      </c>
      <c r="K3" t="s" s="28">
        <v>954</v>
      </c>
      <c r="L3" t="s" s="28">
        <v>955</v>
      </c>
      <c r="M3" t="s" s="28">
        <v>35</v>
      </c>
      <c r="N3" t="s" s="28">
        <v>35</v>
      </c>
      <c r="O3" s="26"/>
    </row>
    <row r="4" ht="62.7" customHeight="1">
      <c r="A4" t="s" s="10">
        <v>956</v>
      </c>
      <c r="B4" t="s" s="25">
        <v>946</v>
      </c>
      <c r="C4" s="29"/>
      <c r="D4" s="30">
        <v>120</v>
      </c>
      <c r="E4" s="30">
        <v>120</v>
      </c>
      <c r="F4" t="s" s="31">
        <v>3</v>
      </c>
      <c r="G4" s="29"/>
      <c r="H4" t="s" s="31">
        <v>957</v>
      </c>
      <c r="I4" t="s" s="31">
        <v>958</v>
      </c>
      <c r="J4" t="s" s="31">
        <v>959</v>
      </c>
      <c r="K4" t="s" s="31">
        <v>960</v>
      </c>
      <c r="L4" t="s" s="31">
        <v>961</v>
      </c>
      <c r="M4" t="s" s="31">
        <v>35</v>
      </c>
      <c r="N4" t="s" s="31">
        <v>35</v>
      </c>
      <c r="O4" s="29"/>
    </row>
    <row r="5" ht="62.7" customHeight="1">
      <c r="A5" t="s" s="10">
        <v>962</v>
      </c>
      <c r="B5" t="s" s="25">
        <v>946</v>
      </c>
      <c r="C5" s="29"/>
      <c r="D5" s="30">
        <v>0</v>
      </c>
      <c r="E5" s="30">
        <v>210</v>
      </c>
      <c r="F5" t="s" s="31">
        <v>9</v>
      </c>
      <c r="G5" s="29"/>
      <c r="H5" t="s" s="31">
        <v>39</v>
      </c>
      <c r="I5" t="s" s="31">
        <v>39</v>
      </c>
      <c r="J5" t="s" s="31">
        <v>963</v>
      </c>
      <c r="K5" t="s" s="31">
        <v>964</v>
      </c>
      <c r="L5" t="s" s="31">
        <v>965</v>
      </c>
      <c r="M5" t="s" s="31">
        <v>35</v>
      </c>
      <c r="N5" t="s" s="31">
        <v>35</v>
      </c>
      <c r="O5" s="29"/>
    </row>
    <row r="6" ht="62.7" customHeight="1">
      <c r="A6" t="s" s="10">
        <v>966</v>
      </c>
      <c r="B6" t="s" s="25">
        <v>946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967</v>
      </c>
      <c r="K6" t="s" s="31">
        <v>968</v>
      </c>
      <c r="L6" t="s" s="31">
        <v>969</v>
      </c>
      <c r="M6" t="s" s="31">
        <v>35</v>
      </c>
      <c r="N6" t="s" s="31">
        <v>35</v>
      </c>
      <c r="O6" s="29"/>
    </row>
    <row r="7" ht="62.7" customHeight="1">
      <c r="A7" t="s" s="10">
        <v>970</v>
      </c>
      <c r="B7" t="s" s="25">
        <v>946</v>
      </c>
      <c r="C7" s="29"/>
      <c r="D7" s="30">
        <v>50</v>
      </c>
      <c r="E7" s="30">
        <v>50</v>
      </c>
      <c r="F7" t="s" s="31">
        <v>15</v>
      </c>
      <c r="G7" s="29"/>
      <c r="H7" t="s" s="31">
        <v>971</v>
      </c>
      <c r="I7" t="s" s="31">
        <v>972</v>
      </c>
      <c r="J7" t="s" s="31">
        <v>973</v>
      </c>
      <c r="K7" t="s" s="31">
        <v>974</v>
      </c>
      <c r="L7" t="s" s="31">
        <v>975</v>
      </c>
      <c r="M7" t="s" s="31">
        <v>35</v>
      </c>
      <c r="N7" t="s" s="31">
        <v>35</v>
      </c>
      <c r="O7" s="29"/>
    </row>
    <row r="8" ht="62.7" customHeight="1">
      <c r="A8" t="s" s="10">
        <v>976</v>
      </c>
      <c r="B8" t="s" s="25">
        <v>946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953</v>
      </c>
      <c r="K8" t="s" s="31">
        <v>977</v>
      </c>
      <c r="L8" t="s" s="31">
        <v>978</v>
      </c>
      <c r="M8" t="s" s="31">
        <v>35</v>
      </c>
      <c r="N8" t="s" s="31">
        <v>35</v>
      </c>
      <c r="O8" s="29"/>
    </row>
    <row r="9" ht="62.7" customHeight="1">
      <c r="A9" t="s" s="10">
        <v>979</v>
      </c>
      <c r="B9" t="s" s="25">
        <v>946</v>
      </c>
      <c r="C9" s="29"/>
      <c r="D9" s="30">
        <v>150</v>
      </c>
      <c r="E9" s="30">
        <v>100</v>
      </c>
      <c r="F9" t="s" s="31">
        <v>5</v>
      </c>
      <c r="G9" s="29"/>
      <c r="H9" t="s" s="31">
        <v>980</v>
      </c>
      <c r="I9" t="s" s="31">
        <v>981</v>
      </c>
      <c r="J9" t="s" s="31">
        <v>982</v>
      </c>
      <c r="K9" t="s" s="31">
        <v>983</v>
      </c>
      <c r="L9" t="s" s="31">
        <v>984</v>
      </c>
      <c r="M9" t="s" s="31">
        <v>35</v>
      </c>
      <c r="N9" t="s" s="31">
        <v>35</v>
      </c>
      <c r="O9" s="29"/>
    </row>
    <row r="10" ht="62.7" customHeight="1">
      <c r="A10" t="s" s="10">
        <v>985</v>
      </c>
      <c r="B10" t="s" s="25">
        <v>946</v>
      </c>
      <c r="C10" s="29"/>
      <c r="D10" s="30">
        <v>95</v>
      </c>
      <c r="E10" s="30">
        <v>60</v>
      </c>
      <c r="F10" t="s" s="31">
        <v>9</v>
      </c>
      <c r="G10" s="29"/>
      <c r="H10" t="s" s="31">
        <v>986</v>
      </c>
      <c r="I10" t="s" s="31">
        <v>987</v>
      </c>
      <c r="J10" t="s" s="31">
        <v>988</v>
      </c>
      <c r="K10" t="s" s="31">
        <v>989</v>
      </c>
      <c r="L10" t="s" s="31">
        <v>990</v>
      </c>
      <c r="M10" t="s" s="31">
        <v>35</v>
      </c>
      <c r="N10" t="s" s="31">
        <v>35</v>
      </c>
      <c r="O10" s="29"/>
    </row>
    <row r="11" ht="62.7" customHeight="1">
      <c r="A11" t="s" s="10">
        <v>991</v>
      </c>
      <c r="B11" t="s" s="25">
        <v>946</v>
      </c>
      <c r="C11" s="29"/>
      <c r="D11" s="30">
        <v>30</v>
      </c>
      <c r="E11" s="30">
        <v>50</v>
      </c>
      <c r="F11" t="s" s="31">
        <v>5</v>
      </c>
      <c r="G11" s="29"/>
      <c r="H11" t="s" s="31">
        <v>992</v>
      </c>
      <c r="I11" t="s" s="31">
        <v>993</v>
      </c>
      <c r="J11" t="s" s="31">
        <v>994</v>
      </c>
      <c r="K11" t="s" s="31">
        <v>995</v>
      </c>
      <c r="L11" t="s" s="31">
        <v>996</v>
      </c>
      <c r="M11" t="s" s="31">
        <v>35</v>
      </c>
      <c r="N11" t="s" s="31">
        <v>35</v>
      </c>
      <c r="O11" s="29"/>
    </row>
    <row r="12" ht="62.7" customHeight="1">
      <c r="A12" t="s" s="10">
        <v>997</v>
      </c>
      <c r="B12" t="s" s="25">
        <v>946</v>
      </c>
      <c r="C12" s="29"/>
      <c r="D12" s="30">
        <v>30</v>
      </c>
      <c r="E12" s="30">
        <v>30</v>
      </c>
      <c r="F12" t="s" s="31">
        <v>3</v>
      </c>
      <c r="G12" s="29"/>
      <c r="H12" t="s" s="31">
        <v>998</v>
      </c>
      <c r="I12" t="s" s="31">
        <v>999</v>
      </c>
      <c r="J12" t="s" s="31">
        <v>1000</v>
      </c>
      <c r="K12" t="s" s="31">
        <v>1001</v>
      </c>
      <c r="L12" t="s" s="31">
        <v>1002</v>
      </c>
      <c r="M12" t="s" s="31">
        <v>35</v>
      </c>
      <c r="N12" t="s" s="31">
        <v>35</v>
      </c>
      <c r="O12" s="29"/>
    </row>
    <row r="13" ht="62.7" customHeight="1">
      <c r="A13" t="s" s="10">
        <v>1003</v>
      </c>
      <c r="B13" t="s" s="25">
        <v>946</v>
      </c>
      <c r="C13" s="29"/>
      <c r="D13" s="30">
        <v>30</v>
      </c>
      <c r="E13" s="30">
        <v>35</v>
      </c>
      <c r="F13" t="s" s="31">
        <v>3</v>
      </c>
      <c r="G13" s="29"/>
      <c r="H13" t="s" s="31">
        <v>1004</v>
      </c>
      <c r="I13" t="s" s="31">
        <v>1005</v>
      </c>
      <c r="J13" t="s" s="31">
        <v>1006</v>
      </c>
      <c r="K13" t="s" s="31">
        <v>1007</v>
      </c>
      <c r="L13" t="s" s="31">
        <v>1008</v>
      </c>
      <c r="M13" t="s" s="31">
        <v>35</v>
      </c>
      <c r="N13" t="s" s="31">
        <v>35</v>
      </c>
      <c r="O13" s="29"/>
    </row>
    <row r="14" ht="62.7" customHeight="1">
      <c r="A14" t="s" s="10">
        <v>1009</v>
      </c>
      <c r="B14" t="s" s="25">
        <v>946</v>
      </c>
      <c r="C14" s="29"/>
      <c r="D14" s="30">
        <v>35</v>
      </c>
      <c r="E14" s="30">
        <v>35</v>
      </c>
      <c r="F14" t="s" s="31">
        <v>3</v>
      </c>
      <c r="G14" s="29"/>
      <c r="H14" t="s" s="31">
        <v>1010</v>
      </c>
      <c r="I14" t="s" s="31">
        <v>1011</v>
      </c>
      <c r="J14" t="s" s="31">
        <v>1012</v>
      </c>
      <c r="K14" t="s" s="31">
        <v>1013</v>
      </c>
      <c r="L14" t="s" s="31">
        <v>1014</v>
      </c>
      <c r="M14" t="s" s="31">
        <v>35</v>
      </c>
      <c r="N14" t="s" s="31">
        <v>35</v>
      </c>
      <c r="O14" s="29"/>
    </row>
    <row r="15" ht="62.7" customHeight="1">
      <c r="A15" t="s" s="10">
        <v>1015</v>
      </c>
      <c r="B15" t="s" s="25">
        <v>946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994</v>
      </c>
      <c r="K15" t="s" s="31">
        <v>1016</v>
      </c>
      <c r="L15" t="s" s="31">
        <v>1017</v>
      </c>
      <c r="M15" t="s" s="31">
        <v>35</v>
      </c>
      <c r="N15" t="s" s="31">
        <v>35</v>
      </c>
      <c r="O15" s="29"/>
    </row>
    <row r="16" ht="62.7" customHeight="1">
      <c r="A16" t="s" s="10">
        <v>1018</v>
      </c>
      <c r="B16" t="s" s="25">
        <v>946</v>
      </c>
      <c r="C16" s="29"/>
      <c r="D16" s="30">
        <v>0</v>
      </c>
      <c r="E16" s="30">
        <v>0</v>
      </c>
      <c r="F16" t="s" s="31">
        <v>3</v>
      </c>
      <c r="G16" s="29"/>
      <c r="H16" t="s" s="31">
        <v>1019</v>
      </c>
      <c r="I16" t="s" s="31">
        <v>1020</v>
      </c>
      <c r="J16" t="s" s="31">
        <v>988</v>
      </c>
      <c r="K16" t="s" s="31">
        <v>1021</v>
      </c>
      <c r="L16" t="s" s="31">
        <v>1022</v>
      </c>
      <c r="M16" t="s" s="31">
        <v>35</v>
      </c>
      <c r="N16" t="s" s="31">
        <v>35</v>
      </c>
      <c r="O16" s="29"/>
    </row>
    <row r="17" ht="62.7" customHeight="1">
      <c r="A17" t="s" s="10">
        <v>1023</v>
      </c>
      <c r="B17" t="s" s="25">
        <v>946</v>
      </c>
      <c r="C17" s="29"/>
      <c r="D17" s="30">
        <v>20</v>
      </c>
      <c r="E17" s="30">
        <v>80</v>
      </c>
      <c r="F17" t="s" s="31">
        <v>13</v>
      </c>
      <c r="G17" s="29"/>
      <c r="H17" t="s" s="31">
        <v>1024</v>
      </c>
      <c r="I17" t="s" s="31">
        <v>1025</v>
      </c>
      <c r="J17" t="s" s="31">
        <v>1006</v>
      </c>
      <c r="K17" t="s" s="31">
        <v>1026</v>
      </c>
      <c r="L17" t="s" s="31">
        <v>1027</v>
      </c>
      <c r="M17" t="s" s="31">
        <v>35</v>
      </c>
      <c r="N17" t="s" s="31">
        <v>35</v>
      </c>
      <c r="O17" s="29"/>
    </row>
    <row r="18" ht="62.7" customHeight="1">
      <c r="A18" t="s" s="10">
        <v>1028</v>
      </c>
      <c r="B18" t="s" s="25">
        <v>946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1000</v>
      </c>
      <c r="K18" t="s" s="31">
        <v>1029</v>
      </c>
      <c r="L18" t="s" s="31">
        <v>1030</v>
      </c>
      <c r="M18" t="s" s="31">
        <v>35</v>
      </c>
      <c r="N18" t="s" s="31">
        <v>35</v>
      </c>
      <c r="O18" s="29"/>
    </row>
    <row r="19" ht="62.7" customHeight="1">
      <c r="A19" t="s" s="10">
        <v>1031</v>
      </c>
      <c r="B19" t="s" s="25">
        <v>946</v>
      </c>
      <c r="C19" s="29"/>
      <c r="D19" s="30">
        <v>50</v>
      </c>
      <c r="E19" s="30">
        <v>30</v>
      </c>
      <c r="F19" t="s" s="31">
        <v>5</v>
      </c>
      <c r="G19" s="29"/>
      <c r="H19" t="s" s="31">
        <v>1032</v>
      </c>
      <c r="I19" t="s" s="31">
        <v>1033</v>
      </c>
      <c r="J19" t="s" s="31">
        <v>1034</v>
      </c>
      <c r="K19" t="s" s="31">
        <v>1035</v>
      </c>
      <c r="L19" t="s" s="31">
        <v>1036</v>
      </c>
      <c r="M19" t="s" s="31">
        <v>35</v>
      </c>
      <c r="N19" t="s" s="31">
        <v>35</v>
      </c>
      <c r="O19" s="29"/>
    </row>
    <row r="20" ht="62.7" customHeight="1">
      <c r="A20" t="s" s="10">
        <v>1037</v>
      </c>
      <c r="B20" t="s" s="25">
        <v>946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1038</v>
      </c>
      <c r="K20" t="s" s="31">
        <v>1039</v>
      </c>
      <c r="L20" t="s" s="31">
        <v>1040</v>
      </c>
      <c r="M20" t="s" s="31">
        <v>35</v>
      </c>
      <c r="N20" t="s" s="31">
        <v>35</v>
      </c>
      <c r="O20" s="29"/>
    </row>
    <row r="21" ht="62.7" customHeight="1">
      <c r="A21" t="s" s="10">
        <v>1041</v>
      </c>
      <c r="B21" t="s" s="25">
        <v>946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1042</v>
      </c>
      <c r="K21" t="s" s="31">
        <v>1043</v>
      </c>
      <c r="L21" t="s" s="31">
        <v>1044</v>
      </c>
      <c r="M21" t="s" s="31">
        <v>35</v>
      </c>
      <c r="N21" t="s" s="31">
        <v>35</v>
      </c>
      <c r="O21" s="29"/>
    </row>
    <row r="22" ht="62.7" customHeight="1">
      <c r="A22" t="s" s="10">
        <v>1045</v>
      </c>
      <c r="B22" t="s" s="25">
        <v>946</v>
      </c>
      <c r="C22" s="29"/>
      <c r="D22" s="30">
        <v>150</v>
      </c>
      <c r="E22" s="30">
        <v>100</v>
      </c>
      <c r="F22" t="s" s="31">
        <v>9</v>
      </c>
      <c r="G22" s="29"/>
      <c r="H22" t="s" s="31">
        <v>1046</v>
      </c>
      <c r="I22" t="s" s="31">
        <v>1047</v>
      </c>
      <c r="J22" t="s" s="31">
        <v>959</v>
      </c>
      <c r="K22" t="s" s="31">
        <v>1048</v>
      </c>
      <c r="L22" t="s" s="31">
        <v>1049</v>
      </c>
      <c r="M22" t="s" s="31">
        <v>35</v>
      </c>
      <c r="N22" t="s" s="31">
        <v>35</v>
      </c>
      <c r="O22" s="29"/>
    </row>
    <row r="23" ht="62.7" customHeight="1">
      <c r="A23" t="s" s="10">
        <v>1050</v>
      </c>
      <c r="B23" t="s" s="25">
        <v>946</v>
      </c>
      <c r="C23" s="29"/>
      <c r="D23" s="30">
        <v>0</v>
      </c>
      <c r="E23" s="30">
        <v>80</v>
      </c>
      <c r="F23" t="s" s="31">
        <v>9</v>
      </c>
      <c r="G23" s="29"/>
      <c r="H23" t="s" s="31">
        <v>1051</v>
      </c>
      <c r="I23" t="s" s="31">
        <v>1052</v>
      </c>
      <c r="J23" t="s" s="31">
        <v>1053</v>
      </c>
      <c r="K23" t="s" s="31">
        <v>1054</v>
      </c>
      <c r="L23" t="s" s="31">
        <v>1055</v>
      </c>
      <c r="M23" t="s" s="31">
        <v>35</v>
      </c>
      <c r="N23" t="s" s="31">
        <v>35</v>
      </c>
      <c r="O23" s="29"/>
    </row>
    <row r="24" ht="62.7" customHeight="1">
      <c r="A24" t="s" s="10">
        <v>1056</v>
      </c>
      <c r="B24" t="s" s="25">
        <v>946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1057</v>
      </c>
      <c r="K24" t="s" s="31">
        <v>1058</v>
      </c>
      <c r="L24" t="s" s="31">
        <v>1059</v>
      </c>
      <c r="M24" t="s" s="31">
        <v>35</v>
      </c>
      <c r="N24" t="s" s="31">
        <v>35</v>
      </c>
      <c r="O24" s="29"/>
    </row>
    <row r="25" ht="62.7" customHeight="1">
      <c r="A25" t="s" s="10">
        <v>1060</v>
      </c>
      <c r="B25" t="s" s="25">
        <v>946</v>
      </c>
      <c r="C25" s="29"/>
      <c r="D25" s="30">
        <v>125</v>
      </c>
      <c r="E25" s="30">
        <v>50</v>
      </c>
      <c r="F25" t="s" s="31">
        <v>7</v>
      </c>
      <c r="G25" s="29"/>
      <c r="H25" t="s" s="31">
        <v>1061</v>
      </c>
      <c r="I25" t="s" s="31">
        <v>1062</v>
      </c>
      <c r="J25" t="s" s="31">
        <v>1063</v>
      </c>
      <c r="K25" t="s" s="31">
        <v>1064</v>
      </c>
      <c r="L25" t="s" s="31">
        <v>1065</v>
      </c>
      <c r="M25" t="s" s="31">
        <v>35</v>
      </c>
      <c r="N25" t="s" s="31">
        <v>35</v>
      </c>
      <c r="O25" s="29"/>
    </row>
    <row r="26" ht="62.7" customHeight="1">
      <c r="A26" t="s" s="10">
        <v>1066</v>
      </c>
      <c r="B26" t="s" s="25">
        <v>946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1067</v>
      </c>
      <c r="K26" t="s" s="31">
        <v>1068</v>
      </c>
      <c r="L26" t="s" s="31">
        <v>1069</v>
      </c>
      <c r="M26" t="s" s="31">
        <v>35</v>
      </c>
      <c r="N26" t="s" s="31">
        <v>35</v>
      </c>
      <c r="O26" s="29"/>
    </row>
    <row r="27" ht="74.7" customHeight="1">
      <c r="A27" t="s" s="10">
        <v>1070</v>
      </c>
      <c r="B27" t="s" s="25">
        <v>946</v>
      </c>
      <c r="C27" s="29"/>
      <c r="D27" s="30">
        <v>30</v>
      </c>
      <c r="E27" s="30">
        <v>40</v>
      </c>
      <c r="F27" t="s" s="31">
        <v>3</v>
      </c>
      <c r="G27" s="29"/>
      <c r="H27" t="s" s="31">
        <v>1071</v>
      </c>
      <c r="I27" t="s" s="31">
        <v>1072</v>
      </c>
      <c r="J27" t="s" s="31">
        <v>1073</v>
      </c>
      <c r="K27" t="s" s="31">
        <v>1074</v>
      </c>
      <c r="L27" t="s" s="31">
        <v>1075</v>
      </c>
      <c r="M27" t="s" s="31">
        <v>35</v>
      </c>
      <c r="N27" t="s" s="31">
        <v>35</v>
      </c>
      <c r="O27" s="29"/>
    </row>
    <row r="28" ht="62.7" customHeight="1">
      <c r="A28" t="s" s="10">
        <v>1076</v>
      </c>
      <c r="B28" t="s" s="25">
        <v>946</v>
      </c>
      <c r="C28" s="29"/>
      <c r="D28" s="30">
        <v>40</v>
      </c>
      <c r="E28" s="30">
        <v>40</v>
      </c>
      <c r="F28" t="s" s="31">
        <v>7</v>
      </c>
      <c r="G28" s="29"/>
      <c r="H28" t="s" s="31">
        <v>1077</v>
      </c>
      <c r="I28" t="s" s="31">
        <v>1078</v>
      </c>
      <c r="J28" t="s" s="31">
        <v>1079</v>
      </c>
      <c r="K28" t="s" s="31">
        <v>1080</v>
      </c>
      <c r="L28" t="s" s="31">
        <v>1081</v>
      </c>
      <c r="M28" t="s" s="31">
        <v>35</v>
      </c>
      <c r="N28" t="s" s="31">
        <v>35</v>
      </c>
      <c r="O28" s="29"/>
    </row>
    <row r="29" ht="74.7" customHeight="1">
      <c r="A29" t="s" s="10">
        <v>1082</v>
      </c>
      <c r="B29" t="s" s="25">
        <v>946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1053</v>
      </c>
      <c r="K29" t="s" s="31">
        <v>1083</v>
      </c>
      <c r="L29" t="s" s="31">
        <v>1084</v>
      </c>
      <c r="M29" t="s" s="31">
        <v>35</v>
      </c>
      <c r="N29" t="s" s="31">
        <v>35</v>
      </c>
      <c r="O29" s="29"/>
    </row>
    <row r="30" ht="74.7" customHeight="1">
      <c r="A30" t="s" s="10">
        <v>1085</v>
      </c>
      <c r="B30" t="s" s="25">
        <v>946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1086</v>
      </c>
      <c r="I30" t="s" s="31">
        <v>1087</v>
      </c>
      <c r="J30" t="s" s="31">
        <v>953</v>
      </c>
      <c r="K30" t="s" s="31">
        <v>1088</v>
      </c>
      <c r="L30" t="s" s="31">
        <v>1089</v>
      </c>
      <c r="M30" t="s" s="31">
        <v>35</v>
      </c>
      <c r="N30" t="s" s="31">
        <v>35</v>
      </c>
      <c r="O30" s="29"/>
    </row>
    <row r="31" ht="74.7" customHeight="1">
      <c r="A31" t="s" s="10">
        <v>1090</v>
      </c>
      <c r="B31" t="s" s="25">
        <v>946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1091</v>
      </c>
      <c r="I31" t="s" s="31">
        <v>1092</v>
      </c>
      <c r="J31" t="s" s="31">
        <v>1006</v>
      </c>
      <c r="K31" t="s" s="31">
        <v>1093</v>
      </c>
      <c r="L31" t="s" s="31">
        <v>1094</v>
      </c>
      <c r="M31" t="s" s="31">
        <v>35</v>
      </c>
      <c r="N31" t="s" s="31">
        <v>35</v>
      </c>
      <c r="O31" s="29"/>
    </row>
    <row r="32" ht="74.7" customHeight="1">
      <c r="A32" t="s" s="10">
        <v>1095</v>
      </c>
      <c r="B32" t="s" s="25">
        <v>946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1096</v>
      </c>
      <c r="I32" t="s" s="31">
        <v>1097</v>
      </c>
      <c r="J32" t="s" s="31">
        <v>1098</v>
      </c>
      <c r="K32" t="s" s="31">
        <v>1099</v>
      </c>
      <c r="L32" t="s" s="31">
        <v>1100</v>
      </c>
      <c r="M32" t="s" s="31">
        <v>35</v>
      </c>
      <c r="N32" t="s" s="31">
        <v>35</v>
      </c>
      <c r="O32" s="29"/>
    </row>
    <row r="33" ht="74.7" customHeight="1">
      <c r="A33" t="s" s="10">
        <v>1101</v>
      </c>
      <c r="B33" t="s" s="25">
        <v>946</v>
      </c>
      <c r="C33" s="29"/>
      <c r="D33" s="30">
        <v>80</v>
      </c>
      <c r="E33" s="30">
        <v>55</v>
      </c>
      <c r="F33" t="s" s="31">
        <v>15</v>
      </c>
      <c r="G33" s="29"/>
      <c r="H33" t="s" s="31">
        <v>1102</v>
      </c>
      <c r="I33" t="s" s="31">
        <v>1103</v>
      </c>
      <c r="J33" t="s" s="31">
        <v>1104</v>
      </c>
      <c r="K33" t="s" s="31">
        <v>1105</v>
      </c>
      <c r="L33" t="s" s="31">
        <v>1106</v>
      </c>
      <c r="M33" t="s" s="31">
        <v>35</v>
      </c>
      <c r="N33" t="s" s="31">
        <v>35</v>
      </c>
      <c r="O33" s="29"/>
    </row>
    <row r="34" ht="74.7" customHeight="1">
      <c r="A34" t="s" s="10">
        <v>1107</v>
      </c>
      <c r="B34" t="s" s="25">
        <v>946</v>
      </c>
      <c r="C34" s="29"/>
      <c r="D34" s="30">
        <v>65</v>
      </c>
      <c r="E34" s="30">
        <v>50</v>
      </c>
      <c r="F34" t="s" s="31">
        <v>15</v>
      </c>
      <c r="G34" s="29"/>
      <c r="H34" t="s" s="31">
        <v>1108</v>
      </c>
      <c r="I34" t="s" s="31">
        <v>1109</v>
      </c>
      <c r="J34" t="s" s="31">
        <v>1098</v>
      </c>
      <c r="K34" t="s" s="31">
        <v>1110</v>
      </c>
      <c r="L34" t="s" s="31">
        <v>1111</v>
      </c>
      <c r="M34" t="s" s="31">
        <v>35</v>
      </c>
      <c r="N34" t="s" s="31">
        <v>35</v>
      </c>
      <c r="O34" s="29"/>
    </row>
    <row r="35" ht="74.7" customHeight="1">
      <c r="A35" t="s" s="10">
        <v>1112</v>
      </c>
      <c r="B35" t="s" s="25">
        <v>946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1113</v>
      </c>
      <c r="K35" t="s" s="31">
        <v>1114</v>
      </c>
      <c r="L35" t="s" s="31">
        <v>1115</v>
      </c>
      <c r="M35" t="s" s="31">
        <v>35</v>
      </c>
      <c r="N35" t="s" s="31">
        <v>35</v>
      </c>
      <c r="O35" s="29"/>
    </row>
    <row r="36" ht="74.7" customHeight="1">
      <c r="A36" t="s" s="10">
        <v>1116</v>
      </c>
      <c r="B36" t="s" s="25">
        <v>946</v>
      </c>
      <c r="C36" s="29"/>
      <c r="D36" s="30">
        <v>60</v>
      </c>
      <c r="E36" s="30">
        <v>0</v>
      </c>
      <c r="F36" t="s" s="31">
        <v>13</v>
      </c>
      <c r="G36" s="29"/>
      <c r="H36" t="s" s="31">
        <v>1117</v>
      </c>
      <c r="I36" t="s" s="31">
        <v>1118</v>
      </c>
      <c r="J36" t="s" s="31">
        <v>1104</v>
      </c>
      <c r="K36" t="s" s="31">
        <v>1119</v>
      </c>
      <c r="L36" t="s" s="31">
        <v>1120</v>
      </c>
      <c r="M36" t="s" s="31">
        <v>35</v>
      </c>
      <c r="N36" t="s" s="31">
        <v>35</v>
      </c>
      <c r="O36" s="29"/>
    </row>
    <row r="37" ht="62.7" customHeight="1">
      <c r="A37" t="s" s="10">
        <v>1121</v>
      </c>
      <c r="B37" t="s" s="25">
        <v>946</v>
      </c>
      <c r="C37" s="29"/>
      <c r="D37" s="30">
        <v>55</v>
      </c>
      <c r="E37" s="30">
        <v>40</v>
      </c>
      <c r="F37" t="s" s="31">
        <v>11</v>
      </c>
      <c r="G37" s="29"/>
      <c r="H37" t="s" s="31">
        <v>1122</v>
      </c>
      <c r="I37" t="s" s="31">
        <v>1123</v>
      </c>
      <c r="J37" t="s" s="31">
        <v>1124</v>
      </c>
      <c r="K37" t="s" s="31">
        <v>1125</v>
      </c>
      <c r="L37" t="s" s="31">
        <v>1126</v>
      </c>
      <c r="M37" t="s" s="31">
        <v>35</v>
      </c>
      <c r="N37" s="31"/>
      <c r="O37" s="29"/>
    </row>
    <row r="38" ht="74.7" customHeight="1">
      <c r="A38" t="s" s="10">
        <v>1127</v>
      </c>
      <c r="B38" t="s" s="25">
        <v>946</v>
      </c>
      <c r="C38" s="29"/>
      <c r="D38" s="30">
        <v>30</v>
      </c>
      <c r="E38" s="30">
        <v>20</v>
      </c>
      <c r="F38" t="s" s="31">
        <v>11</v>
      </c>
      <c r="G38" s="29"/>
      <c r="H38" t="s" s="31">
        <v>1128</v>
      </c>
      <c r="I38" t="s" s="31">
        <v>1129</v>
      </c>
      <c r="J38" t="s" s="31">
        <v>1104</v>
      </c>
      <c r="K38" t="s" s="31">
        <v>1130</v>
      </c>
      <c r="L38" t="s" s="31">
        <v>1131</v>
      </c>
      <c r="M38" t="s" s="31">
        <v>35</v>
      </c>
      <c r="N38" t="s" s="31">
        <v>35</v>
      </c>
      <c r="O38" s="29"/>
    </row>
    <row r="39" ht="62.7" customHeight="1">
      <c r="A39" t="s" s="10">
        <v>1132</v>
      </c>
      <c r="B39" t="s" s="25">
        <v>946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1133</v>
      </c>
      <c r="I39" t="s" s="31">
        <v>1134</v>
      </c>
      <c r="J39" t="s" s="31">
        <v>1135</v>
      </c>
      <c r="K39" t="s" s="31">
        <v>1136</v>
      </c>
      <c r="L39" t="s" s="31">
        <v>1137</v>
      </c>
      <c r="M39" s="29"/>
      <c r="N39" s="29"/>
      <c r="O39" s="29"/>
    </row>
    <row r="40" ht="74.7" customHeight="1">
      <c r="A40" t="s" s="10">
        <v>1138</v>
      </c>
      <c r="B40" t="s" s="25">
        <v>946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1139</v>
      </c>
      <c r="I40" t="s" s="31">
        <v>1140</v>
      </c>
      <c r="J40" t="s" s="31">
        <v>982</v>
      </c>
      <c r="K40" t="s" s="31">
        <v>1141</v>
      </c>
      <c r="L40" t="s" s="31">
        <v>1008</v>
      </c>
      <c r="M40" t="s" s="31">
        <v>35</v>
      </c>
      <c r="N40" t="s" s="31">
        <v>35</v>
      </c>
      <c r="O40" s="29"/>
    </row>
    <row r="41" ht="62.7" customHeight="1">
      <c r="A41" t="s" s="10">
        <v>1142</v>
      </c>
      <c r="B41" t="s" s="25">
        <v>946</v>
      </c>
      <c r="C41" s="29"/>
      <c r="D41" s="30">
        <v>80</v>
      </c>
      <c r="E41" s="30">
        <v>60</v>
      </c>
      <c r="F41" t="s" s="31">
        <v>13</v>
      </c>
      <c r="G41" s="29"/>
      <c r="H41" t="s" s="31">
        <v>1143</v>
      </c>
      <c r="I41" t="s" s="31">
        <v>1144</v>
      </c>
      <c r="J41" t="s" s="31">
        <v>953</v>
      </c>
      <c r="K41" t="s" s="31">
        <v>1145</v>
      </c>
      <c r="L41" t="s" s="31">
        <v>1146</v>
      </c>
      <c r="M41" s="29"/>
      <c r="N41" s="29"/>
      <c r="O41" s="29"/>
    </row>
    <row r="42" ht="62.7" customHeight="1">
      <c r="A42" t="s" s="10">
        <v>1147</v>
      </c>
      <c r="B42" t="s" s="25">
        <v>946</v>
      </c>
      <c r="C42" s="29"/>
      <c r="D42" s="30">
        <v>50</v>
      </c>
      <c r="E42" s="30">
        <v>70</v>
      </c>
      <c r="F42" t="s" s="31">
        <v>13</v>
      </c>
      <c r="G42" s="29"/>
      <c r="H42" t="s" s="31">
        <v>1148</v>
      </c>
      <c r="I42" t="s" s="31">
        <v>1149</v>
      </c>
      <c r="J42" t="s" s="31">
        <v>959</v>
      </c>
      <c r="K42" t="s" s="31">
        <v>1150</v>
      </c>
      <c r="L42" t="s" s="31">
        <v>1151</v>
      </c>
      <c r="M42" s="29"/>
      <c r="N42" s="29"/>
      <c r="O42" s="29"/>
    </row>
    <row r="43" ht="62.7" customHeight="1">
      <c r="A43" t="s" s="10">
        <v>1152</v>
      </c>
      <c r="B43" t="s" s="25">
        <v>946</v>
      </c>
      <c r="C43" s="29"/>
      <c r="D43" s="30">
        <v>150</v>
      </c>
      <c r="E43" s="30">
        <v>0</v>
      </c>
      <c r="F43" t="s" s="31">
        <v>11</v>
      </c>
      <c r="G43" s="29"/>
      <c r="H43" t="s" s="31">
        <v>1153</v>
      </c>
      <c r="I43" t="s" s="31">
        <v>1154</v>
      </c>
      <c r="J43" t="s" s="31">
        <v>1155</v>
      </c>
      <c r="K43" t="s" s="31">
        <v>1156</v>
      </c>
      <c r="L43" t="s" s="31">
        <v>1157</v>
      </c>
      <c r="M43" t="s" s="31">
        <v>35</v>
      </c>
      <c r="N43" t="s" s="31">
        <v>35</v>
      </c>
      <c r="O43" s="29"/>
    </row>
    <row r="44" ht="62.7" customHeight="1">
      <c r="A44" t="s" s="10">
        <v>1158</v>
      </c>
      <c r="B44" t="s" s="25">
        <v>946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1159</v>
      </c>
      <c r="I44" t="s" s="31">
        <v>1160</v>
      </c>
      <c r="J44" t="s" s="31">
        <v>959</v>
      </c>
      <c r="K44" t="s" s="31">
        <v>1161</v>
      </c>
      <c r="L44" t="s" s="31">
        <v>1162</v>
      </c>
      <c r="M44" s="29"/>
      <c r="N44" s="29"/>
      <c r="O44" s="29"/>
    </row>
    <row r="45" ht="62.7" customHeight="1">
      <c r="A45" t="s" s="10">
        <v>1163</v>
      </c>
      <c r="B45" t="s" s="25">
        <v>946</v>
      </c>
      <c r="C45" s="29"/>
      <c r="D45" s="30">
        <v>60</v>
      </c>
      <c r="E45" s="30">
        <v>40</v>
      </c>
      <c r="F45" t="s" s="31">
        <v>3</v>
      </c>
      <c r="G45" s="29"/>
      <c r="H45" t="s" s="31">
        <v>1164</v>
      </c>
      <c r="I45" t="s" s="31">
        <v>1165</v>
      </c>
      <c r="J45" t="s" s="31">
        <v>953</v>
      </c>
      <c r="K45" t="s" s="31">
        <v>1166</v>
      </c>
      <c r="L45" t="s" s="31">
        <v>1167</v>
      </c>
      <c r="M45" s="29"/>
      <c r="N45" s="29"/>
      <c r="O45" s="29"/>
    </row>
    <row r="46" ht="62.7" customHeight="1">
      <c r="A46" t="s" s="10">
        <v>1168</v>
      </c>
      <c r="B46" t="s" s="25">
        <v>946</v>
      </c>
      <c r="C46" s="29"/>
      <c r="D46" s="30">
        <v>40</v>
      </c>
      <c r="E46" s="30">
        <v>65</v>
      </c>
      <c r="F46" t="s" s="31">
        <v>3</v>
      </c>
      <c r="G46" s="29"/>
      <c r="H46" t="s" s="31">
        <v>1169</v>
      </c>
      <c r="I46" t="s" s="31">
        <v>1170</v>
      </c>
      <c r="J46" t="s" s="31">
        <v>1171</v>
      </c>
      <c r="K46" t="s" s="31">
        <v>1172</v>
      </c>
      <c r="L46" t="s" s="31">
        <v>1173</v>
      </c>
      <c r="M46" s="29"/>
      <c r="N46" s="29"/>
      <c r="O46" s="29"/>
    </row>
    <row r="47" ht="62.7" customHeight="1">
      <c r="A47" t="s" s="10">
        <v>1174</v>
      </c>
      <c r="B47" t="s" s="25">
        <v>946</v>
      </c>
      <c r="C47" s="29"/>
      <c r="D47" s="30">
        <v>70</v>
      </c>
      <c r="E47" s="30">
        <v>35</v>
      </c>
      <c r="F47" t="s" s="31">
        <v>3</v>
      </c>
      <c r="G47" s="29"/>
      <c r="H47" t="s" s="31">
        <v>1175</v>
      </c>
      <c r="I47" t="s" s="31">
        <v>1176</v>
      </c>
      <c r="J47" t="s" s="31">
        <v>1177</v>
      </c>
      <c r="K47" t="s" s="31">
        <v>1178</v>
      </c>
      <c r="L47" t="s" s="31">
        <v>1179</v>
      </c>
      <c r="M47" s="29"/>
      <c r="N47" s="29"/>
      <c r="O47" s="29"/>
    </row>
    <row r="48" ht="62.7" customHeight="1">
      <c r="A48" t="s" s="10">
        <v>1180</v>
      </c>
      <c r="B48" t="s" s="25">
        <v>946</v>
      </c>
      <c r="C48" s="29"/>
      <c r="D48" s="30">
        <v>90</v>
      </c>
      <c r="E48" s="30">
        <v>80</v>
      </c>
      <c r="F48" t="s" s="31">
        <v>3</v>
      </c>
      <c r="G48" s="29"/>
      <c r="H48" t="s" s="31">
        <v>1181</v>
      </c>
      <c r="I48" t="s" s="31">
        <v>1182</v>
      </c>
      <c r="J48" t="s" s="31">
        <v>1183</v>
      </c>
      <c r="K48" t="s" s="31">
        <v>1184</v>
      </c>
      <c r="L48" t="s" s="31">
        <v>1185</v>
      </c>
      <c r="M48" s="29"/>
      <c r="N48" s="29"/>
      <c r="O48" s="29"/>
    </row>
    <row r="49" ht="62.7" customHeight="1">
      <c r="A49" t="s" s="10">
        <v>1186</v>
      </c>
      <c r="B49" t="s" s="25">
        <v>946</v>
      </c>
      <c r="C49" s="29"/>
      <c r="D49" s="30">
        <v>70</v>
      </c>
      <c r="E49" s="30">
        <v>50</v>
      </c>
      <c r="F49" t="s" s="31">
        <v>3</v>
      </c>
      <c r="G49" s="29"/>
      <c r="H49" t="s" s="31">
        <v>1187</v>
      </c>
      <c r="I49" t="s" s="31">
        <v>1188</v>
      </c>
      <c r="J49" t="s" s="31">
        <v>953</v>
      </c>
      <c r="K49" t="s" s="31">
        <v>1189</v>
      </c>
      <c r="L49" t="s" s="31">
        <v>1190</v>
      </c>
      <c r="M49" s="29"/>
      <c r="N49" s="29"/>
      <c r="O49" s="29"/>
    </row>
    <row r="50" ht="62.7" customHeight="1">
      <c r="A50" t="s" s="10">
        <v>1191</v>
      </c>
      <c r="B50" t="s" s="25">
        <v>946</v>
      </c>
      <c r="C50" s="29"/>
      <c r="D50" s="30">
        <v>45</v>
      </c>
      <c r="E50" s="30">
        <v>45</v>
      </c>
      <c r="F50" t="s" s="31">
        <v>3</v>
      </c>
      <c r="G50" s="29"/>
      <c r="H50" t="s" s="31">
        <v>1192</v>
      </c>
      <c r="I50" t="s" s="31">
        <v>1193</v>
      </c>
      <c r="J50" t="s" s="31">
        <v>953</v>
      </c>
      <c r="K50" t="s" s="31">
        <v>1194</v>
      </c>
      <c r="L50" t="s" s="31">
        <v>1195</v>
      </c>
      <c r="M50" s="29"/>
      <c r="N50" s="29"/>
      <c r="O50" s="29"/>
    </row>
    <row r="51" ht="62.7" customHeight="1">
      <c r="A51" t="s" s="10">
        <v>1196</v>
      </c>
      <c r="B51" t="s" s="25">
        <v>946</v>
      </c>
      <c r="C51" s="29"/>
      <c r="D51" s="30">
        <v>40</v>
      </c>
      <c r="E51" s="30">
        <v>30</v>
      </c>
      <c r="F51" t="s" s="31">
        <v>3</v>
      </c>
      <c r="G51" s="29"/>
      <c r="H51" t="s" s="31">
        <v>1197</v>
      </c>
      <c r="I51" t="s" s="31">
        <v>1198</v>
      </c>
      <c r="J51" t="s" s="31">
        <v>1199</v>
      </c>
      <c r="K51" t="s" s="31">
        <v>1200</v>
      </c>
      <c r="L51" t="s" s="31">
        <v>1201</v>
      </c>
      <c r="M51" s="29"/>
      <c r="N51" s="29"/>
      <c r="O51" s="29"/>
    </row>
    <row r="52" ht="62.7" customHeight="1">
      <c r="A52" t="s" s="10">
        <v>1202</v>
      </c>
      <c r="B52" t="s" s="25">
        <v>946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953</v>
      </c>
      <c r="K52" t="s" s="31">
        <v>1203</v>
      </c>
      <c r="L52" t="s" s="31">
        <v>1204</v>
      </c>
      <c r="M52" s="29"/>
      <c r="N52" s="29"/>
      <c r="O52" s="29"/>
    </row>
    <row r="53" ht="62.7" customHeight="1">
      <c r="A53" t="s" s="10">
        <v>1205</v>
      </c>
      <c r="B53" t="s" s="25">
        <v>946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1206</v>
      </c>
      <c r="I53" t="s" s="31">
        <v>1207</v>
      </c>
      <c r="J53" t="s" s="31">
        <v>982</v>
      </c>
      <c r="K53" t="s" s="31">
        <v>1208</v>
      </c>
      <c r="L53" t="s" s="31">
        <v>1209</v>
      </c>
      <c r="M53" s="29"/>
      <c r="N53" s="29"/>
      <c r="O53" s="29"/>
    </row>
    <row r="54" ht="62.7" customHeight="1">
      <c r="A54" t="s" s="10">
        <v>1210</v>
      </c>
      <c r="B54" t="s" s="25">
        <v>946</v>
      </c>
      <c r="C54" s="29"/>
      <c r="D54" s="30">
        <v>200</v>
      </c>
      <c r="E54" s="30">
        <v>0</v>
      </c>
      <c r="F54" t="s" s="31">
        <v>5</v>
      </c>
      <c r="G54" s="29"/>
      <c r="H54" t="s" s="31">
        <v>1211</v>
      </c>
      <c r="I54" t="s" s="31">
        <v>1212</v>
      </c>
      <c r="J54" t="s" s="31">
        <v>1213</v>
      </c>
      <c r="K54" t="s" s="31">
        <v>1214</v>
      </c>
      <c r="L54" t="s" s="31">
        <v>1215</v>
      </c>
      <c r="M54" s="29"/>
      <c r="N54" s="29"/>
      <c r="O54" s="29"/>
    </row>
    <row r="55" ht="62.7" customHeight="1">
      <c r="A55" t="s" s="10">
        <v>1216</v>
      </c>
      <c r="B55" t="s" s="25">
        <v>946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1217</v>
      </c>
      <c r="I55" t="s" s="31">
        <v>1218</v>
      </c>
      <c r="J55" t="s" s="31">
        <v>1219</v>
      </c>
      <c r="K55" t="s" s="31">
        <v>1220</v>
      </c>
      <c r="L55" t="s" s="31">
        <v>1221</v>
      </c>
      <c r="M55" s="29"/>
      <c r="N55" s="29"/>
      <c r="O55" s="29"/>
    </row>
    <row r="56" ht="62.7" customHeight="1">
      <c r="A56" t="s" s="10">
        <v>1222</v>
      </c>
      <c r="B56" t="s" s="25">
        <v>946</v>
      </c>
      <c r="C56" s="29"/>
      <c r="D56" s="30">
        <v>55</v>
      </c>
      <c r="E56" s="30">
        <v>50</v>
      </c>
      <c r="F56" t="s" s="31">
        <v>9</v>
      </c>
      <c r="G56" s="29"/>
      <c r="H56" t="s" s="31">
        <v>1223</v>
      </c>
      <c r="I56" t="s" s="31">
        <v>1224</v>
      </c>
      <c r="J56" t="s" s="31">
        <v>953</v>
      </c>
      <c r="K56" t="s" s="31">
        <v>1225</v>
      </c>
      <c r="L56" t="s" s="31">
        <v>1226</v>
      </c>
      <c r="M56" s="29"/>
      <c r="N56" s="29"/>
      <c r="O56" s="29"/>
    </row>
    <row r="57" ht="74.7" customHeight="1">
      <c r="A57" t="s" s="10">
        <v>1227</v>
      </c>
      <c r="B57" t="s" s="25">
        <v>946</v>
      </c>
      <c r="C57" s="29"/>
      <c r="D57" s="30">
        <v>80</v>
      </c>
      <c r="E57" s="30">
        <v>70</v>
      </c>
      <c r="F57" t="s" s="31">
        <v>9</v>
      </c>
      <c r="G57" s="29"/>
      <c r="H57" t="s" s="31">
        <v>1228</v>
      </c>
      <c r="I57" t="s" s="31">
        <v>1229</v>
      </c>
      <c r="J57" t="s" s="31">
        <v>953</v>
      </c>
      <c r="K57" t="s" s="31">
        <v>1230</v>
      </c>
      <c r="L57" t="s" s="31">
        <v>1231</v>
      </c>
      <c r="M57" s="29"/>
      <c r="N57" s="29"/>
      <c r="O57" s="29"/>
    </row>
    <row r="58" ht="62.7" customHeight="1">
      <c r="A58" t="s" s="10">
        <v>1232</v>
      </c>
      <c r="B58" t="s" s="25">
        <v>946</v>
      </c>
      <c r="C58" s="29"/>
      <c r="D58" s="30">
        <v>90</v>
      </c>
      <c r="E58" s="30">
        <v>90</v>
      </c>
      <c r="F58" t="s" s="31">
        <v>15</v>
      </c>
      <c r="G58" s="29"/>
      <c r="H58" t="s" s="31">
        <v>1233</v>
      </c>
      <c r="I58" t="s" s="31">
        <v>1234</v>
      </c>
      <c r="J58" t="s" s="31">
        <v>1235</v>
      </c>
      <c r="K58" t="s" s="31">
        <v>1236</v>
      </c>
      <c r="L58" t="s" s="31">
        <v>1237</v>
      </c>
      <c r="M58" s="29"/>
      <c r="N58" s="29"/>
      <c r="O58" s="29"/>
    </row>
    <row r="59" ht="62.7" customHeight="1">
      <c r="A59" t="s" s="10">
        <v>1238</v>
      </c>
      <c r="B59" t="s" s="25">
        <v>946</v>
      </c>
      <c r="C59" s="29"/>
      <c r="D59" s="30">
        <v>100</v>
      </c>
      <c r="E59" s="30">
        <v>85</v>
      </c>
      <c r="F59" t="s" s="31">
        <v>9</v>
      </c>
      <c r="G59" s="29"/>
      <c r="H59" t="s" s="31">
        <v>1239</v>
      </c>
      <c r="I59" t="s" s="31">
        <v>1240</v>
      </c>
      <c r="J59" t="s" s="31">
        <v>1241</v>
      </c>
      <c r="K59" t="s" s="31">
        <v>1242</v>
      </c>
      <c r="L59" t="s" s="31">
        <v>1243</v>
      </c>
      <c r="M59" s="29"/>
      <c r="N59" s="29"/>
      <c r="O59" s="29"/>
    </row>
    <row r="60" ht="62.7" customHeight="1">
      <c r="A60" t="s" s="10">
        <v>1244</v>
      </c>
      <c r="B60" t="s" s="25">
        <v>946</v>
      </c>
      <c r="C60" s="29"/>
      <c r="D60" s="30">
        <v>80</v>
      </c>
      <c r="E60" s="30">
        <v>25</v>
      </c>
      <c r="F60" t="s" s="31">
        <v>9</v>
      </c>
      <c r="G60" s="29"/>
      <c r="H60" t="s" s="31">
        <v>1245</v>
      </c>
      <c r="I60" t="s" s="31">
        <v>1246</v>
      </c>
      <c r="J60" t="s" s="31">
        <v>953</v>
      </c>
      <c r="K60" t="s" s="31">
        <v>1247</v>
      </c>
      <c r="L60" t="s" s="31">
        <v>1248</v>
      </c>
      <c r="M60" s="29"/>
      <c r="N60" s="29"/>
      <c r="O60" s="29"/>
    </row>
    <row r="61" ht="62.7" customHeight="1">
      <c r="A61" t="s" s="10">
        <v>1249</v>
      </c>
      <c r="B61" t="s" s="25">
        <v>946</v>
      </c>
      <c r="C61" s="29"/>
      <c r="D61" s="30">
        <v>60</v>
      </c>
      <c r="E61" s="30">
        <v>60</v>
      </c>
      <c r="F61" t="s" s="31">
        <v>13</v>
      </c>
      <c r="G61" s="29"/>
      <c r="H61" t="s" s="31">
        <v>1250</v>
      </c>
      <c r="I61" t="s" s="31">
        <v>1251</v>
      </c>
      <c r="J61" t="s" s="31">
        <v>953</v>
      </c>
      <c r="K61" t="s" s="31">
        <v>1252</v>
      </c>
      <c r="L61" t="s" s="31">
        <v>1059</v>
      </c>
      <c r="M61" s="29"/>
      <c r="N61" s="29"/>
      <c r="O61" s="29"/>
    </row>
    <row r="62" ht="62.7" customHeight="1">
      <c r="A62" t="s" s="10">
        <v>1253</v>
      </c>
      <c r="B62" t="s" s="25">
        <v>946</v>
      </c>
      <c r="C62" s="29"/>
      <c r="D62" s="30">
        <v>35</v>
      </c>
      <c r="E62" s="30">
        <v>25</v>
      </c>
      <c r="F62" t="s" s="31">
        <v>9</v>
      </c>
      <c r="G62" s="29"/>
      <c r="H62" t="s" s="31">
        <v>1254</v>
      </c>
      <c r="I62" t="s" s="31">
        <v>1255</v>
      </c>
      <c r="J62" t="s" s="31">
        <v>1171</v>
      </c>
      <c r="K62" t="s" s="31">
        <v>1256</v>
      </c>
      <c r="L62" t="s" s="31">
        <v>1257</v>
      </c>
      <c r="M62" s="29"/>
      <c r="N62" s="29"/>
      <c r="O62" s="29"/>
    </row>
    <row r="63" ht="62.7" customHeight="1">
      <c r="A63" t="s" s="10">
        <v>1258</v>
      </c>
      <c r="B63" t="s" s="25">
        <v>946</v>
      </c>
      <c r="C63" s="29"/>
      <c r="D63" s="30">
        <v>55</v>
      </c>
      <c r="E63" s="30">
        <v>80</v>
      </c>
      <c r="F63" t="s" s="31">
        <v>7</v>
      </c>
      <c r="G63" s="29"/>
      <c r="H63" t="s" s="31">
        <v>1259</v>
      </c>
      <c r="I63" t="s" s="31">
        <v>1260</v>
      </c>
      <c r="J63" t="s" s="31">
        <v>1261</v>
      </c>
      <c r="K63" t="s" s="31">
        <v>1262</v>
      </c>
      <c r="L63" t="s" s="31">
        <v>1263</v>
      </c>
      <c r="M63" s="29"/>
      <c r="N63" s="29"/>
      <c r="O63" s="29"/>
    </row>
    <row r="64" ht="62.7" customHeight="1">
      <c r="A64" t="s" s="10">
        <v>1264</v>
      </c>
      <c r="B64" t="s" s="25">
        <v>946</v>
      </c>
      <c r="C64" s="29"/>
      <c r="D64" s="30">
        <v>40</v>
      </c>
      <c r="E64" s="30">
        <v>30</v>
      </c>
      <c r="F64" t="s" s="31">
        <v>7</v>
      </c>
      <c r="G64" s="29"/>
      <c r="H64" t="s" s="31">
        <v>1265</v>
      </c>
      <c r="I64" t="s" s="31">
        <v>1266</v>
      </c>
      <c r="J64" t="s" s="31">
        <v>953</v>
      </c>
      <c r="K64" t="s" s="31">
        <v>1267</v>
      </c>
      <c r="L64" t="s" s="31">
        <v>1268</v>
      </c>
      <c r="M64" s="29"/>
      <c r="N64" s="29"/>
      <c r="O64" s="29"/>
    </row>
    <row r="65" ht="74.7" customHeight="1">
      <c r="A65" t="s" s="10">
        <v>1269</v>
      </c>
      <c r="B65" t="s" s="25">
        <v>946</v>
      </c>
      <c r="C65" s="29"/>
      <c r="D65" s="30">
        <v>90</v>
      </c>
      <c r="E65" s="30">
        <v>75</v>
      </c>
      <c r="F65" t="s" s="31">
        <v>5</v>
      </c>
      <c r="G65" s="29"/>
      <c r="H65" t="s" s="31">
        <v>1270</v>
      </c>
      <c r="I65" t="s" s="31">
        <v>1271</v>
      </c>
      <c r="J65" s="29"/>
      <c r="K65" t="s" s="31">
        <v>1272</v>
      </c>
      <c r="L65" t="s" s="31">
        <v>1273</v>
      </c>
      <c r="M65" s="29"/>
      <c r="N65" s="29"/>
      <c r="O65" s="29"/>
    </row>
    <row r="66" ht="62.7" customHeight="1">
      <c r="A66" t="s" s="10">
        <v>1274</v>
      </c>
      <c r="B66" t="s" s="25">
        <v>946</v>
      </c>
      <c r="C66" s="29"/>
      <c r="D66" s="30">
        <v>195</v>
      </c>
      <c r="E66" s="30">
        <v>180</v>
      </c>
      <c r="F66" t="s" s="31">
        <v>7</v>
      </c>
      <c r="G66" s="29"/>
      <c r="H66" t="s" s="31">
        <v>1275</v>
      </c>
      <c r="I66" t="s" s="31">
        <v>1276</v>
      </c>
      <c r="J66" s="29"/>
      <c r="K66" t="s" s="31">
        <v>1277</v>
      </c>
      <c r="L66" t="s" s="31">
        <v>1278</v>
      </c>
      <c r="M66" s="29"/>
      <c r="N66" s="29"/>
      <c r="O66" s="29"/>
    </row>
    <row r="67" ht="74.7" customHeight="1">
      <c r="A67" t="s" s="10">
        <v>1279</v>
      </c>
      <c r="B67" t="s" s="25">
        <v>946</v>
      </c>
      <c r="C67" s="29"/>
      <c r="D67" s="30">
        <v>30</v>
      </c>
      <c r="E67" s="30">
        <v>50</v>
      </c>
      <c r="F67" t="s" s="31">
        <v>7</v>
      </c>
      <c r="G67" s="29"/>
      <c r="H67" t="s" s="31">
        <v>1280</v>
      </c>
      <c r="I67" t="s" s="31">
        <v>1281</v>
      </c>
      <c r="J67" s="29"/>
      <c r="K67" t="s" s="31">
        <v>1282</v>
      </c>
      <c r="L67" t="s" s="31">
        <v>1283</v>
      </c>
      <c r="M67" s="29"/>
      <c r="N67" s="29"/>
      <c r="O67" s="29"/>
    </row>
    <row r="68" ht="74.7" customHeight="1">
      <c r="A68" t="s" s="10">
        <v>1284</v>
      </c>
      <c r="B68" t="s" s="25">
        <v>946</v>
      </c>
      <c r="C68" s="29"/>
      <c r="D68" s="30">
        <v>60</v>
      </c>
      <c r="E68" s="30">
        <v>80</v>
      </c>
      <c r="F68" t="s" s="31">
        <v>7</v>
      </c>
      <c r="G68" s="29"/>
      <c r="H68" t="s" s="31">
        <v>1285</v>
      </c>
      <c r="I68" t="s" s="31">
        <v>1286</v>
      </c>
      <c r="J68" s="29"/>
      <c r="K68" t="s" s="31">
        <v>1287</v>
      </c>
      <c r="L68" t="s" s="31">
        <v>1288</v>
      </c>
      <c r="M68" s="29"/>
      <c r="N68" s="29"/>
      <c r="O68" s="29"/>
    </row>
    <row r="69" ht="74.7" customHeight="1">
      <c r="A69" t="s" s="10">
        <v>1289</v>
      </c>
      <c r="B69" t="s" s="25">
        <v>946</v>
      </c>
      <c r="C69" s="29"/>
      <c r="D69" s="30">
        <v>225</v>
      </c>
      <c r="E69" s="30">
        <v>150</v>
      </c>
      <c r="F69" t="s" s="31">
        <v>11</v>
      </c>
      <c r="G69" s="29"/>
      <c r="H69" t="s" s="31">
        <v>1290</v>
      </c>
      <c r="I69" t="s" s="31">
        <v>1291</v>
      </c>
      <c r="J69" s="29"/>
      <c r="K69" t="s" s="31">
        <v>1292</v>
      </c>
      <c r="L69" t="s" s="31">
        <v>1293</v>
      </c>
      <c r="M69" s="29"/>
      <c r="N69" s="29"/>
      <c r="O69" s="29"/>
    </row>
    <row r="70" ht="74.7" customHeight="1">
      <c r="A70" t="s" s="10">
        <v>1294</v>
      </c>
      <c r="B70" t="s" s="25">
        <v>946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1104</v>
      </c>
      <c r="K70" t="s" s="31">
        <v>1295</v>
      </c>
      <c r="L70" t="s" s="31">
        <v>1296</v>
      </c>
      <c r="M70" t="s" s="31">
        <v>35</v>
      </c>
      <c r="N70" t="s" s="31">
        <v>35</v>
      </c>
      <c r="O70" s="29"/>
    </row>
    <row r="71" ht="74.7" customHeight="1">
      <c r="A71" t="s" s="10">
        <v>1297</v>
      </c>
      <c r="B71" t="s" s="25">
        <v>946</v>
      </c>
      <c r="C71" s="29"/>
      <c r="D71" s="30">
        <v>80</v>
      </c>
      <c r="E71" s="30">
        <v>50</v>
      </c>
      <c r="F71" t="s" s="31">
        <v>7</v>
      </c>
      <c r="G71" s="29"/>
      <c r="H71" t="s" s="31">
        <v>1298</v>
      </c>
      <c r="I71" t="s" s="31">
        <v>1299</v>
      </c>
      <c r="J71" t="s" s="31">
        <v>1104</v>
      </c>
      <c r="K71" t="s" s="31">
        <v>1300</v>
      </c>
      <c r="L71" t="s" s="31">
        <v>1301</v>
      </c>
      <c r="M71" t="s" s="31">
        <v>35</v>
      </c>
      <c r="N71" t="s" s="31">
        <v>35</v>
      </c>
      <c r="O71" s="29"/>
    </row>
    <row r="72" ht="74.7" customHeight="1">
      <c r="A72" t="s" s="10">
        <v>1302</v>
      </c>
      <c r="B72" t="s" s="25">
        <v>946</v>
      </c>
      <c r="C72" s="29"/>
      <c r="D72" s="30">
        <v>65</v>
      </c>
      <c r="E72" s="30">
        <v>65</v>
      </c>
      <c r="F72" t="s" s="31">
        <v>7</v>
      </c>
      <c r="G72" s="29"/>
      <c r="H72" t="s" s="31">
        <v>1303</v>
      </c>
      <c r="I72" t="s" s="31">
        <v>153</v>
      </c>
      <c r="J72" t="s" s="31">
        <v>1104</v>
      </c>
      <c r="K72" t="s" s="31">
        <v>1304</v>
      </c>
      <c r="L72" t="s" s="31">
        <v>1305</v>
      </c>
      <c r="M72" t="s" s="31">
        <v>35</v>
      </c>
      <c r="N72" t="s" s="31">
        <v>35</v>
      </c>
      <c r="O72" s="29"/>
    </row>
    <row r="73" ht="74.7" customHeight="1">
      <c r="A73" t="s" s="10">
        <v>1306</v>
      </c>
      <c r="B73" t="s" s="25">
        <v>946</v>
      </c>
      <c r="C73" s="29"/>
      <c r="D73" s="30">
        <v>90</v>
      </c>
      <c r="E73" s="30">
        <v>55</v>
      </c>
      <c r="F73" t="s" s="31">
        <v>7</v>
      </c>
      <c r="G73" s="29"/>
      <c r="H73" t="s" s="31">
        <v>1307</v>
      </c>
      <c r="I73" t="s" s="31">
        <v>1308</v>
      </c>
      <c r="J73" t="s" s="31">
        <v>1104</v>
      </c>
      <c r="K73" t="s" s="31">
        <v>1309</v>
      </c>
      <c r="L73" t="s" s="31">
        <v>1310</v>
      </c>
      <c r="M73" t="s" s="31">
        <v>35</v>
      </c>
      <c r="N73" t="s" s="31">
        <v>35</v>
      </c>
      <c r="O73" s="29"/>
    </row>
    <row r="74" ht="74.7" customHeight="1">
      <c r="A74" t="s" s="10">
        <v>1311</v>
      </c>
      <c r="B74" t="s" s="25">
        <v>946</v>
      </c>
      <c r="C74" s="29"/>
      <c r="D74" s="30">
        <v>65</v>
      </c>
      <c r="E74" s="30">
        <v>85</v>
      </c>
      <c r="F74" t="s" s="31">
        <v>7</v>
      </c>
      <c r="G74" s="29"/>
      <c r="H74" t="s" s="31">
        <v>1312</v>
      </c>
      <c r="I74" t="s" s="31">
        <v>1313</v>
      </c>
      <c r="J74" t="s" s="31">
        <v>1104</v>
      </c>
      <c r="K74" t="s" s="31">
        <v>1314</v>
      </c>
      <c r="L74" t="s" s="31">
        <v>1273</v>
      </c>
      <c r="M74" t="s" s="31">
        <v>35</v>
      </c>
      <c r="N74" t="s" s="31">
        <v>35</v>
      </c>
      <c r="O74" s="29"/>
    </row>
    <row r="75" ht="74.7" customHeight="1">
      <c r="A75" t="s" s="10">
        <v>1315</v>
      </c>
      <c r="B75" t="s" s="25">
        <v>946</v>
      </c>
      <c r="C75" s="29"/>
      <c r="D75" s="30">
        <v>40</v>
      </c>
      <c r="E75" s="30">
        <v>40</v>
      </c>
      <c r="F75" t="s" s="31">
        <v>7</v>
      </c>
      <c r="G75" s="29"/>
      <c r="H75" t="s" s="31">
        <v>1316</v>
      </c>
      <c r="I75" t="s" s="31">
        <v>1317</v>
      </c>
      <c r="J75" t="s" s="31">
        <v>1104</v>
      </c>
      <c r="K75" t="s" s="31">
        <v>1318</v>
      </c>
      <c r="L75" t="s" s="31">
        <v>1319</v>
      </c>
      <c r="M75" t="s" s="31">
        <v>35</v>
      </c>
      <c r="N75" t="s" s="31">
        <v>35</v>
      </c>
      <c r="O75" s="29"/>
    </row>
    <row r="76" ht="74.7" customHeight="1">
      <c r="A76" t="s" s="10">
        <v>1320</v>
      </c>
      <c r="B76" t="s" s="25">
        <v>946</v>
      </c>
      <c r="C76" s="29"/>
      <c r="D76" s="30">
        <v>120</v>
      </c>
      <c r="E76" s="30">
        <v>80</v>
      </c>
      <c r="F76" t="s" s="31">
        <v>7</v>
      </c>
      <c r="G76" s="29"/>
      <c r="H76" t="s" s="31">
        <v>1321</v>
      </c>
      <c r="I76" t="s" s="31">
        <v>1322</v>
      </c>
      <c r="J76" s="29"/>
      <c r="K76" t="s" s="31">
        <v>1323</v>
      </c>
      <c r="L76" t="s" s="31">
        <v>1319</v>
      </c>
      <c r="M76" s="29"/>
      <c r="N76" s="29"/>
      <c r="O76" s="29"/>
    </row>
    <row r="77" ht="74.7" customHeight="1">
      <c r="A77" t="s" s="10">
        <v>1324</v>
      </c>
      <c r="B77" t="s" s="25">
        <v>946</v>
      </c>
      <c r="C77" s="29"/>
      <c r="D77" s="30">
        <v>50</v>
      </c>
      <c r="E77" s="30">
        <v>120</v>
      </c>
      <c r="F77" t="s" s="31">
        <v>7</v>
      </c>
      <c r="G77" s="29"/>
      <c r="H77" t="s" s="31">
        <v>1325</v>
      </c>
      <c r="I77" t="s" s="31">
        <v>1326</v>
      </c>
      <c r="J77" s="29"/>
      <c r="K77" t="s" s="31">
        <v>1327</v>
      </c>
      <c r="L77" t="s" s="31">
        <v>1319</v>
      </c>
      <c r="M77" s="29"/>
      <c r="N77" s="29"/>
      <c r="O77" s="29"/>
    </row>
    <row r="78" ht="74.7" customHeight="1">
      <c r="A78" t="s" s="10">
        <v>1328</v>
      </c>
      <c r="B78" t="s" s="25">
        <v>946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1329</v>
      </c>
      <c r="L78" t="s" s="31">
        <v>1319</v>
      </c>
      <c r="M78" s="29"/>
      <c r="N78" s="29"/>
      <c r="O78" s="29"/>
    </row>
    <row r="79" ht="74.7" customHeight="1">
      <c r="A79" t="s" s="10">
        <v>1330</v>
      </c>
      <c r="B79" t="s" s="25">
        <v>946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1331</v>
      </c>
      <c r="J79" s="29"/>
      <c r="K79" t="s" s="31">
        <v>1332</v>
      </c>
      <c r="L79" t="s" s="31">
        <v>1319</v>
      </c>
      <c r="M79" s="29"/>
      <c r="N79" s="29"/>
      <c r="O79" s="29"/>
    </row>
    <row r="80" ht="74.7" customHeight="1">
      <c r="A80" t="s" s="10">
        <v>1333</v>
      </c>
      <c r="B80" t="s" s="25">
        <v>946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1334</v>
      </c>
      <c r="J80" s="29"/>
      <c r="K80" t="s" s="31">
        <v>1335</v>
      </c>
      <c r="L80" t="s" s="31">
        <v>1336</v>
      </c>
      <c r="M80" s="29"/>
      <c r="N80" s="29"/>
      <c r="O80" s="29"/>
    </row>
    <row r="81" ht="74.7" customHeight="1">
      <c r="A81" t="s" s="10">
        <v>1337</v>
      </c>
      <c r="B81" t="s" s="25">
        <v>946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1338</v>
      </c>
      <c r="J81" s="29"/>
      <c r="K81" t="s" s="31">
        <v>1339</v>
      </c>
      <c r="L81" t="s" s="31">
        <v>1340</v>
      </c>
      <c r="M81" s="29"/>
      <c r="N81" s="29"/>
      <c r="O81" s="29"/>
    </row>
    <row r="82" ht="74.7" customHeight="1">
      <c r="A82" t="s" s="10">
        <v>1341</v>
      </c>
      <c r="B82" t="s" s="25">
        <v>946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1342</v>
      </c>
      <c r="J82" s="29"/>
      <c r="K82" t="s" s="31">
        <v>1343</v>
      </c>
      <c r="L82" t="s" s="31">
        <v>1344</v>
      </c>
      <c r="M82" s="29"/>
      <c r="N82" s="29"/>
      <c r="O82" s="29"/>
    </row>
    <row r="83" ht="74.7" customHeight="1">
      <c r="A83" t="s" s="10">
        <v>1345</v>
      </c>
      <c r="B83" t="s" s="25">
        <v>946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1346</v>
      </c>
      <c r="J83" s="29"/>
      <c r="K83" t="s" s="31">
        <v>1347</v>
      </c>
      <c r="L83" t="s" s="31">
        <v>1348</v>
      </c>
      <c r="M83" s="29"/>
      <c r="N83" s="29"/>
      <c r="O83" s="29"/>
    </row>
    <row r="84" ht="74.7" customHeight="1">
      <c r="A84" t="s" s="10">
        <v>1349</v>
      </c>
      <c r="B84" t="s" s="25">
        <v>946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1350</v>
      </c>
      <c r="J84" s="29"/>
      <c r="K84" t="s" s="31">
        <v>1351</v>
      </c>
      <c r="L84" t="s" s="31">
        <v>1352</v>
      </c>
      <c r="M84" s="29"/>
      <c r="N84" s="29"/>
      <c r="O84" s="29"/>
    </row>
    <row r="85" ht="74.7" customHeight="1">
      <c r="A85" t="s" s="10">
        <v>1353</v>
      </c>
      <c r="B85" t="s" s="25">
        <v>946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1354</v>
      </c>
      <c r="I85" t="s" s="31">
        <v>1355</v>
      </c>
      <c r="J85" t="s" s="31">
        <v>1356</v>
      </c>
      <c r="K85" t="s" s="31">
        <v>1357</v>
      </c>
      <c r="L85" t="s" s="31">
        <v>1319</v>
      </c>
      <c r="M85" s="29"/>
      <c r="N85" s="29"/>
      <c r="O85" s="29"/>
    </row>
    <row r="86" ht="74.7" customHeight="1">
      <c r="A86" t="s" s="10">
        <v>1358</v>
      </c>
      <c r="B86" t="s" s="25">
        <v>946</v>
      </c>
      <c r="C86" s="29"/>
      <c r="D86" s="30">
        <v>40</v>
      </c>
      <c r="E86" s="30">
        <v>60</v>
      </c>
      <c r="F86" t="s" s="31">
        <v>15</v>
      </c>
      <c r="G86" s="29"/>
      <c r="H86" t="s" s="31">
        <v>1359</v>
      </c>
      <c r="I86" t="s" s="31">
        <v>1360</v>
      </c>
      <c r="J86" s="29"/>
      <c r="K86" t="s" s="31">
        <v>1361</v>
      </c>
      <c r="L86" t="s" s="31">
        <v>1131</v>
      </c>
      <c r="M86" s="29"/>
      <c r="N86" s="29"/>
      <c r="O86" s="29"/>
    </row>
    <row r="87" ht="74.7" customHeight="1">
      <c r="A87" t="s" s="10">
        <v>1362</v>
      </c>
      <c r="B87" t="s" s="25">
        <v>946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1363</v>
      </c>
      <c r="I87" t="s" s="31">
        <v>1364</v>
      </c>
      <c r="J87" s="29"/>
      <c r="K87" t="s" s="31">
        <v>1365</v>
      </c>
      <c r="L87" t="s" s="31">
        <v>1366</v>
      </c>
      <c r="M87" s="29"/>
      <c r="N87" s="29"/>
      <c r="O87" s="29"/>
    </row>
    <row r="88" ht="74.7" customHeight="1">
      <c r="A88" t="s" s="10">
        <v>1367</v>
      </c>
      <c r="B88" t="s" s="25">
        <v>946</v>
      </c>
      <c r="C88" s="29"/>
      <c r="D88" s="30">
        <v>35</v>
      </c>
      <c r="E88" s="30">
        <v>60</v>
      </c>
      <c r="F88" t="s" s="31">
        <v>15</v>
      </c>
      <c r="G88" s="29"/>
      <c r="H88" t="s" s="31">
        <v>1368</v>
      </c>
      <c r="I88" t="s" s="31">
        <v>1369</v>
      </c>
      <c r="J88" t="s" s="31">
        <v>994</v>
      </c>
      <c r="K88" t="s" s="31">
        <v>1370</v>
      </c>
      <c r="L88" t="s" s="31">
        <v>1371</v>
      </c>
      <c r="M88" t="s" s="31">
        <v>35</v>
      </c>
      <c r="N88" t="s" s="31">
        <v>35</v>
      </c>
      <c r="O88" s="29"/>
    </row>
    <row r="89" ht="74.7" customHeight="1">
      <c r="A89" t="s" s="10">
        <v>1372</v>
      </c>
      <c r="B89" t="s" s="25">
        <v>946</v>
      </c>
      <c r="C89" s="29"/>
      <c r="D89" s="30">
        <v>55</v>
      </c>
      <c r="E89" s="32">
        <v>40</v>
      </c>
      <c r="F89" t="s" s="25">
        <v>3</v>
      </c>
      <c r="G89" s="29"/>
      <c r="H89" t="s" s="31">
        <v>1373</v>
      </c>
      <c r="I89" t="s" s="31">
        <v>1374</v>
      </c>
      <c r="J89" t="s" s="31">
        <v>994</v>
      </c>
      <c r="K89" t="s" s="31">
        <v>1375</v>
      </c>
      <c r="L89" t="s" s="31">
        <v>1376</v>
      </c>
      <c r="M89" s="29"/>
      <c r="N89" s="29"/>
      <c r="O89" s="29"/>
    </row>
    <row r="90" ht="74.7" customHeight="1">
      <c r="A90" t="s" s="10">
        <v>1377</v>
      </c>
      <c r="B90" t="s" s="25">
        <v>946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1378</v>
      </c>
      <c r="I90" t="s" s="31">
        <v>1379</v>
      </c>
      <c r="J90" t="s" s="31">
        <v>994</v>
      </c>
      <c r="K90" t="s" s="31">
        <v>1380</v>
      </c>
      <c r="L90" t="s" s="31">
        <v>1381</v>
      </c>
      <c r="M90" t="s" s="31">
        <v>35</v>
      </c>
      <c r="N90" t="s" s="31">
        <v>35</v>
      </c>
      <c r="O90" s="29"/>
    </row>
    <row r="91" ht="98.7" customHeight="1">
      <c r="A91" t="s" s="10">
        <v>1382</v>
      </c>
      <c r="B91" t="s" s="25">
        <v>946</v>
      </c>
      <c r="C91" s="29"/>
      <c r="D91" s="30">
        <v>0</v>
      </c>
      <c r="E91" s="30">
        <v>0</v>
      </c>
      <c r="F91" t="s" s="31">
        <v>11</v>
      </c>
      <c r="G91" s="29"/>
      <c r="H91" t="s" s="31">
        <v>1383</v>
      </c>
      <c r="I91" t="s" s="31">
        <v>1384</v>
      </c>
      <c r="J91" t="s" s="31">
        <v>959</v>
      </c>
      <c r="K91" t="s" s="31">
        <v>1385</v>
      </c>
      <c r="L91" t="s" s="31">
        <v>1386</v>
      </c>
      <c r="M91" t="s" s="31">
        <v>35</v>
      </c>
      <c r="N91" t="s" s="31">
        <v>35</v>
      </c>
      <c r="O91" s="29"/>
    </row>
    <row r="92" ht="74.7" customHeight="1">
      <c r="A92" t="s" s="10">
        <v>1387</v>
      </c>
      <c r="B92" t="s" s="25">
        <v>946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1388</v>
      </c>
      <c r="I92" t="s" s="31">
        <v>1389</v>
      </c>
      <c r="J92" s="29"/>
      <c r="K92" t="s" s="31">
        <v>1390</v>
      </c>
      <c r="L92" t="s" s="31">
        <v>1391</v>
      </c>
      <c r="M92" s="29"/>
      <c r="N92" s="29"/>
      <c r="O92" s="29"/>
    </row>
    <row r="93" ht="74.7" customHeight="1">
      <c r="A93" t="s" s="10">
        <v>1392</v>
      </c>
      <c r="B93" t="s" s="25">
        <v>946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1393</v>
      </c>
      <c r="I93" t="s" s="31">
        <v>1393</v>
      </c>
      <c r="J93" s="29"/>
      <c r="K93" t="s" s="31">
        <v>1394</v>
      </c>
      <c r="L93" t="s" s="31">
        <v>1395</v>
      </c>
      <c r="M93" s="29"/>
      <c r="N93" s="29"/>
      <c r="O93" s="29"/>
    </row>
    <row r="94" ht="74.7" customHeight="1">
      <c r="A94" t="s" s="10">
        <v>1396</v>
      </c>
      <c r="B94" t="s" s="25">
        <v>946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1397</v>
      </c>
      <c r="I94" t="s" s="31">
        <v>1398</v>
      </c>
      <c r="J94" s="29"/>
      <c r="K94" t="s" s="31">
        <v>1399</v>
      </c>
      <c r="L94" t="s" s="31">
        <v>1400</v>
      </c>
      <c r="M94" s="29"/>
      <c r="N94" s="29"/>
      <c r="O94" s="29"/>
    </row>
    <row r="95" ht="74.7" customHeight="1">
      <c r="A95" t="s" s="10">
        <v>1401</v>
      </c>
      <c r="B95" t="s" s="25">
        <v>946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1402</v>
      </c>
      <c r="I95" t="s" s="31">
        <v>1403</v>
      </c>
      <c r="J95" s="29"/>
      <c r="K95" t="s" s="31">
        <v>1404</v>
      </c>
      <c r="L95" t="s" s="31">
        <v>1405</v>
      </c>
      <c r="M95" s="29"/>
      <c r="N95" s="29"/>
      <c r="O95" s="29"/>
    </row>
    <row r="96" ht="74.7" customHeight="1">
      <c r="A96" t="s" s="10">
        <v>1406</v>
      </c>
      <c r="B96" t="s" s="25">
        <v>946</v>
      </c>
      <c r="C96" s="29"/>
      <c r="D96" s="30">
        <v>80</v>
      </c>
      <c r="E96" s="30">
        <v>80</v>
      </c>
      <c r="F96" t="s" s="31">
        <v>9</v>
      </c>
      <c r="G96" s="29"/>
      <c r="H96" t="s" s="31">
        <v>1407</v>
      </c>
      <c r="I96" t="s" s="31">
        <v>1408</v>
      </c>
      <c r="J96" s="29"/>
      <c r="K96" t="s" s="31">
        <v>1409</v>
      </c>
      <c r="L96" t="s" s="31">
        <v>1410</v>
      </c>
      <c r="M96" s="29"/>
      <c r="N96" s="29"/>
      <c r="O96" s="29"/>
    </row>
    <row r="97" ht="74.7" customHeight="1">
      <c r="A97" t="s" s="10">
        <v>1411</v>
      </c>
      <c r="B97" t="s" s="25">
        <v>946</v>
      </c>
      <c r="C97" s="29"/>
      <c r="D97" s="30">
        <v>90</v>
      </c>
      <c r="E97" s="30">
        <v>70</v>
      </c>
      <c r="F97" t="s" s="31">
        <v>15</v>
      </c>
      <c r="G97" s="29"/>
      <c r="H97" t="s" s="31">
        <v>1412</v>
      </c>
      <c r="I97" t="s" s="31">
        <v>1413</v>
      </c>
      <c r="J97" s="29"/>
      <c r="K97" t="s" s="31">
        <v>1414</v>
      </c>
      <c r="L97" t="s" s="31">
        <v>1415</v>
      </c>
      <c r="M97" s="29"/>
      <c r="N97" s="29"/>
      <c r="O97" s="29"/>
    </row>
    <row r="98" ht="74.7" customHeight="1">
      <c r="A98" t="s" s="33">
        <v>1416</v>
      </c>
      <c r="B98" t="s" s="25">
        <v>946</v>
      </c>
      <c r="C98" s="29"/>
      <c r="D98" s="30">
        <v>50</v>
      </c>
      <c r="E98" s="30">
        <v>60</v>
      </c>
      <c r="F98" t="s" s="31">
        <v>15</v>
      </c>
      <c r="G98" s="29"/>
      <c r="H98" t="s" s="31">
        <v>1245</v>
      </c>
      <c r="I98" t="s" s="31">
        <v>1417</v>
      </c>
      <c r="J98" s="29"/>
      <c r="K98" t="s" s="31">
        <v>1418</v>
      </c>
      <c r="L98" t="s" s="31">
        <v>1419</v>
      </c>
      <c r="M98" s="29"/>
      <c r="N98" s="29"/>
      <c r="O98" s="29"/>
    </row>
    <row r="99" ht="74.7" customHeight="1">
      <c r="A99" t="s" s="10">
        <v>1420</v>
      </c>
      <c r="B99" t="s" s="25">
        <v>946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1421</v>
      </c>
      <c r="I99" t="s" s="31">
        <v>1422</v>
      </c>
      <c r="J99" s="29"/>
      <c r="K99" t="s" s="31">
        <v>1423</v>
      </c>
      <c r="L99" t="s" s="31">
        <v>1424</v>
      </c>
      <c r="M99" s="29"/>
      <c r="N99" s="29"/>
      <c r="O99" s="29"/>
    </row>
    <row r="100" ht="74.7" customHeight="1">
      <c r="A100" t="s" s="10">
        <v>1425</v>
      </c>
      <c r="B100" t="s" s="25">
        <v>946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1426</v>
      </c>
      <c r="I100" t="s" s="31">
        <v>1427</v>
      </c>
      <c r="J100" s="29"/>
      <c r="K100" t="s" s="31">
        <v>1428</v>
      </c>
      <c r="L100" t="s" s="31">
        <v>1429</v>
      </c>
      <c r="M100" s="29"/>
      <c r="N100" s="29"/>
      <c r="O100" s="29"/>
    </row>
    <row r="101" ht="74.7" customHeight="1">
      <c r="A101" t="s" s="10">
        <v>1430</v>
      </c>
      <c r="B101" t="s" s="25">
        <v>946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1431</v>
      </c>
      <c r="J101" s="29"/>
      <c r="K101" t="s" s="31">
        <v>1432</v>
      </c>
      <c r="L101" t="s" s="31">
        <v>1433</v>
      </c>
      <c r="M101" s="29"/>
      <c r="N101" s="29"/>
      <c r="O101" s="29"/>
    </row>
    <row r="102" ht="74.7" customHeight="1">
      <c r="A102" t="s" s="10">
        <v>1434</v>
      </c>
      <c r="B102" t="s" s="25">
        <v>946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1435</v>
      </c>
      <c r="J102" s="29"/>
      <c r="K102" t="s" s="31">
        <v>1436</v>
      </c>
      <c r="L102" t="s" s="31">
        <v>1437</v>
      </c>
      <c r="M102" s="29"/>
      <c r="N102" s="29"/>
      <c r="O102" s="29"/>
    </row>
    <row r="103" ht="74.7" customHeight="1">
      <c r="A103" t="s" s="10">
        <v>1438</v>
      </c>
      <c r="B103" t="s" s="25">
        <v>946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1439</v>
      </c>
      <c r="J103" s="29"/>
      <c r="K103" t="s" s="31">
        <v>1440</v>
      </c>
      <c r="L103" t="s" s="31">
        <v>1441</v>
      </c>
      <c r="M103" s="29"/>
      <c r="N103" s="29"/>
      <c r="O103" s="29"/>
    </row>
    <row r="104" ht="74.7" customHeight="1">
      <c r="A104" t="s" s="10">
        <v>1442</v>
      </c>
      <c r="B104" t="s" s="25">
        <v>946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1443</v>
      </c>
      <c r="J104" s="29"/>
      <c r="K104" t="s" s="31">
        <v>1444</v>
      </c>
      <c r="L104" t="s" s="31">
        <v>1445</v>
      </c>
      <c r="M104" s="29"/>
      <c r="N104" s="29"/>
      <c r="O104" s="29"/>
    </row>
    <row r="105" ht="74.7" customHeight="1">
      <c r="A105" t="s" s="10">
        <v>1446</v>
      </c>
      <c r="B105" t="s" s="25">
        <v>946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1447</v>
      </c>
      <c r="L105" t="s" s="31">
        <v>1448</v>
      </c>
      <c r="M105" s="29"/>
      <c r="N105" s="29"/>
      <c r="O105" s="29"/>
    </row>
    <row r="106" ht="74.7" customHeight="1">
      <c r="A106" t="s" s="10">
        <v>1449</v>
      </c>
      <c r="B106" t="s" s="25">
        <v>946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1450</v>
      </c>
      <c r="J106" s="29"/>
      <c r="K106" t="s" s="31">
        <v>1451</v>
      </c>
      <c r="L106" t="s" s="31">
        <v>1452</v>
      </c>
      <c r="M106" s="29"/>
      <c r="N106" s="29"/>
      <c r="O106" s="29"/>
    </row>
    <row r="107" ht="74.7" customHeight="1">
      <c r="A107" t="s" s="10">
        <v>1453</v>
      </c>
      <c r="B107" t="s" s="25">
        <v>946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1454</v>
      </c>
      <c r="J107" s="29"/>
      <c r="K107" t="s" s="31">
        <v>1455</v>
      </c>
      <c r="L107" t="s" s="31">
        <v>1456</v>
      </c>
      <c r="M107" s="29"/>
      <c r="N107" s="29"/>
      <c r="O107" s="29"/>
    </row>
    <row r="108" ht="74.7" customHeight="1">
      <c r="A108" t="s" s="10">
        <v>1457</v>
      </c>
      <c r="B108" t="s" s="25">
        <v>946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1458</v>
      </c>
      <c r="J108" s="29"/>
      <c r="K108" t="s" s="31">
        <v>1459</v>
      </c>
      <c r="L108" t="s" s="31">
        <v>1460</v>
      </c>
      <c r="M108" s="29"/>
      <c r="N108" s="29"/>
      <c r="O108" s="29"/>
    </row>
    <row r="109" ht="62.7" customHeight="1">
      <c r="A109" t="s" s="10">
        <v>1461</v>
      </c>
      <c r="B109" t="s" s="25">
        <v>946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1462</v>
      </c>
      <c r="L109" t="s" s="31">
        <v>1463</v>
      </c>
      <c r="M109" s="29"/>
      <c r="N109" s="29"/>
      <c r="O109" s="29"/>
    </row>
    <row r="110" ht="74.7" customHeight="1">
      <c r="A110" t="s" s="10">
        <v>1464</v>
      </c>
      <c r="B110" t="s" s="25">
        <v>946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1465</v>
      </c>
      <c r="J110" s="29"/>
      <c r="K110" t="s" s="31">
        <v>1466</v>
      </c>
      <c r="L110" t="s" s="31">
        <v>1467</v>
      </c>
      <c r="M110" s="29"/>
      <c r="N110" s="29"/>
      <c r="O110" s="29"/>
    </row>
    <row r="111" ht="74.7" customHeight="1">
      <c r="A111" t="s" s="10">
        <v>1468</v>
      </c>
      <c r="B111" t="s" s="25">
        <v>946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1469</v>
      </c>
      <c r="J111" s="29"/>
      <c r="K111" t="s" s="31">
        <v>1470</v>
      </c>
      <c r="L111" t="s" s="31">
        <v>1471</v>
      </c>
      <c r="M111" s="29"/>
      <c r="N111" s="29"/>
      <c r="O111" s="29"/>
    </row>
    <row r="112" ht="74.7" customHeight="1">
      <c r="A112" t="s" s="10">
        <v>1472</v>
      </c>
      <c r="B112" t="s" s="25">
        <v>946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1473</v>
      </c>
      <c r="J112" s="29"/>
      <c r="K112" t="s" s="31">
        <v>1474</v>
      </c>
      <c r="L112" t="s" s="31">
        <v>1475</v>
      </c>
      <c r="M112" s="29"/>
      <c r="N112" s="29"/>
      <c r="O112" s="29"/>
    </row>
    <row r="113" ht="74.7" customHeight="1">
      <c r="A113" t="s" s="10">
        <v>1476</v>
      </c>
      <c r="B113" t="s" s="25">
        <v>946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1477</v>
      </c>
      <c r="J113" s="29"/>
      <c r="K113" t="s" s="31">
        <v>1478</v>
      </c>
      <c r="L113" t="s" s="31">
        <v>1479</v>
      </c>
      <c r="M113" s="29"/>
      <c r="N113" s="29"/>
      <c r="O113" s="29"/>
    </row>
    <row r="114" ht="74.7" customHeight="1">
      <c r="A114" t="s" s="10">
        <v>1480</v>
      </c>
      <c r="B114" t="s" s="25">
        <v>946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1481</v>
      </c>
      <c r="J114" t="s" s="31">
        <v>1053</v>
      </c>
      <c r="K114" t="s" s="31">
        <v>1482</v>
      </c>
      <c r="L114" t="s" s="31">
        <v>1483</v>
      </c>
      <c r="M114" s="29"/>
      <c r="N114" s="29"/>
      <c r="O114" s="29"/>
    </row>
    <row r="115" ht="74.7" customHeight="1">
      <c r="A115" t="s" s="10">
        <v>1484</v>
      </c>
      <c r="B115" t="s" s="25">
        <v>946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1485</v>
      </c>
      <c r="J115" s="29"/>
      <c r="K115" t="s" s="31">
        <v>1486</v>
      </c>
      <c r="L115" t="s" s="31">
        <v>1487</v>
      </c>
      <c r="M115" s="29"/>
      <c r="N115" s="29"/>
      <c r="O115" s="29"/>
    </row>
    <row r="116" ht="62.7" customHeight="1">
      <c r="A116" t="s" s="10">
        <v>1488</v>
      </c>
      <c r="B116" t="s" s="25">
        <v>946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1489</v>
      </c>
      <c r="J116" s="29"/>
      <c r="K116" t="s" s="31">
        <v>1490</v>
      </c>
      <c r="L116" t="s" s="31">
        <v>1491</v>
      </c>
      <c r="M116" s="29"/>
      <c r="N116" s="29"/>
      <c r="O116" s="29"/>
    </row>
    <row r="117" ht="74.7" customHeight="1">
      <c r="A117" t="s" s="10">
        <v>1492</v>
      </c>
      <c r="B117" t="s" s="25">
        <v>946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1493</v>
      </c>
      <c r="J117" s="29"/>
      <c r="K117" t="s" s="31">
        <v>1494</v>
      </c>
      <c r="L117" t="s" s="31">
        <v>1495</v>
      </c>
      <c r="M117" s="29"/>
      <c r="N117" s="29"/>
      <c r="O117" s="29"/>
    </row>
    <row r="118" ht="74.7" customHeight="1">
      <c r="A118" t="s" s="10">
        <v>1496</v>
      </c>
      <c r="B118" t="s" s="25">
        <v>946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t="s" s="31">
        <v>1497</v>
      </c>
      <c r="L118" t="s" s="31">
        <v>1498</v>
      </c>
      <c r="M118" s="29"/>
      <c r="N118" s="29"/>
      <c r="O118" s="29"/>
    </row>
    <row r="119" ht="74.7" customHeight="1">
      <c r="A119" t="s" s="10">
        <v>1499</v>
      </c>
      <c r="B119" t="s" s="25">
        <v>946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1500</v>
      </c>
      <c r="J119" s="29"/>
      <c r="K119" t="s" s="31">
        <v>1501</v>
      </c>
      <c r="L119" t="s" s="31">
        <v>1502</v>
      </c>
      <c r="M119" s="29"/>
      <c r="N119" s="29"/>
      <c r="O119" s="29"/>
    </row>
    <row r="120" ht="74.7" customHeight="1">
      <c r="A120" t="s" s="10">
        <v>1503</v>
      </c>
      <c r="B120" t="s" s="25">
        <v>946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1504</v>
      </c>
      <c r="J120" s="29"/>
      <c r="K120" t="s" s="31">
        <v>1505</v>
      </c>
      <c r="L120" t="s" s="31">
        <v>1506</v>
      </c>
      <c r="M120" s="29"/>
      <c r="N120" s="29"/>
      <c r="O120" s="29"/>
    </row>
    <row r="121" ht="74.7" customHeight="1">
      <c r="A121" t="s" s="10">
        <v>1507</v>
      </c>
      <c r="B121" t="s" s="25">
        <v>946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1508</v>
      </c>
      <c r="J121" s="29"/>
      <c r="K121" t="s" s="31">
        <v>1509</v>
      </c>
      <c r="L121" t="s" s="31">
        <v>1510</v>
      </c>
      <c r="M121" s="29"/>
      <c r="N121" s="29"/>
      <c r="O121" s="29"/>
    </row>
    <row r="122" ht="74.7" customHeight="1">
      <c r="A122" t="s" s="10">
        <v>1511</v>
      </c>
      <c r="B122" t="s" s="25">
        <v>946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1512</v>
      </c>
      <c r="J122" s="29"/>
      <c r="K122" t="s" s="31">
        <v>1513</v>
      </c>
      <c r="L122" t="s" s="31">
        <v>1514</v>
      </c>
      <c r="M122" s="29"/>
      <c r="N122" s="29"/>
      <c r="O122" s="29"/>
    </row>
    <row r="123" ht="74.7" customHeight="1">
      <c r="A123" t="s" s="10">
        <v>1515</v>
      </c>
      <c r="B123" t="s" s="25">
        <v>946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1516</v>
      </c>
      <c r="J123" s="29"/>
      <c r="K123" t="s" s="31">
        <v>1517</v>
      </c>
      <c r="L123" t="s" s="31">
        <v>1518</v>
      </c>
      <c r="M123" s="29"/>
      <c r="N123" s="29"/>
      <c r="O123" s="29"/>
    </row>
    <row r="124" ht="74.7" customHeight="1">
      <c r="A124" t="s" s="10">
        <v>1519</v>
      </c>
      <c r="B124" t="s" s="25">
        <v>946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1520</v>
      </c>
      <c r="J124" s="29"/>
      <c r="K124" t="s" s="31">
        <v>1521</v>
      </c>
      <c r="L124" t="s" s="31">
        <v>1522</v>
      </c>
      <c r="M124" s="29"/>
      <c r="N124" s="29"/>
      <c r="O124" s="29"/>
    </row>
    <row r="125" ht="62.7" customHeight="1">
      <c r="A125" t="s" s="10">
        <v>1523</v>
      </c>
      <c r="B125" t="s" s="25">
        <v>946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1524</v>
      </c>
      <c r="I125" t="s" s="31">
        <v>1525</v>
      </c>
      <c r="J125" t="s" s="31">
        <v>994</v>
      </c>
      <c r="K125" t="s" s="31">
        <v>1526</v>
      </c>
      <c r="L125" t="s" s="31">
        <v>1527</v>
      </c>
      <c r="M125" s="29"/>
      <c r="N125" s="29"/>
      <c r="O125" s="29"/>
    </row>
    <row r="126" ht="62.7" customHeight="1">
      <c r="A126" t="s" s="10">
        <v>1528</v>
      </c>
      <c r="B126" t="s" s="25">
        <v>946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1529</v>
      </c>
      <c r="I126" t="s" s="31">
        <v>1530</v>
      </c>
      <c r="J126" t="s" s="31">
        <v>994</v>
      </c>
      <c r="K126" t="s" s="31">
        <v>1526</v>
      </c>
      <c r="L126" t="s" s="31">
        <v>1527</v>
      </c>
      <c r="M126" s="29"/>
      <c r="N126" s="29"/>
      <c r="O126" s="29"/>
    </row>
    <row r="127" ht="74.7" customHeight="1">
      <c r="A127" t="s" s="10">
        <v>1531</v>
      </c>
      <c r="B127" t="s" s="25">
        <v>946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1532</v>
      </c>
      <c r="I127" t="s" s="31">
        <v>1533</v>
      </c>
      <c r="J127" t="s" s="31">
        <v>1155</v>
      </c>
      <c r="K127" t="s" s="31">
        <v>1534</v>
      </c>
      <c r="L127" t="s" s="31">
        <v>1535</v>
      </c>
      <c r="M127" s="29"/>
      <c r="N127" s="29"/>
      <c r="O127" s="29"/>
    </row>
    <row r="128" ht="62.7" customHeight="1">
      <c r="A128" t="s" s="10">
        <v>1536</v>
      </c>
      <c r="B128" t="s" s="25">
        <v>946</v>
      </c>
      <c r="C128" s="29"/>
      <c r="D128" s="30">
        <v>100</v>
      </c>
      <c r="E128" s="30">
        <v>65</v>
      </c>
      <c r="F128" t="s" s="31">
        <v>11</v>
      </c>
      <c r="G128" s="29"/>
      <c r="H128" t="s" s="31">
        <v>1537</v>
      </c>
      <c r="I128" t="s" s="31">
        <v>1538</v>
      </c>
      <c r="J128" t="s" s="31">
        <v>1155</v>
      </c>
      <c r="K128" t="s" s="31">
        <v>1534</v>
      </c>
      <c r="L128" t="s" s="31">
        <v>1535</v>
      </c>
      <c r="M128" s="29"/>
      <c r="N128" s="29"/>
      <c r="O128" s="29"/>
    </row>
    <row r="129" ht="62.7" customHeight="1">
      <c r="A129" t="s" s="10">
        <v>1539</v>
      </c>
      <c r="B129" t="s" s="25">
        <v>946</v>
      </c>
      <c r="C129" s="29"/>
      <c r="D129" s="30">
        <v>0</v>
      </c>
      <c r="E129" s="30">
        <v>50</v>
      </c>
      <c r="F129" t="s" s="31">
        <v>5</v>
      </c>
      <c r="G129" s="29"/>
      <c r="H129" t="s" s="31">
        <v>1540</v>
      </c>
      <c r="I129" t="s" s="31">
        <v>1541</v>
      </c>
      <c r="J129" t="s" s="31">
        <v>1098</v>
      </c>
      <c r="K129" t="s" s="31">
        <v>1542</v>
      </c>
      <c r="L129" t="s" s="31">
        <v>1059</v>
      </c>
      <c r="M129" s="29"/>
      <c r="N129" s="29"/>
      <c r="O129" s="29"/>
    </row>
    <row r="130" ht="62.7" customHeight="1">
      <c r="A130" t="s" s="10">
        <v>1543</v>
      </c>
      <c r="B130" t="s" s="25">
        <v>946</v>
      </c>
      <c r="C130" s="29"/>
      <c r="D130" s="30">
        <v>75</v>
      </c>
      <c r="E130" s="30">
        <v>50</v>
      </c>
      <c r="F130" t="s" s="31">
        <v>5</v>
      </c>
      <c r="G130" s="29"/>
      <c r="H130" t="s" s="31">
        <v>39</v>
      </c>
      <c r="I130" t="s" s="31">
        <v>39</v>
      </c>
      <c r="J130" t="s" s="31">
        <v>1098</v>
      </c>
      <c r="K130" t="s" s="31">
        <v>1544</v>
      </c>
      <c r="L130" t="s" s="31">
        <v>1545</v>
      </c>
      <c r="M130" s="29"/>
      <c r="N130" s="29"/>
      <c r="O130" s="29"/>
    </row>
    <row r="131" ht="62.7" customHeight="1">
      <c r="A131" t="s" s="10">
        <v>1546</v>
      </c>
      <c r="B131" t="s" s="25">
        <v>946</v>
      </c>
      <c r="C131" s="29"/>
      <c r="D131" s="30">
        <v>120</v>
      </c>
      <c r="E131" s="30">
        <v>90</v>
      </c>
      <c r="F131" t="s" s="31">
        <v>15</v>
      </c>
      <c r="G131" s="29"/>
      <c r="H131" t="s" s="31">
        <v>1547</v>
      </c>
      <c r="I131" t="s" s="31">
        <v>1548</v>
      </c>
      <c r="J131" t="s" s="31">
        <v>1104</v>
      </c>
      <c r="K131" t="s" s="31">
        <v>1549</v>
      </c>
      <c r="L131" t="s" s="31">
        <v>1550</v>
      </c>
      <c r="M131" s="29"/>
      <c r="N131" s="29"/>
      <c r="O131" s="29"/>
    </row>
    <row r="132" ht="62.7" customHeight="1">
      <c r="A132" t="s" s="10">
        <v>1551</v>
      </c>
      <c r="B132" t="s" s="25">
        <v>946</v>
      </c>
      <c r="C132" s="29"/>
      <c r="D132" s="30">
        <v>100</v>
      </c>
      <c r="E132" s="30">
        <v>100</v>
      </c>
      <c r="F132" t="s" s="31">
        <v>11</v>
      </c>
      <c r="G132" s="29"/>
      <c r="H132" t="s" s="31">
        <v>39</v>
      </c>
      <c r="I132" t="s" s="31">
        <v>39</v>
      </c>
      <c r="J132" t="s" s="31">
        <v>1098</v>
      </c>
      <c r="K132" t="s" s="31">
        <v>1552</v>
      </c>
      <c r="L132" t="s" s="31">
        <v>1553</v>
      </c>
      <c r="M132" s="29"/>
      <c r="N132" s="29"/>
      <c r="O132" s="29"/>
    </row>
    <row r="133" ht="62.7" customHeight="1">
      <c r="A133" t="s" s="10">
        <v>1554</v>
      </c>
      <c r="B133" t="s" s="25">
        <v>946</v>
      </c>
      <c r="C133" s="29"/>
      <c r="D133" s="30">
        <v>80</v>
      </c>
      <c r="E133" s="30">
        <v>90</v>
      </c>
      <c r="F133" t="s" s="31">
        <v>9</v>
      </c>
      <c r="G133" s="29"/>
      <c r="H133" t="s" s="31">
        <v>1555</v>
      </c>
      <c r="I133" t="s" s="31">
        <v>1556</v>
      </c>
      <c r="J133" s="31"/>
      <c r="K133" t="s" s="31">
        <v>1557</v>
      </c>
      <c r="L133" t="s" s="31">
        <v>1558</v>
      </c>
      <c r="M133" s="29"/>
      <c r="N133" s="29"/>
      <c r="O133" s="29"/>
    </row>
    <row r="134" ht="86.7" customHeight="1">
      <c r="A134" t="s" s="10">
        <v>1559</v>
      </c>
      <c r="B134" t="s" s="25">
        <v>946</v>
      </c>
      <c r="C134" s="29"/>
      <c r="D134" s="30">
        <v>95</v>
      </c>
      <c r="E134" s="30">
        <v>70</v>
      </c>
      <c r="F134" t="s" s="31">
        <v>7</v>
      </c>
      <c r="G134" s="29"/>
      <c r="H134" t="s" s="31">
        <v>1560</v>
      </c>
      <c r="I134" t="s" s="31">
        <v>1561</v>
      </c>
      <c r="J134" s="29"/>
      <c r="K134" t="s" s="31">
        <v>1562</v>
      </c>
      <c r="L134" t="s" s="31">
        <v>1288</v>
      </c>
      <c r="M134" s="29"/>
      <c r="N134" s="29"/>
      <c r="O134" s="29"/>
    </row>
    <row r="135" ht="62.7" customHeight="1">
      <c r="A135" t="s" s="10">
        <v>1563</v>
      </c>
      <c r="B135" t="s" s="25">
        <v>946</v>
      </c>
      <c r="C135" s="29"/>
      <c r="D135" s="30">
        <v>240</v>
      </c>
      <c r="E135" s="30">
        <v>220</v>
      </c>
      <c r="F135" t="s" s="31">
        <v>9</v>
      </c>
      <c r="G135" s="29"/>
      <c r="H135" t="s" s="31">
        <v>1564</v>
      </c>
      <c r="I135" t="s" s="31">
        <v>1565</v>
      </c>
      <c r="J135" t="s" s="31">
        <v>959</v>
      </c>
      <c r="K135" t="s" s="31">
        <v>1566</v>
      </c>
      <c r="L135" t="s" s="31">
        <v>1567</v>
      </c>
      <c r="M135" s="29"/>
      <c r="N135" s="29"/>
      <c r="O135" s="29"/>
    </row>
    <row r="136" ht="86.7" customHeight="1">
      <c r="A136" t="s" s="10">
        <v>1568</v>
      </c>
      <c r="B136" t="s" s="25">
        <v>946</v>
      </c>
      <c r="C136" s="29"/>
      <c r="D136" s="30">
        <v>300</v>
      </c>
      <c r="E136" s="30">
        <v>300</v>
      </c>
      <c r="F136" t="s" s="31">
        <v>5</v>
      </c>
      <c r="G136" s="29"/>
      <c r="H136" s="31"/>
      <c r="I136" t="s" s="31">
        <v>1569</v>
      </c>
      <c r="J136" s="31"/>
      <c r="K136" t="s" s="31">
        <v>1570</v>
      </c>
      <c r="L136" t="s" s="31">
        <v>1571</v>
      </c>
      <c r="M136" s="29"/>
      <c r="N136" s="29"/>
      <c r="O136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75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1572</v>
      </c>
      <c r="O2" t="s" s="5">
        <f>"Booster Pack - Unseen Presence / "&amp;COUNTIF(O3:O544,"Yes")</f>
        <v>1573</v>
      </c>
      <c r="P2" t="s" s="5">
        <f>"Booster Pack - Wind of Dominance / "&amp;COUNTIF(P3:P544,"Yes")</f>
        <v>1574</v>
      </c>
    </row>
    <row r="3" ht="44.25" customHeight="1">
      <c r="A3" t="s" s="7">
        <v>1575</v>
      </c>
      <c r="B3" t="s" s="8">
        <v>1576</v>
      </c>
      <c r="C3" s="16">
        <v>0</v>
      </c>
      <c r="D3" s="9"/>
      <c r="E3" s="9"/>
      <c r="F3" s="9"/>
      <c r="G3" s="16">
        <v>1</v>
      </c>
      <c r="H3" t="s" s="17">
        <v>1577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1578</v>
      </c>
      <c r="B4" t="s" s="11">
        <v>1576</v>
      </c>
      <c r="C4" s="18">
        <v>100</v>
      </c>
      <c r="D4" s="12"/>
      <c r="E4" s="12"/>
      <c r="F4" s="12"/>
      <c r="G4" s="18">
        <v>2</v>
      </c>
      <c r="H4" t="s" s="19">
        <v>1579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1580</v>
      </c>
      <c r="B5" t="s" s="11">
        <v>1576</v>
      </c>
      <c r="C5" s="18">
        <v>0</v>
      </c>
      <c r="D5" s="12"/>
      <c r="E5" s="12"/>
      <c r="F5" s="12"/>
      <c r="G5" s="18">
        <v>1</v>
      </c>
      <c r="H5" t="s" s="19">
        <v>1581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1582</v>
      </c>
      <c r="B6" t="s" s="11">
        <v>1576</v>
      </c>
      <c r="C6" s="18">
        <v>0</v>
      </c>
      <c r="D6" s="12"/>
      <c r="E6" s="12"/>
      <c r="F6" s="12"/>
      <c r="G6" s="18">
        <v>2</v>
      </c>
      <c r="H6" t="s" s="19">
        <v>1583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1584</v>
      </c>
      <c r="B7" t="s" s="11">
        <v>1576</v>
      </c>
      <c r="C7" s="18">
        <v>600</v>
      </c>
      <c r="D7" s="12"/>
      <c r="E7" s="12"/>
      <c r="F7" s="12"/>
      <c r="G7" s="18">
        <v>3</v>
      </c>
      <c r="H7" t="s" s="19">
        <v>1585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1586</v>
      </c>
      <c r="B8" t="s" s="11">
        <v>1576</v>
      </c>
      <c r="C8" s="18">
        <v>0</v>
      </c>
      <c r="D8" s="12"/>
      <c r="E8" s="12"/>
      <c r="F8" s="12"/>
      <c r="G8" s="18">
        <v>5</v>
      </c>
      <c r="H8" t="s" s="19">
        <v>1587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1588</v>
      </c>
      <c r="B9" t="s" s="11">
        <v>1576</v>
      </c>
      <c r="C9" s="18">
        <v>500</v>
      </c>
      <c r="D9" s="12"/>
      <c r="E9" s="12"/>
      <c r="F9" s="12"/>
      <c r="G9" s="18">
        <v>4</v>
      </c>
      <c r="H9" t="s" s="19">
        <v>1589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1590</v>
      </c>
      <c r="B10" t="s" s="11">
        <v>1576</v>
      </c>
      <c r="C10" s="18">
        <v>200</v>
      </c>
      <c r="D10" s="12"/>
      <c r="E10" s="12"/>
      <c r="F10" s="12"/>
      <c r="G10" s="18">
        <v>2</v>
      </c>
      <c r="H10" t="s" s="19">
        <v>1591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1592</v>
      </c>
      <c r="B11" t="s" s="11">
        <v>1576</v>
      </c>
      <c r="C11" s="18">
        <v>400</v>
      </c>
      <c r="D11" s="12"/>
      <c r="E11" s="12"/>
      <c r="F11" s="12"/>
      <c r="G11" s="18">
        <v>3</v>
      </c>
      <c r="H11" t="s" s="19">
        <v>1593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1594</v>
      </c>
      <c r="B12" t="s" s="11">
        <v>1576</v>
      </c>
      <c r="C12" s="18">
        <v>200</v>
      </c>
      <c r="D12" s="12"/>
      <c r="E12" s="12"/>
      <c r="F12" s="12"/>
      <c r="G12" s="18">
        <v>2</v>
      </c>
      <c r="H12" t="s" s="19">
        <v>1595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1596</v>
      </c>
      <c r="B13" t="s" s="11">
        <v>1576</v>
      </c>
      <c r="C13" s="18">
        <v>400</v>
      </c>
      <c r="D13" s="12"/>
      <c r="E13" s="12"/>
      <c r="F13" s="12"/>
      <c r="G13" s="18">
        <v>3</v>
      </c>
      <c r="H13" t="s" s="19">
        <v>1597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1598</v>
      </c>
      <c r="B14" t="s" s="11">
        <v>1576</v>
      </c>
      <c r="C14" s="18">
        <v>800</v>
      </c>
      <c r="D14" s="12"/>
      <c r="E14" s="12"/>
      <c r="F14" s="12"/>
      <c r="G14" s="18">
        <v>5</v>
      </c>
      <c r="H14" t="s" s="19">
        <v>1599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1600</v>
      </c>
      <c r="B15" t="s" s="11">
        <v>1576</v>
      </c>
      <c r="C15" s="18">
        <v>500</v>
      </c>
      <c r="D15" s="12"/>
      <c r="E15" s="12"/>
      <c r="F15" s="12"/>
      <c r="G15" s="18">
        <v>4</v>
      </c>
      <c r="H15" t="s" s="19">
        <v>1601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1602</v>
      </c>
      <c r="B16" t="s" s="11">
        <v>1576</v>
      </c>
      <c r="C16" s="18">
        <v>800</v>
      </c>
      <c r="D16" s="12"/>
      <c r="E16" s="12"/>
      <c r="F16" s="12"/>
      <c r="G16" s="18">
        <v>5</v>
      </c>
      <c r="H16" t="s" s="19">
        <v>1603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1604</v>
      </c>
      <c r="B17" t="s" s="11">
        <v>1576</v>
      </c>
      <c r="C17" s="18">
        <v>400</v>
      </c>
      <c r="D17" s="12"/>
      <c r="E17" s="12"/>
      <c r="F17" s="12"/>
      <c r="G17" s="18">
        <v>4</v>
      </c>
      <c r="H17" t="s" s="19">
        <v>1605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1606</v>
      </c>
      <c r="B18" t="s" s="11">
        <v>1576</v>
      </c>
      <c r="C18" s="18">
        <v>0</v>
      </c>
      <c r="D18" s="12"/>
      <c r="E18" s="12"/>
      <c r="F18" s="12"/>
      <c r="G18" s="18">
        <v>3</v>
      </c>
      <c r="H18" t="s" s="19">
        <v>1607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1608</v>
      </c>
      <c r="B19" t="s" s="11">
        <v>1576</v>
      </c>
      <c r="C19" s="18">
        <v>200</v>
      </c>
      <c r="D19" s="12"/>
      <c r="E19" s="12"/>
      <c r="F19" s="12"/>
      <c r="G19" s="18">
        <v>4</v>
      </c>
      <c r="H19" t="s" s="19">
        <v>1609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1610</v>
      </c>
      <c r="B20" t="s" s="11">
        <v>1576</v>
      </c>
      <c r="C20" s="18">
        <v>600</v>
      </c>
      <c r="D20" s="12"/>
      <c r="E20" s="12"/>
      <c r="F20" s="12"/>
      <c r="G20" s="18">
        <v>4</v>
      </c>
      <c r="H20" t="s" s="19">
        <v>1611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1612</v>
      </c>
      <c r="B21" t="s" s="11">
        <v>1576</v>
      </c>
      <c r="C21" s="18">
        <v>0</v>
      </c>
      <c r="D21" s="12"/>
      <c r="E21" s="12"/>
      <c r="F21" s="12"/>
      <c r="G21" s="18">
        <v>1</v>
      </c>
      <c r="H21" t="s" s="19">
        <v>1613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1614</v>
      </c>
      <c r="B22" t="s" s="11">
        <v>1576</v>
      </c>
      <c r="C22" s="18">
        <v>50</v>
      </c>
      <c r="D22" s="12"/>
      <c r="E22" s="12"/>
      <c r="F22" s="12"/>
      <c r="G22" s="18">
        <v>2</v>
      </c>
      <c r="H22" t="s" s="19">
        <v>1615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1616</v>
      </c>
      <c r="B23" t="s" s="11">
        <v>1576</v>
      </c>
      <c r="C23" s="18">
        <v>100</v>
      </c>
      <c r="D23" s="12"/>
      <c r="E23" s="12"/>
      <c r="F23" s="12"/>
      <c r="G23" s="18">
        <v>3</v>
      </c>
      <c r="H23" t="s" s="19">
        <v>1617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1618</v>
      </c>
      <c r="B24" t="s" s="11">
        <v>1576</v>
      </c>
      <c r="C24" s="18">
        <v>800</v>
      </c>
      <c r="D24" s="12"/>
      <c r="E24" s="12"/>
      <c r="F24" s="12"/>
      <c r="G24" s="18">
        <v>5</v>
      </c>
      <c r="H24" t="s" s="19">
        <v>1619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1620</v>
      </c>
      <c r="B25" t="s" s="11">
        <v>1576</v>
      </c>
      <c r="C25" s="18">
        <v>600</v>
      </c>
      <c r="D25" s="12"/>
      <c r="E25" s="12"/>
      <c r="F25" s="12"/>
      <c r="G25" s="18">
        <v>2</v>
      </c>
      <c r="H25" t="s" s="19">
        <v>1621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1622</v>
      </c>
      <c r="B26" t="s" s="11">
        <v>1576</v>
      </c>
      <c r="C26" s="18">
        <v>400</v>
      </c>
      <c r="D26" s="12"/>
      <c r="E26" s="12"/>
      <c r="F26" s="12"/>
      <c r="G26" s="18">
        <v>1</v>
      </c>
      <c r="H26" t="s" s="19">
        <v>1623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1624</v>
      </c>
      <c r="B27" t="s" s="11">
        <v>1576</v>
      </c>
      <c r="C27" s="18">
        <v>400</v>
      </c>
      <c r="D27" s="12"/>
      <c r="E27" s="12"/>
      <c r="F27" s="12"/>
      <c r="G27" s="18">
        <v>1</v>
      </c>
      <c r="H27" t="s" s="19">
        <v>1625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1626</v>
      </c>
      <c r="B28" t="s" s="11">
        <v>1576</v>
      </c>
      <c r="C28" s="18">
        <v>400</v>
      </c>
      <c r="D28" s="12"/>
      <c r="E28" s="12"/>
      <c r="F28" s="12"/>
      <c r="G28" s="18">
        <v>1</v>
      </c>
      <c r="H28" t="s" s="19">
        <v>1627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1628</v>
      </c>
      <c r="B29" t="s" s="11">
        <v>1576</v>
      </c>
      <c r="C29" s="18">
        <v>400</v>
      </c>
      <c r="D29" s="12"/>
      <c r="E29" s="12"/>
      <c r="F29" s="12"/>
      <c r="G29" s="18">
        <v>1</v>
      </c>
      <c r="H29" t="s" s="19">
        <v>1629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1630</v>
      </c>
      <c r="B30" t="s" s="11">
        <v>1576</v>
      </c>
      <c r="C30" s="18">
        <v>400</v>
      </c>
      <c r="D30" s="12"/>
      <c r="E30" s="12"/>
      <c r="F30" s="12"/>
      <c r="G30" s="18">
        <v>1</v>
      </c>
      <c r="H30" t="s" s="19">
        <v>1631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1632</v>
      </c>
      <c r="B31" t="s" s="11">
        <v>1576</v>
      </c>
      <c r="C31" s="18">
        <v>400</v>
      </c>
      <c r="D31" s="12"/>
      <c r="E31" s="12"/>
      <c r="F31" s="12"/>
      <c r="G31" s="18">
        <v>1</v>
      </c>
      <c r="H31" t="s" s="19">
        <v>1633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1634</v>
      </c>
      <c r="B32" t="s" s="11">
        <v>1576</v>
      </c>
      <c r="C32" s="18">
        <v>400</v>
      </c>
      <c r="D32" s="12"/>
      <c r="E32" s="12"/>
      <c r="F32" s="12"/>
      <c r="G32" s="18">
        <v>1</v>
      </c>
      <c r="H32" t="s" s="19">
        <v>1635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1636</v>
      </c>
      <c r="B33" t="s" s="11">
        <v>1576</v>
      </c>
      <c r="C33" s="18">
        <v>350</v>
      </c>
      <c r="D33" s="12"/>
      <c r="E33" s="12"/>
      <c r="F33" s="12"/>
      <c r="G33" s="18">
        <v>2</v>
      </c>
      <c r="H33" t="s" s="19">
        <v>1637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1638</v>
      </c>
      <c r="B34" t="s" s="11">
        <v>1576</v>
      </c>
      <c r="C34" s="18">
        <v>250</v>
      </c>
      <c r="D34" s="12"/>
      <c r="E34" s="12"/>
      <c r="F34" s="12"/>
      <c r="G34" s="18">
        <v>3</v>
      </c>
      <c r="H34" t="s" s="19">
        <v>1639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1640</v>
      </c>
      <c r="B35" t="s" s="11">
        <v>1576</v>
      </c>
      <c r="C35" s="18">
        <v>250</v>
      </c>
      <c r="D35" s="12"/>
      <c r="E35" s="12"/>
      <c r="F35" s="12"/>
      <c r="G35" s="18">
        <v>3</v>
      </c>
      <c r="H35" t="s" s="19">
        <v>1641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1642</v>
      </c>
      <c r="B36" t="s" s="11">
        <v>1576</v>
      </c>
      <c r="C36" s="18">
        <v>250</v>
      </c>
      <c r="D36" s="12"/>
      <c r="E36" s="12"/>
      <c r="F36" s="12"/>
      <c r="G36" s="18">
        <v>3</v>
      </c>
      <c r="H36" t="s" s="19">
        <v>1643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1644</v>
      </c>
      <c r="B37" t="s" s="11">
        <v>1576</v>
      </c>
      <c r="C37" s="18">
        <v>250</v>
      </c>
      <c r="D37" s="12"/>
      <c r="E37" s="12"/>
      <c r="F37" s="12"/>
      <c r="G37" s="18">
        <v>3</v>
      </c>
      <c r="H37" t="s" s="19">
        <v>1645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1646</v>
      </c>
      <c r="B38" t="s" s="11">
        <v>1576</v>
      </c>
      <c r="C38" s="18">
        <v>250</v>
      </c>
      <c r="D38" s="12"/>
      <c r="E38" s="12"/>
      <c r="F38" s="12"/>
      <c r="G38" s="18">
        <v>3</v>
      </c>
      <c r="H38" t="s" s="19">
        <v>1647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1648</v>
      </c>
      <c r="B39" t="s" s="11">
        <v>1576</v>
      </c>
      <c r="C39" s="18">
        <v>250</v>
      </c>
      <c r="D39" s="12"/>
      <c r="E39" s="12"/>
      <c r="F39" s="12"/>
      <c r="G39" s="18">
        <v>3</v>
      </c>
      <c r="H39" t="s" s="19">
        <v>1649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1650</v>
      </c>
      <c r="B40" t="s" s="11">
        <v>1576</v>
      </c>
      <c r="C40" s="18">
        <v>250</v>
      </c>
      <c r="D40" s="12"/>
      <c r="E40" s="12"/>
      <c r="F40" s="12"/>
      <c r="G40" s="18">
        <v>3</v>
      </c>
      <c r="H40" t="s" s="19">
        <v>1651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1652</v>
      </c>
      <c r="B41" t="s" s="11">
        <v>1576</v>
      </c>
      <c r="C41" s="18">
        <v>400</v>
      </c>
      <c r="D41" s="12"/>
      <c r="E41" s="12"/>
      <c r="F41" s="12"/>
      <c r="G41" s="18">
        <v>3</v>
      </c>
      <c r="H41" t="s" s="19">
        <v>1653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1654</v>
      </c>
      <c r="B42" t="s" s="11">
        <v>1576</v>
      </c>
      <c r="C42" s="18">
        <v>500</v>
      </c>
      <c r="D42" s="12"/>
      <c r="E42" s="12"/>
      <c r="F42" s="12"/>
      <c r="G42" s="18">
        <v>4</v>
      </c>
      <c r="H42" t="s" s="19">
        <v>1655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1656</v>
      </c>
      <c r="B43" t="s" s="11">
        <v>1576</v>
      </c>
      <c r="C43" s="18">
        <v>100</v>
      </c>
      <c r="D43" s="12"/>
      <c r="E43" s="12"/>
      <c r="F43" s="12"/>
      <c r="G43" s="18">
        <v>2</v>
      </c>
      <c r="H43" t="s" s="19">
        <v>1657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1658</v>
      </c>
      <c r="B44" t="s" s="11">
        <v>1576</v>
      </c>
      <c r="C44" s="18">
        <v>300</v>
      </c>
      <c r="D44" s="12"/>
      <c r="E44" s="12"/>
      <c r="F44" s="12"/>
      <c r="G44" s="18">
        <v>1</v>
      </c>
      <c r="H44" t="s" s="19">
        <v>1659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1660</v>
      </c>
      <c r="B45" t="s" s="11">
        <v>1576</v>
      </c>
      <c r="C45" s="18">
        <v>500</v>
      </c>
      <c r="D45" s="12"/>
      <c r="E45" s="12"/>
      <c r="F45" s="12"/>
      <c r="G45" s="18">
        <v>1</v>
      </c>
      <c r="H45" t="s" s="19">
        <v>1661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1662</v>
      </c>
      <c r="B46" t="s" s="11">
        <v>1576</v>
      </c>
      <c r="C46" s="18">
        <v>300</v>
      </c>
      <c r="D46" s="12"/>
      <c r="E46" s="12"/>
      <c r="F46" s="12"/>
      <c r="G46" s="18">
        <v>1</v>
      </c>
      <c r="H46" t="s" s="19">
        <v>1663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1664</v>
      </c>
      <c r="B47" t="s" s="11">
        <v>1576</v>
      </c>
      <c r="C47" s="18">
        <v>400</v>
      </c>
      <c r="D47" s="12"/>
      <c r="E47" s="12"/>
      <c r="F47" s="12"/>
      <c r="G47" s="18">
        <v>1</v>
      </c>
      <c r="H47" t="s" s="19">
        <v>1665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1666</v>
      </c>
      <c r="B48" t="s" s="11">
        <v>1576</v>
      </c>
      <c r="C48" s="18">
        <v>0</v>
      </c>
      <c r="D48" s="12"/>
      <c r="E48" s="12"/>
      <c r="F48" s="12"/>
      <c r="G48" s="18">
        <v>3</v>
      </c>
      <c r="H48" t="s" s="19">
        <v>1667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1668</v>
      </c>
      <c r="B49" t="s" s="11">
        <v>1576</v>
      </c>
      <c r="C49" s="18">
        <v>400</v>
      </c>
      <c r="D49" s="12"/>
      <c r="E49" s="12"/>
      <c r="F49" s="12"/>
      <c r="G49" s="18">
        <v>5</v>
      </c>
      <c r="H49" t="s" s="19">
        <v>1669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1670</v>
      </c>
      <c r="B50" t="s" s="11">
        <v>1576</v>
      </c>
      <c r="C50" s="18">
        <v>100</v>
      </c>
      <c r="D50" s="12"/>
      <c r="E50" s="12"/>
      <c r="F50" s="12"/>
      <c r="G50" s="18">
        <v>1</v>
      </c>
      <c r="H50" t="s" s="19">
        <v>1671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1672</v>
      </c>
      <c r="B51" t="s" s="11">
        <v>1576</v>
      </c>
      <c r="C51" s="18">
        <v>0</v>
      </c>
      <c r="D51" s="12"/>
      <c r="E51" s="12"/>
      <c r="F51" s="12"/>
      <c r="G51" s="18">
        <v>1</v>
      </c>
      <c r="H51" t="s" s="19">
        <v>1673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1674</v>
      </c>
      <c r="B52" t="s" s="11">
        <v>1576</v>
      </c>
      <c r="C52" s="18">
        <v>0</v>
      </c>
      <c r="D52" s="12"/>
      <c r="E52" s="12"/>
      <c r="F52" s="12"/>
      <c r="G52" s="18">
        <v>2</v>
      </c>
      <c r="H52" t="s" s="19">
        <v>1675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1676</v>
      </c>
      <c r="B53" t="s" s="11">
        <v>1576</v>
      </c>
      <c r="C53" s="18">
        <v>0</v>
      </c>
      <c r="D53" s="12"/>
      <c r="E53" s="12"/>
      <c r="F53" s="12"/>
      <c r="G53" s="18">
        <v>2</v>
      </c>
      <c r="H53" t="s" s="19">
        <v>1677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1678</v>
      </c>
      <c r="B54" t="s" s="11">
        <v>1576</v>
      </c>
      <c r="C54" s="18">
        <v>400</v>
      </c>
      <c r="D54" s="12"/>
      <c r="E54" s="12"/>
      <c r="F54" s="12"/>
      <c r="G54" s="18">
        <v>3</v>
      </c>
      <c r="H54" t="s" s="19">
        <v>1679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1680</v>
      </c>
      <c r="B55" t="s" s="11">
        <v>1576</v>
      </c>
      <c r="C55" s="18">
        <v>0</v>
      </c>
      <c r="D55" s="12"/>
      <c r="E55" s="12"/>
      <c r="F55" s="12"/>
      <c r="G55" s="18">
        <v>1</v>
      </c>
      <c r="H55" t="s" s="19">
        <v>1681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1682</v>
      </c>
      <c r="B56" t="s" s="11">
        <v>1576</v>
      </c>
      <c r="C56" s="18">
        <v>0</v>
      </c>
      <c r="D56" s="12"/>
      <c r="E56" s="12"/>
      <c r="F56" s="12"/>
      <c r="G56" s="18">
        <v>1</v>
      </c>
      <c r="H56" t="s" s="19">
        <v>1683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1684</v>
      </c>
      <c r="B57" t="s" s="11">
        <v>1576</v>
      </c>
      <c r="C57" s="18">
        <v>0</v>
      </c>
      <c r="D57" s="12"/>
      <c r="E57" s="12"/>
      <c r="F57" s="12"/>
      <c r="G57" s="18">
        <v>2</v>
      </c>
      <c r="H57" t="s" s="19">
        <v>1685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1686</v>
      </c>
      <c r="B58" t="s" s="11">
        <v>1576</v>
      </c>
      <c r="C58" s="18">
        <v>0</v>
      </c>
      <c r="D58" s="12"/>
      <c r="E58" s="12"/>
      <c r="F58" s="12"/>
      <c r="G58" s="18">
        <v>2</v>
      </c>
      <c r="H58" t="s" s="19">
        <v>1687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1688</v>
      </c>
      <c r="B59" t="s" s="11">
        <v>1576</v>
      </c>
      <c r="C59" s="18">
        <v>0</v>
      </c>
      <c r="D59" s="12"/>
      <c r="E59" s="12"/>
      <c r="F59" s="12"/>
      <c r="G59" s="18">
        <v>1</v>
      </c>
      <c r="H59" t="s" s="19">
        <v>1689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1690</v>
      </c>
      <c r="B60" t="s" s="11">
        <v>1576</v>
      </c>
      <c r="C60" s="18">
        <v>0</v>
      </c>
      <c r="D60" s="12"/>
      <c r="E60" s="12"/>
      <c r="F60" s="12"/>
      <c r="G60" s="18">
        <v>5</v>
      </c>
      <c r="H60" t="s" s="19">
        <v>1691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1692</v>
      </c>
      <c r="B61" t="s" s="11">
        <v>1576</v>
      </c>
      <c r="C61" s="18">
        <v>100</v>
      </c>
      <c r="D61" s="12"/>
      <c r="E61" s="12"/>
      <c r="F61" s="12"/>
      <c r="G61" s="18">
        <v>2</v>
      </c>
      <c r="H61" t="s" s="19">
        <v>1693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t="s" s="10">
        <v>1694</v>
      </c>
      <c r="B62" t="s" s="11">
        <v>1576</v>
      </c>
      <c r="C62" s="18">
        <v>200</v>
      </c>
      <c r="D62" s="12"/>
      <c r="E62" s="12"/>
      <c r="F62" s="12"/>
      <c r="G62" s="18">
        <v>2</v>
      </c>
      <c r="H62" t="s" s="19">
        <v>1695</v>
      </c>
      <c r="I62" s="12"/>
      <c r="J62" s="19"/>
      <c r="K62" s="12"/>
      <c r="L62" s="19"/>
      <c r="M62" s="12"/>
      <c r="N62" s="12"/>
      <c r="O62" s="19"/>
      <c r="P62" s="12"/>
    </row>
    <row r="63" ht="38.7" customHeight="1">
      <c r="A63" t="s" s="10">
        <v>1696</v>
      </c>
      <c r="B63" t="s" s="11">
        <v>1576</v>
      </c>
      <c r="C63" s="18">
        <v>200</v>
      </c>
      <c r="D63" s="12"/>
      <c r="E63" s="12"/>
      <c r="F63" s="12"/>
      <c r="G63" s="18">
        <v>2</v>
      </c>
      <c r="H63" t="s" s="19">
        <v>1697</v>
      </c>
      <c r="I63" s="12"/>
      <c r="J63" s="19"/>
      <c r="K63" s="12"/>
      <c r="L63" s="19"/>
      <c r="M63" s="12"/>
      <c r="N63" s="12"/>
      <c r="O63" s="19"/>
      <c r="P63" s="12"/>
    </row>
    <row r="64" ht="38.7" customHeight="1">
      <c r="A64" t="s" s="10">
        <v>1698</v>
      </c>
      <c r="B64" t="s" s="11">
        <v>1576</v>
      </c>
      <c r="C64" s="18">
        <v>150</v>
      </c>
      <c r="D64" s="12"/>
      <c r="E64" s="12"/>
      <c r="F64" s="12"/>
      <c r="G64" s="18">
        <v>2</v>
      </c>
      <c r="H64" t="s" s="19">
        <v>1699</v>
      </c>
      <c r="I64" s="12"/>
      <c r="J64" s="12"/>
      <c r="K64" s="12"/>
      <c r="L64" s="12"/>
      <c r="M64" s="12"/>
      <c r="N64" s="12"/>
      <c r="O64" s="12"/>
      <c r="P64" s="12"/>
    </row>
    <row r="65" ht="38.7" customHeight="1">
      <c r="A65" t="s" s="10">
        <v>1700</v>
      </c>
      <c r="B65" t="s" s="11">
        <v>1576</v>
      </c>
      <c r="C65" s="18">
        <v>0</v>
      </c>
      <c r="D65" s="12"/>
      <c r="E65" s="12"/>
      <c r="F65" s="12"/>
      <c r="G65" s="18">
        <v>2</v>
      </c>
      <c r="H65" t="s" s="19">
        <v>1701</v>
      </c>
      <c r="I65" s="12"/>
      <c r="J65" s="12"/>
      <c r="K65" s="12"/>
      <c r="L65" s="12"/>
      <c r="M65" s="12"/>
      <c r="N65" s="12"/>
      <c r="O65" s="12"/>
      <c r="P65" s="12"/>
    </row>
    <row r="66" ht="32.25" customHeight="1">
      <c r="A66" t="s" s="10">
        <v>1702</v>
      </c>
      <c r="B66" t="s" s="11">
        <v>1576</v>
      </c>
      <c r="C66" s="18">
        <v>500</v>
      </c>
      <c r="D66" s="12"/>
      <c r="E66" s="12"/>
      <c r="F66" s="12"/>
      <c r="G66" s="18">
        <v>2</v>
      </c>
      <c r="H66" t="s" s="19">
        <v>1703</v>
      </c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t="s" s="10">
        <v>1704</v>
      </c>
      <c r="B67" t="s" s="11">
        <v>1576</v>
      </c>
      <c r="C67" s="18">
        <v>700</v>
      </c>
      <c r="D67" s="12"/>
      <c r="E67" s="12"/>
      <c r="F67" s="12"/>
      <c r="G67" s="18">
        <v>2</v>
      </c>
      <c r="H67" t="s" s="19">
        <v>1705</v>
      </c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t="s" s="10">
        <v>1706</v>
      </c>
      <c r="B68" t="s" s="11">
        <v>1576</v>
      </c>
      <c r="C68" s="18">
        <v>300</v>
      </c>
      <c r="D68" s="12"/>
      <c r="E68" s="12"/>
      <c r="F68" s="12"/>
      <c r="G68" s="18">
        <v>3</v>
      </c>
      <c r="H68" t="s" s="19">
        <v>1707</v>
      </c>
      <c r="I68" s="12"/>
      <c r="J68" s="12"/>
      <c r="K68" s="12"/>
      <c r="L68" s="12"/>
      <c r="M68" s="12"/>
      <c r="N68" s="12"/>
      <c r="O68" s="12"/>
      <c r="P68" s="12"/>
    </row>
    <row r="69" ht="38.7" customHeight="1">
      <c r="A69" t="s" s="10">
        <v>1708</v>
      </c>
      <c r="B69" t="s" s="11">
        <v>1576</v>
      </c>
      <c r="C69" s="18">
        <v>0</v>
      </c>
      <c r="D69" s="12"/>
      <c r="E69" s="12"/>
      <c r="F69" s="12"/>
      <c r="G69" s="18">
        <v>3</v>
      </c>
      <c r="H69" t="s" s="19">
        <v>1709</v>
      </c>
      <c r="I69" s="12"/>
      <c r="J69" s="12"/>
      <c r="K69" s="12"/>
      <c r="L69" s="12"/>
      <c r="M69" s="12"/>
      <c r="N69" s="12"/>
      <c r="O69" s="12"/>
      <c r="P69" s="12"/>
    </row>
    <row r="70" ht="40.9" customHeight="1">
      <c r="A70" t="s" s="10">
        <v>1710</v>
      </c>
      <c r="B70" t="s" s="11">
        <v>1576</v>
      </c>
      <c r="C70" s="18">
        <v>600</v>
      </c>
      <c r="D70" s="12"/>
      <c r="E70" s="12"/>
      <c r="F70" s="12"/>
      <c r="G70" s="18">
        <v>4</v>
      </c>
      <c r="H70" t="s" s="19">
        <v>1711</v>
      </c>
      <c r="I70" s="12"/>
      <c r="J70" s="12"/>
      <c r="K70" s="12"/>
      <c r="L70" s="12"/>
      <c r="M70" s="12"/>
      <c r="N70" s="12"/>
      <c r="O70" s="12"/>
      <c r="P70" s="12"/>
    </row>
    <row r="71" ht="38.7" customHeight="1">
      <c r="A71" t="s" s="10">
        <v>1712</v>
      </c>
      <c r="B71" t="s" s="11">
        <v>1576</v>
      </c>
      <c r="C71" s="18">
        <v>0</v>
      </c>
      <c r="D71" s="12"/>
      <c r="E71" s="12"/>
      <c r="F71" s="12"/>
      <c r="G71" s="18">
        <v>2</v>
      </c>
      <c r="H71" t="s" s="19">
        <v>1713</v>
      </c>
      <c r="I71" s="12"/>
      <c r="J71" s="12"/>
      <c r="K71" s="12"/>
      <c r="L71" s="12"/>
      <c r="M71" s="12"/>
      <c r="N71" s="12"/>
      <c r="O71" s="12"/>
      <c r="P71" s="12"/>
    </row>
    <row r="72" ht="50.7" customHeight="1">
      <c r="A72" t="s" s="10">
        <v>1714</v>
      </c>
      <c r="B72" t="s" s="11">
        <v>1576</v>
      </c>
      <c r="C72" s="18">
        <v>300</v>
      </c>
      <c r="D72" s="12"/>
      <c r="E72" s="12"/>
      <c r="F72" s="12"/>
      <c r="G72" s="18">
        <v>3</v>
      </c>
      <c r="H72" t="s" s="19">
        <v>1715</v>
      </c>
      <c r="I72" s="12"/>
      <c r="J72" s="12"/>
      <c r="K72" s="12"/>
      <c r="L72" s="12"/>
      <c r="M72" s="12"/>
      <c r="N72" s="12"/>
      <c r="O72" s="12"/>
      <c r="P72" s="12"/>
    </row>
    <row r="73" ht="50.7" customHeight="1">
      <c r="A73" t="s" s="10">
        <v>1716</v>
      </c>
      <c r="B73" t="s" s="11">
        <v>1576</v>
      </c>
      <c r="C73" s="18">
        <v>0</v>
      </c>
      <c r="D73" s="12"/>
      <c r="E73" s="12"/>
      <c r="F73" s="12"/>
      <c r="G73" s="18">
        <v>3</v>
      </c>
      <c r="H73" t="s" s="19">
        <v>1717</v>
      </c>
      <c r="I73" s="12"/>
      <c r="J73" s="12"/>
      <c r="K73" s="12"/>
      <c r="L73" s="12"/>
      <c r="M73" s="12"/>
      <c r="N73" s="12"/>
      <c r="O73" s="12"/>
      <c r="P73" s="12"/>
    </row>
    <row r="74" ht="38.7" customHeight="1">
      <c r="A74" t="s" s="10">
        <v>1718</v>
      </c>
      <c r="B74" t="s" s="11">
        <v>1576</v>
      </c>
      <c r="C74" s="18">
        <v>250</v>
      </c>
      <c r="D74" s="12"/>
      <c r="E74" s="12"/>
      <c r="F74" s="12"/>
      <c r="G74" s="18">
        <v>5</v>
      </c>
      <c r="H74" t="s" s="19">
        <v>1719</v>
      </c>
      <c r="I74" s="12"/>
      <c r="J74" s="12"/>
      <c r="K74" s="12"/>
      <c r="L74" s="12"/>
      <c r="M74" s="12"/>
      <c r="N74" s="12"/>
      <c r="O74" s="12"/>
      <c r="P74" s="12"/>
    </row>
    <row r="75" ht="38.7" customHeight="1">
      <c r="A75" t="s" s="10">
        <v>1720</v>
      </c>
      <c r="B75" t="s" s="11">
        <v>1576</v>
      </c>
      <c r="C75" s="18">
        <v>500</v>
      </c>
      <c r="D75" s="12"/>
      <c r="E75" s="12"/>
      <c r="F75" s="12"/>
      <c r="G75" s="12"/>
      <c r="H75" t="s" s="19">
        <v>1721</v>
      </c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t="s" s="10">
        <v>1722</v>
      </c>
      <c r="B76" t="s" s="11">
        <v>1576</v>
      </c>
      <c r="C76" s="18">
        <v>350</v>
      </c>
      <c r="D76" s="12"/>
      <c r="E76" s="12"/>
      <c r="F76" s="12"/>
      <c r="G76" s="12"/>
      <c r="H76" t="s" s="19">
        <v>1723</v>
      </c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t="s" s="10">
        <v>1724</v>
      </c>
      <c r="B77" t="s" s="11">
        <v>1576</v>
      </c>
      <c r="C77" s="18">
        <v>100</v>
      </c>
      <c r="D77" s="12"/>
      <c r="E77" s="12"/>
      <c r="F77" s="12"/>
      <c r="G77" s="12"/>
      <c r="H77" t="s" s="19">
        <v>1725</v>
      </c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t="s" s="10">
        <v>1726</v>
      </c>
      <c r="B78" t="s" s="11">
        <v>1576</v>
      </c>
      <c r="C78" s="18">
        <v>300</v>
      </c>
      <c r="D78" s="12"/>
      <c r="E78" s="12"/>
      <c r="F78" s="12"/>
      <c r="G78" s="12"/>
      <c r="H78" t="s" s="19">
        <v>1727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1728</v>
      </c>
      <c r="B79" t="s" s="11">
        <v>1576</v>
      </c>
      <c r="C79" s="18">
        <v>200</v>
      </c>
      <c r="D79" s="12"/>
      <c r="E79" s="12"/>
      <c r="F79" s="12"/>
      <c r="G79" s="12"/>
      <c r="H79" t="s" s="19">
        <v>1729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1730</v>
      </c>
      <c r="B80" t="s" s="11">
        <v>1576</v>
      </c>
      <c r="C80" s="18">
        <v>200</v>
      </c>
      <c r="D80" s="12"/>
      <c r="E80" s="12"/>
      <c r="F80" s="12"/>
      <c r="G80" s="12"/>
      <c r="H80" t="s" s="19">
        <v>1731</v>
      </c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t="s" s="10">
        <v>1732</v>
      </c>
      <c r="B81" t="s" s="11">
        <v>1576</v>
      </c>
      <c r="C81" s="18">
        <v>500</v>
      </c>
      <c r="D81" s="12"/>
      <c r="E81" s="12"/>
      <c r="F81" s="12"/>
      <c r="G81" s="12"/>
      <c r="H81" t="s" s="19">
        <v>1733</v>
      </c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t="s" s="10">
        <v>1734</v>
      </c>
      <c r="B82" t="s" s="11">
        <v>1576</v>
      </c>
      <c r="C82" s="18">
        <v>500</v>
      </c>
      <c r="D82" s="12"/>
      <c r="E82" s="12"/>
      <c r="F82" s="12"/>
      <c r="G82" s="12"/>
      <c r="H82" t="s" s="19">
        <v>1735</v>
      </c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t="s" s="10">
        <v>1736</v>
      </c>
      <c r="B83" t="s" s="11">
        <v>1576</v>
      </c>
      <c r="C83" s="18">
        <v>200</v>
      </c>
      <c r="D83" s="12"/>
      <c r="E83" s="12"/>
      <c r="F83" s="12"/>
      <c r="G83" s="12"/>
      <c r="H83" t="s" s="19">
        <v>1737</v>
      </c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t="s" s="10">
        <v>1738</v>
      </c>
      <c r="B84" t="s" s="11">
        <v>1576</v>
      </c>
      <c r="C84" s="18">
        <v>250</v>
      </c>
      <c r="D84" s="12"/>
      <c r="E84" s="12"/>
      <c r="F84" s="12"/>
      <c r="G84" s="12"/>
      <c r="H84" t="s" s="19">
        <v>1739</v>
      </c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t="s" s="10">
        <v>1740</v>
      </c>
      <c r="B85" t="s" s="11">
        <v>1576</v>
      </c>
      <c r="C85" s="18">
        <v>250</v>
      </c>
      <c r="D85" s="12"/>
      <c r="E85" s="12"/>
      <c r="F85" s="12"/>
      <c r="G85" s="12"/>
      <c r="H85" t="s" s="19">
        <v>1741</v>
      </c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t="s" s="10">
        <v>1742</v>
      </c>
      <c r="B86" t="s" s="11">
        <v>1576</v>
      </c>
      <c r="C86" s="18">
        <v>100</v>
      </c>
      <c r="D86" s="12"/>
      <c r="E86" s="12"/>
      <c r="F86" s="12"/>
      <c r="G86" s="18">
        <v>2</v>
      </c>
      <c r="H86" t="s" s="19">
        <v>1743</v>
      </c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t="s" s="10">
        <v>1744</v>
      </c>
      <c r="B87" t="s" s="11">
        <v>1576</v>
      </c>
      <c r="C87" s="18">
        <v>250</v>
      </c>
      <c r="D87" s="12"/>
      <c r="E87" s="12"/>
      <c r="F87" s="12"/>
      <c r="G87" s="18">
        <v>2</v>
      </c>
      <c r="H87" t="s" s="19">
        <v>1745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1746</v>
      </c>
      <c r="B88" t="s" s="11">
        <v>1576</v>
      </c>
      <c r="C88" s="18">
        <v>600</v>
      </c>
      <c r="D88" s="12"/>
      <c r="E88" s="12"/>
      <c r="F88" s="12"/>
      <c r="G88" s="18">
        <v>2</v>
      </c>
      <c r="H88" t="s" s="19">
        <v>1747</v>
      </c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t="s" s="10">
        <v>1748</v>
      </c>
      <c r="B89" t="s" s="11">
        <v>1576</v>
      </c>
      <c r="C89" s="18">
        <v>0</v>
      </c>
      <c r="D89" s="12"/>
      <c r="E89" s="12"/>
      <c r="F89" s="12"/>
      <c r="G89" s="12"/>
      <c r="H89" t="s" s="19">
        <v>1749</v>
      </c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t="s" s="10">
        <v>1750</v>
      </c>
      <c r="B90" t="s" s="11">
        <v>1576</v>
      </c>
      <c r="C90" s="18">
        <v>100</v>
      </c>
      <c r="D90" s="12"/>
      <c r="E90" s="12"/>
      <c r="F90" s="12"/>
      <c r="G90" s="12"/>
      <c r="H90" t="s" s="19">
        <v>1751</v>
      </c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t="s" s="10">
        <v>1752</v>
      </c>
      <c r="B91" t="s" s="11">
        <v>1576</v>
      </c>
      <c r="C91" s="18">
        <v>200</v>
      </c>
      <c r="D91" s="12"/>
      <c r="E91" s="12"/>
      <c r="F91" s="12"/>
      <c r="G91" s="12"/>
      <c r="H91" t="s" s="19">
        <v>1753</v>
      </c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t="s" s="10">
        <v>1754</v>
      </c>
      <c r="B92" t="s" s="11">
        <v>1576</v>
      </c>
      <c r="C92" s="18">
        <v>250</v>
      </c>
      <c r="D92" s="12"/>
      <c r="E92" s="12"/>
      <c r="F92" s="12"/>
      <c r="G92" s="12"/>
      <c r="H92" t="s" s="19">
        <v>1755</v>
      </c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t="s" s="10">
        <v>1756</v>
      </c>
      <c r="B93" t="s" s="11">
        <v>1576</v>
      </c>
      <c r="C93" s="18">
        <v>200</v>
      </c>
      <c r="D93" s="12"/>
      <c r="E93" s="12"/>
      <c r="F93" s="12"/>
      <c r="G93" s="12"/>
      <c r="H93" t="s" s="19">
        <v>1757</v>
      </c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t="s" s="10">
        <v>1758</v>
      </c>
      <c r="B94" t="s" s="11">
        <v>1576</v>
      </c>
      <c r="C94" s="18">
        <v>300</v>
      </c>
      <c r="D94" s="12"/>
      <c r="E94" s="12"/>
      <c r="F94" s="12"/>
      <c r="G94" s="12"/>
      <c r="H94" t="s" s="19">
        <v>1759</v>
      </c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t="s" s="10">
        <v>1760</v>
      </c>
      <c r="B95" t="s" s="11">
        <v>1576</v>
      </c>
      <c r="C95" s="18">
        <v>200</v>
      </c>
      <c r="D95" s="12"/>
      <c r="E95" s="12"/>
      <c r="F95" s="12"/>
      <c r="G95" s="12"/>
      <c r="H95" t="s" s="19">
        <v>1761</v>
      </c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t="s" s="10">
        <v>1762</v>
      </c>
      <c r="B96" t="s" s="11">
        <v>1576</v>
      </c>
      <c r="C96" s="18">
        <v>500</v>
      </c>
      <c r="D96" s="12"/>
      <c r="E96" s="12"/>
      <c r="F96" s="12"/>
      <c r="G96" s="12"/>
      <c r="H96" t="s" s="19">
        <v>1763</v>
      </c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t="s" s="10">
        <v>1764</v>
      </c>
      <c r="B97" t="s" s="11">
        <v>1576</v>
      </c>
      <c r="C97" s="18">
        <v>600</v>
      </c>
      <c r="D97" s="12"/>
      <c r="E97" s="12"/>
      <c r="F97" s="12"/>
      <c r="G97" s="12"/>
      <c r="H97" t="s" s="19">
        <v>1765</v>
      </c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t="s" s="10">
        <v>1766</v>
      </c>
      <c r="B98" t="s" s="11">
        <v>1576</v>
      </c>
      <c r="C98" s="18">
        <v>500</v>
      </c>
      <c r="D98" s="12"/>
      <c r="E98" s="12"/>
      <c r="F98" s="12"/>
      <c r="G98" s="12"/>
      <c r="H98" t="s" s="19">
        <v>1767</v>
      </c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t="s" s="10">
        <v>1768</v>
      </c>
      <c r="B99" t="s" s="11">
        <v>1576</v>
      </c>
      <c r="C99" s="18">
        <v>150</v>
      </c>
      <c r="D99" s="12"/>
      <c r="E99" s="12"/>
      <c r="F99" s="12"/>
      <c r="G99" s="12"/>
      <c r="H99" t="s" s="19">
        <v>1769</v>
      </c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t="s" s="10">
        <v>1770</v>
      </c>
      <c r="B100" t="s" s="11">
        <v>1576</v>
      </c>
      <c r="C100" s="18">
        <v>600</v>
      </c>
      <c r="D100" s="12"/>
      <c r="E100" s="12"/>
      <c r="F100" s="12"/>
      <c r="G100" s="12"/>
      <c r="H100" t="s" s="19">
        <v>1771</v>
      </c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t="s" s="10">
        <v>1772</v>
      </c>
      <c r="B101" t="s" s="11">
        <v>1576</v>
      </c>
      <c r="C101" s="18">
        <v>400</v>
      </c>
      <c r="D101" s="12"/>
      <c r="E101" s="12"/>
      <c r="F101" s="12"/>
      <c r="G101" s="12"/>
      <c r="H101" t="s" s="19">
        <v>1773</v>
      </c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t="s" s="10">
        <v>1774</v>
      </c>
      <c r="B102" t="s" s="11">
        <v>1576</v>
      </c>
      <c r="C102" s="18">
        <v>200</v>
      </c>
      <c r="D102" s="12"/>
      <c r="E102" s="12"/>
      <c r="F102" s="12"/>
      <c r="G102" s="12"/>
      <c r="H102" t="s" s="19">
        <v>1775</v>
      </c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t="s" s="10">
        <v>1776</v>
      </c>
      <c r="B103" t="s" s="11">
        <v>1576</v>
      </c>
      <c r="C103" s="18">
        <v>500</v>
      </c>
      <c r="D103" s="12"/>
      <c r="E103" s="12"/>
      <c r="F103" s="12"/>
      <c r="G103" s="12"/>
      <c r="H103" t="s" s="19">
        <v>1777</v>
      </c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t="s" s="10">
        <v>1778</v>
      </c>
      <c r="B104" t="s" s="11">
        <v>1576</v>
      </c>
      <c r="C104" s="18">
        <v>800</v>
      </c>
      <c r="D104" s="12"/>
      <c r="E104" s="12"/>
      <c r="F104" s="12"/>
      <c r="G104" s="12"/>
      <c r="H104" t="s" s="19">
        <v>1779</v>
      </c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t="s" s="10">
        <v>1780</v>
      </c>
      <c r="B105" t="s" s="11">
        <v>1576</v>
      </c>
      <c r="C105" s="18">
        <v>500</v>
      </c>
      <c r="D105" s="12"/>
      <c r="E105" s="12"/>
      <c r="F105" s="12"/>
      <c r="G105" s="12"/>
      <c r="H105" t="s" s="19">
        <v>1781</v>
      </c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t="s" s="10">
        <v>1782</v>
      </c>
      <c r="B106" t="s" s="11">
        <v>1576</v>
      </c>
      <c r="C106" s="18">
        <v>800</v>
      </c>
      <c r="D106" s="12"/>
      <c r="E106" s="12"/>
      <c r="F106" s="12"/>
      <c r="G106" s="12"/>
      <c r="H106" t="s" s="19">
        <v>1783</v>
      </c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t="s" s="10">
        <v>1784</v>
      </c>
      <c r="B107" t="s" s="11">
        <v>1576</v>
      </c>
      <c r="C107" s="18">
        <v>500</v>
      </c>
      <c r="D107" s="12"/>
      <c r="E107" s="12"/>
      <c r="F107" s="12"/>
      <c r="G107" s="12"/>
      <c r="H107" t="s" s="19">
        <v>1785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1786</v>
      </c>
      <c r="B108" t="s" s="11">
        <v>1576</v>
      </c>
      <c r="C108" s="18">
        <v>100</v>
      </c>
      <c r="D108" s="12"/>
      <c r="E108" s="12"/>
      <c r="F108" s="12"/>
      <c r="G108" s="12"/>
      <c r="H108" t="s" s="19">
        <v>1787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1788</v>
      </c>
      <c r="B109" t="s" s="11">
        <v>1576</v>
      </c>
      <c r="C109" s="18">
        <v>100</v>
      </c>
      <c r="D109" s="12"/>
      <c r="E109" s="12"/>
      <c r="F109" s="12"/>
      <c r="G109" s="12"/>
      <c r="H109" t="s" s="19">
        <v>1789</v>
      </c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t="s" s="10">
        <v>1790</v>
      </c>
      <c r="B110" t="s" s="11">
        <v>1576</v>
      </c>
      <c r="C110" s="18">
        <v>100</v>
      </c>
      <c r="D110" s="12"/>
      <c r="E110" s="12"/>
      <c r="F110" s="12"/>
      <c r="G110" s="12"/>
      <c r="H110" t="s" s="19">
        <v>1791</v>
      </c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t="s" s="10">
        <v>1792</v>
      </c>
      <c r="B111" t="s" s="11">
        <v>1576</v>
      </c>
      <c r="C111" s="18">
        <v>100</v>
      </c>
      <c r="D111" s="12"/>
      <c r="E111" s="12"/>
      <c r="F111" s="12"/>
      <c r="G111" s="12"/>
      <c r="H111" t="s" s="19">
        <v>1793</v>
      </c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t="s" s="10">
        <v>1794</v>
      </c>
      <c r="B112" t="s" s="11">
        <v>1576</v>
      </c>
      <c r="C112" s="18">
        <v>100</v>
      </c>
      <c r="D112" s="12"/>
      <c r="E112" s="12"/>
      <c r="F112" s="12"/>
      <c r="G112" s="12"/>
      <c r="H112" t="s" s="19">
        <v>1795</v>
      </c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t="s" s="10">
        <v>1796</v>
      </c>
      <c r="B113" t="s" s="11">
        <v>1576</v>
      </c>
      <c r="C113" s="18">
        <v>100</v>
      </c>
      <c r="D113" s="12"/>
      <c r="E113" s="12"/>
      <c r="F113" s="12"/>
      <c r="G113" s="12"/>
      <c r="H113" t="s" s="19">
        <v>1797</v>
      </c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t="s" s="10">
        <v>1798</v>
      </c>
      <c r="B114" t="s" s="11">
        <v>1576</v>
      </c>
      <c r="C114" s="18">
        <v>100</v>
      </c>
      <c r="D114" s="12"/>
      <c r="E114" s="12"/>
      <c r="F114" s="12"/>
      <c r="G114" s="12"/>
      <c r="H114" t="s" s="19">
        <v>1799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1800</v>
      </c>
      <c r="B115" t="s" s="11">
        <v>1576</v>
      </c>
      <c r="C115" s="18">
        <v>100</v>
      </c>
      <c r="D115" s="12"/>
      <c r="E115" s="12"/>
      <c r="F115" s="12"/>
      <c r="G115" s="12"/>
      <c r="H115" t="s" s="19">
        <v>1801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1802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1803</v>
      </c>
      <c r="O2" t="s" s="5">
        <f>"Booster Pack - Unseen Presence / "&amp;COUNTIF(O3:O545,"Yes")</f>
        <v>1804</v>
      </c>
      <c r="P2" t="s" s="5">
        <f>"Booster Pack - Wind of Dominance / "&amp;COUNTIF(P3:P545,"Yes")</f>
        <v>1574</v>
      </c>
    </row>
    <row r="3" ht="32.25" customHeight="1">
      <c r="A3" t="s" s="7">
        <v>1805</v>
      </c>
      <c r="B3" t="s" s="8">
        <v>1806</v>
      </c>
      <c r="C3" s="16">
        <v>0</v>
      </c>
      <c r="D3" s="9"/>
      <c r="E3" s="9"/>
      <c r="F3" s="9"/>
      <c r="G3" s="16">
        <v>1</v>
      </c>
      <c r="H3" t="s" s="17">
        <v>1807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1808</v>
      </c>
      <c r="B4" t="s" s="11">
        <v>1806</v>
      </c>
      <c r="C4" s="18">
        <v>0</v>
      </c>
      <c r="D4" s="12"/>
      <c r="E4" s="12"/>
      <c r="F4" s="12"/>
      <c r="G4" s="18">
        <v>1</v>
      </c>
      <c r="H4" t="s" s="19">
        <v>1809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1810</v>
      </c>
      <c r="B5" t="s" s="11">
        <v>1806</v>
      </c>
      <c r="C5" s="18">
        <v>0</v>
      </c>
      <c r="D5" s="12"/>
      <c r="E5" s="12"/>
      <c r="F5" s="12"/>
      <c r="G5" s="18">
        <v>3</v>
      </c>
      <c r="H5" t="s" s="19">
        <v>1811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1812</v>
      </c>
      <c r="B6" t="s" s="11">
        <v>1806</v>
      </c>
      <c r="C6" s="18">
        <v>0</v>
      </c>
      <c r="D6" s="12"/>
      <c r="E6" s="12"/>
      <c r="F6" s="12"/>
      <c r="G6" s="18">
        <v>5</v>
      </c>
      <c r="H6" t="s" s="19">
        <v>1813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1814</v>
      </c>
      <c r="B7" t="s" s="11">
        <v>1806</v>
      </c>
      <c r="C7" s="18">
        <v>0</v>
      </c>
      <c r="D7" s="12"/>
      <c r="E7" s="12"/>
      <c r="F7" s="12"/>
      <c r="G7" s="18">
        <v>2</v>
      </c>
      <c r="H7" t="s" s="19">
        <v>1815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1816</v>
      </c>
      <c r="B8" t="s" s="11">
        <v>1806</v>
      </c>
      <c r="C8" s="18">
        <v>0</v>
      </c>
      <c r="D8" s="12"/>
      <c r="E8" s="12"/>
      <c r="F8" s="12"/>
      <c r="G8" s="18">
        <v>3</v>
      </c>
      <c r="H8" t="s" s="19">
        <v>1817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1818</v>
      </c>
      <c r="B9" t="s" s="11">
        <v>1806</v>
      </c>
      <c r="C9" s="18">
        <v>0</v>
      </c>
      <c r="D9" s="12"/>
      <c r="E9" s="12"/>
      <c r="F9" s="12"/>
      <c r="G9" s="18">
        <v>4</v>
      </c>
      <c r="H9" t="s" s="19">
        <v>1819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1820</v>
      </c>
      <c r="B10" t="s" s="11">
        <v>1806</v>
      </c>
      <c r="C10" s="18">
        <v>0</v>
      </c>
      <c r="D10" s="12"/>
      <c r="E10" s="12"/>
      <c r="F10" s="12"/>
      <c r="G10" s="18">
        <v>2</v>
      </c>
      <c r="H10" t="s" s="19">
        <v>1821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1822</v>
      </c>
      <c r="B11" t="s" s="11">
        <v>1806</v>
      </c>
      <c r="C11" s="18">
        <v>0</v>
      </c>
      <c r="D11" s="12"/>
      <c r="E11" s="12"/>
      <c r="F11" s="12"/>
      <c r="G11" s="18">
        <v>3</v>
      </c>
      <c r="H11" t="s" s="19">
        <v>1823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1824</v>
      </c>
      <c r="B12" t="s" s="11">
        <v>1806</v>
      </c>
      <c r="C12" s="18">
        <v>0</v>
      </c>
      <c r="D12" s="12"/>
      <c r="E12" s="12"/>
      <c r="F12" s="12"/>
      <c r="G12" s="18">
        <v>4</v>
      </c>
      <c r="H12" t="s" s="19">
        <v>1825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1826</v>
      </c>
      <c r="B13" t="s" s="11">
        <v>1806</v>
      </c>
      <c r="C13" s="18">
        <v>0</v>
      </c>
      <c r="D13" s="12"/>
      <c r="E13" s="12"/>
      <c r="F13" s="12"/>
      <c r="G13" s="18">
        <v>4</v>
      </c>
      <c r="H13" t="s" s="19">
        <v>1827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1828</v>
      </c>
      <c r="B14" t="s" s="11">
        <v>1806</v>
      </c>
      <c r="C14" s="18">
        <v>2500</v>
      </c>
      <c r="D14" s="12"/>
      <c r="E14" s="12"/>
      <c r="F14" s="12"/>
      <c r="G14" s="18">
        <v>5</v>
      </c>
      <c r="H14" t="s" s="19">
        <v>1829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1830</v>
      </c>
      <c r="B15" t="s" s="11">
        <v>1806</v>
      </c>
      <c r="C15" s="18">
        <v>2000</v>
      </c>
      <c r="D15" s="12"/>
      <c r="E15" s="12"/>
      <c r="F15" s="12"/>
      <c r="G15" s="18">
        <v>3</v>
      </c>
      <c r="H15" t="s" s="19">
        <v>1831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1832</v>
      </c>
      <c r="B16" t="s" s="11">
        <v>1806</v>
      </c>
      <c r="C16" s="18">
        <v>1000</v>
      </c>
      <c r="D16" s="12"/>
      <c r="E16" s="12"/>
      <c r="F16" s="12"/>
      <c r="G16" s="18">
        <v>4</v>
      </c>
      <c r="H16" t="s" s="19">
        <v>1833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1834</v>
      </c>
      <c r="B17" t="s" s="11">
        <v>1806</v>
      </c>
      <c r="C17" s="18">
        <v>1000</v>
      </c>
      <c r="D17" s="12"/>
      <c r="E17" s="12"/>
      <c r="F17" s="12"/>
      <c r="G17" s="18">
        <v>3</v>
      </c>
      <c r="H17" t="s" s="19">
        <v>1835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1836</v>
      </c>
      <c r="B18" t="s" s="11">
        <v>1806</v>
      </c>
      <c r="C18" s="18">
        <v>500</v>
      </c>
      <c r="D18" s="12"/>
      <c r="E18" s="12"/>
      <c r="F18" s="12"/>
      <c r="G18" s="18">
        <v>2</v>
      </c>
      <c r="H18" t="s" s="19">
        <v>1837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1838</v>
      </c>
      <c r="B19" t="s" s="11">
        <v>1806</v>
      </c>
      <c r="C19" s="18">
        <v>1000</v>
      </c>
      <c r="D19" s="12"/>
      <c r="E19" s="12"/>
      <c r="F19" s="12"/>
      <c r="G19" s="18">
        <v>4</v>
      </c>
      <c r="H19" t="s" s="19">
        <v>1839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1840</v>
      </c>
      <c r="B20" t="s" s="11">
        <v>1806</v>
      </c>
      <c r="C20" s="18">
        <v>600</v>
      </c>
      <c r="D20" s="12"/>
      <c r="E20" s="12"/>
      <c r="F20" s="12"/>
      <c r="G20" s="18">
        <v>3</v>
      </c>
      <c r="H20" t="s" s="19">
        <v>1841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1842</v>
      </c>
      <c r="B21" t="s" s="11">
        <v>1806</v>
      </c>
      <c r="C21" s="18">
        <v>1500</v>
      </c>
      <c r="D21" s="12"/>
      <c r="E21" s="12"/>
      <c r="F21" s="12"/>
      <c r="G21" s="18">
        <v>4</v>
      </c>
      <c r="H21" t="s" s="19">
        <v>1843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1844</v>
      </c>
      <c r="B22" t="s" s="11">
        <v>1806</v>
      </c>
      <c r="C22" s="18">
        <v>850</v>
      </c>
      <c r="D22" s="12"/>
      <c r="E22" s="12"/>
      <c r="F22" s="12"/>
      <c r="G22" s="18">
        <v>3</v>
      </c>
      <c r="H22" t="s" s="19">
        <v>1845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1846</v>
      </c>
      <c r="B23" t="s" s="11">
        <v>1806</v>
      </c>
      <c r="C23" s="18">
        <v>1000</v>
      </c>
      <c r="D23" s="12"/>
      <c r="E23" s="12"/>
      <c r="F23" s="12"/>
      <c r="G23" s="18">
        <v>5</v>
      </c>
      <c r="H23" t="s" s="19">
        <v>1847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1848</v>
      </c>
      <c r="B24" t="s" s="11">
        <v>1806</v>
      </c>
      <c r="C24" s="18">
        <v>2000</v>
      </c>
      <c r="D24" s="12"/>
      <c r="E24" s="12"/>
      <c r="F24" s="12"/>
      <c r="G24" s="18">
        <v>4</v>
      </c>
      <c r="H24" t="s" s="19">
        <v>1849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1850</v>
      </c>
      <c r="B25" t="s" s="11">
        <v>1806</v>
      </c>
      <c r="C25" s="18">
        <v>1000</v>
      </c>
      <c r="D25" s="12"/>
      <c r="E25" s="12"/>
      <c r="F25" s="12"/>
      <c r="G25" s="18">
        <v>3</v>
      </c>
      <c r="H25" t="s" s="19">
        <v>1851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26.7" customHeight="1">
      <c r="A26" t="s" s="10">
        <v>1852</v>
      </c>
      <c r="B26" t="s" s="11">
        <v>1806</v>
      </c>
      <c r="C26" s="18">
        <v>2000</v>
      </c>
      <c r="D26" s="12"/>
      <c r="E26" s="12"/>
      <c r="F26" s="12"/>
      <c r="G26" s="18">
        <v>5</v>
      </c>
      <c r="H26" t="s" s="19">
        <v>1853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1854</v>
      </c>
      <c r="B27" t="s" s="11">
        <v>1806</v>
      </c>
      <c r="C27" s="18">
        <v>600</v>
      </c>
      <c r="D27" s="12"/>
      <c r="E27" s="12"/>
      <c r="F27" s="12"/>
      <c r="G27" s="18">
        <v>1</v>
      </c>
      <c r="H27" t="s" s="19">
        <v>1855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1856</v>
      </c>
      <c r="B28" t="s" s="11">
        <v>1806</v>
      </c>
      <c r="C28" s="18">
        <v>500</v>
      </c>
      <c r="D28" s="12"/>
      <c r="E28" s="12"/>
      <c r="F28" s="12"/>
      <c r="G28" s="18">
        <v>2</v>
      </c>
      <c r="H28" t="s" s="19">
        <v>1857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1858</v>
      </c>
      <c r="B29" t="s" s="11">
        <v>1806</v>
      </c>
      <c r="C29" s="18">
        <v>700</v>
      </c>
      <c r="D29" s="12"/>
      <c r="E29" s="12"/>
      <c r="F29" s="12"/>
      <c r="G29" s="18">
        <v>5</v>
      </c>
      <c r="H29" t="s" s="19">
        <v>1859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1860</v>
      </c>
      <c r="B30" t="s" s="11">
        <v>1806</v>
      </c>
      <c r="C30" s="18">
        <v>1000</v>
      </c>
      <c r="D30" s="12"/>
      <c r="E30" s="12"/>
      <c r="F30" s="12"/>
      <c r="G30" s="18">
        <v>4</v>
      </c>
      <c r="H30" t="s" s="19">
        <v>1861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1862</v>
      </c>
      <c r="B31" t="s" s="11">
        <v>1806</v>
      </c>
      <c r="C31" s="18">
        <v>1000</v>
      </c>
      <c r="D31" s="12"/>
      <c r="E31" s="12"/>
      <c r="F31" s="12"/>
      <c r="G31" s="18">
        <v>5</v>
      </c>
      <c r="H31" t="s" s="19">
        <v>1863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1864</v>
      </c>
      <c r="B32" t="s" s="11">
        <v>1806</v>
      </c>
      <c r="C32" s="18">
        <v>1800</v>
      </c>
      <c r="D32" s="12"/>
      <c r="E32" s="12"/>
      <c r="F32" s="12"/>
      <c r="G32" s="18">
        <v>5</v>
      </c>
      <c r="H32" t="s" s="19">
        <v>1865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1866</v>
      </c>
      <c r="B33" t="s" s="11">
        <v>1806</v>
      </c>
      <c r="C33" s="18">
        <v>1500</v>
      </c>
      <c r="D33" s="12"/>
      <c r="E33" s="12"/>
      <c r="F33" s="12"/>
      <c r="G33" s="18">
        <v>4</v>
      </c>
      <c r="H33" t="s" s="19">
        <v>1867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1868</v>
      </c>
      <c r="B34" t="s" s="11">
        <v>1806</v>
      </c>
      <c r="C34" s="18">
        <v>1000</v>
      </c>
      <c r="D34" s="12"/>
      <c r="E34" s="12"/>
      <c r="F34" s="12"/>
      <c r="G34" s="18">
        <v>3</v>
      </c>
      <c r="H34" t="s" s="19">
        <v>1869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1870</v>
      </c>
      <c r="B35" t="s" s="11">
        <v>1806</v>
      </c>
      <c r="C35" s="18">
        <v>600</v>
      </c>
      <c r="D35" s="12"/>
      <c r="E35" s="12"/>
      <c r="F35" s="12"/>
      <c r="G35" s="18">
        <v>2</v>
      </c>
      <c r="H35" t="s" s="19">
        <v>1871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1872</v>
      </c>
      <c r="B36" t="s" s="11">
        <v>1806</v>
      </c>
      <c r="C36" s="18">
        <v>250</v>
      </c>
      <c r="D36" s="12"/>
      <c r="E36" s="12"/>
      <c r="F36" s="12"/>
      <c r="G36" s="18">
        <v>3</v>
      </c>
      <c r="H36" t="s" s="19">
        <v>1873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1874</v>
      </c>
      <c r="B37" t="s" s="11">
        <v>1806</v>
      </c>
      <c r="C37" s="18">
        <v>300</v>
      </c>
      <c r="D37" s="12"/>
      <c r="E37" s="12"/>
      <c r="F37" s="12"/>
      <c r="G37" s="18">
        <v>2</v>
      </c>
      <c r="H37" t="s" s="19">
        <v>1875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1876</v>
      </c>
      <c r="B38" t="s" s="11">
        <v>1806</v>
      </c>
      <c r="C38" s="18">
        <v>1000</v>
      </c>
      <c r="D38" s="12"/>
      <c r="E38" s="12"/>
      <c r="F38" s="12"/>
      <c r="G38" s="18">
        <v>3</v>
      </c>
      <c r="H38" t="s" s="19">
        <v>1877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1878</v>
      </c>
      <c r="B39" t="s" s="11">
        <v>1806</v>
      </c>
      <c r="C39" s="18">
        <v>1200</v>
      </c>
      <c r="D39" s="12"/>
      <c r="E39" s="12"/>
      <c r="F39" s="12"/>
      <c r="G39" s="18">
        <v>4</v>
      </c>
      <c r="H39" t="s" s="19">
        <v>1879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1880</v>
      </c>
      <c r="B40" t="s" s="11">
        <v>1806</v>
      </c>
      <c r="C40" s="18">
        <v>0</v>
      </c>
      <c r="D40" s="12"/>
      <c r="E40" s="12"/>
      <c r="F40" s="12"/>
      <c r="G40" s="18">
        <v>1</v>
      </c>
      <c r="H40" t="s" s="19">
        <v>1881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1882</v>
      </c>
      <c r="B41" t="s" s="11">
        <v>1806</v>
      </c>
      <c r="C41" s="18">
        <v>0</v>
      </c>
      <c r="D41" s="12"/>
      <c r="E41" s="12"/>
      <c r="F41" s="12"/>
      <c r="G41" s="18">
        <v>2</v>
      </c>
      <c r="H41" t="s" s="19">
        <v>1883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1884</v>
      </c>
      <c r="B42" t="s" s="11">
        <v>1806</v>
      </c>
      <c r="C42" s="18">
        <v>0</v>
      </c>
      <c r="D42" s="12"/>
      <c r="E42" s="12"/>
      <c r="F42" s="12"/>
      <c r="G42" s="18">
        <v>1</v>
      </c>
      <c r="H42" t="s" s="19">
        <v>1885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1886</v>
      </c>
      <c r="B43" t="s" s="11">
        <v>1806</v>
      </c>
      <c r="C43" s="18">
        <v>0</v>
      </c>
      <c r="D43" s="12"/>
      <c r="E43" s="12"/>
      <c r="F43" s="12"/>
      <c r="G43" s="18">
        <v>2</v>
      </c>
      <c r="H43" t="s" s="19">
        <v>1887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1888</v>
      </c>
      <c r="B44" t="s" s="11">
        <v>1806</v>
      </c>
      <c r="C44" s="18">
        <v>0</v>
      </c>
      <c r="D44" s="12"/>
      <c r="E44" s="12"/>
      <c r="F44" s="12"/>
      <c r="G44" s="18">
        <v>1</v>
      </c>
      <c r="H44" t="s" s="19">
        <v>1889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1890</v>
      </c>
      <c r="B45" t="s" s="11">
        <v>1806</v>
      </c>
      <c r="C45" s="18">
        <v>0</v>
      </c>
      <c r="D45" s="12"/>
      <c r="E45" s="12"/>
      <c r="F45" s="12"/>
      <c r="G45" s="18">
        <v>2</v>
      </c>
      <c r="H45" t="s" s="19">
        <v>1891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1892</v>
      </c>
      <c r="B46" t="s" s="11">
        <v>1806</v>
      </c>
      <c r="C46" s="18">
        <v>0</v>
      </c>
      <c r="D46" s="12"/>
      <c r="E46" s="12"/>
      <c r="F46" s="12"/>
      <c r="G46" s="18">
        <v>1</v>
      </c>
      <c r="H46" t="s" s="19">
        <v>1893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1894</v>
      </c>
      <c r="B47" t="s" s="11">
        <v>1806</v>
      </c>
      <c r="C47" s="18">
        <v>0</v>
      </c>
      <c r="D47" s="12"/>
      <c r="E47" s="12"/>
      <c r="F47" s="12"/>
      <c r="G47" s="18">
        <v>1</v>
      </c>
      <c r="H47" t="s" s="19">
        <v>1895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1896</v>
      </c>
      <c r="B48" t="s" s="11">
        <v>1806</v>
      </c>
      <c r="C48" s="18">
        <v>500</v>
      </c>
      <c r="D48" s="12"/>
      <c r="E48" s="12"/>
      <c r="F48" s="12"/>
      <c r="G48" s="18">
        <v>1</v>
      </c>
      <c r="H48" t="s" s="19">
        <v>1897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1898</v>
      </c>
      <c r="B49" t="s" s="11">
        <v>1806</v>
      </c>
      <c r="C49" s="18">
        <v>0</v>
      </c>
      <c r="D49" s="12"/>
      <c r="E49" s="12"/>
      <c r="F49" s="12"/>
      <c r="G49" s="18">
        <v>1</v>
      </c>
      <c r="H49" t="s" s="19">
        <v>1899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1900</v>
      </c>
      <c r="B50" t="s" s="11">
        <v>1806</v>
      </c>
      <c r="C50" s="18">
        <v>200</v>
      </c>
      <c r="D50" s="12"/>
      <c r="E50" s="12"/>
      <c r="F50" s="12"/>
      <c r="G50" s="18">
        <v>1</v>
      </c>
      <c r="H50" t="s" s="19">
        <v>1901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1902</v>
      </c>
      <c r="B51" t="s" s="11">
        <v>1806</v>
      </c>
      <c r="C51" s="18">
        <v>200</v>
      </c>
      <c r="D51" s="12"/>
      <c r="E51" s="12"/>
      <c r="F51" s="12"/>
      <c r="G51" s="18">
        <v>1</v>
      </c>
      <c r="H51" t="s" s="19">
        <v>1903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1904</v>
      </c>
      <c r="B52" t="s" s="11">
        <v>1806</v>
      </c>
      <c r="C52" s="18">
        <v>600</v>
      </c>
      <c r="D52" s="12"/>
      <c r="E52" s="12"/>
      <c r="F52" s="12"/>
      <c r="G52" s="18">
        <v>1</v>
      </c>
      <c r="H52" t="s" s="19">
        <v>1905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1906</v>
      </c>
      <c r="B53" t="s" s="11">
        <v>1806</v>
      </c>
      <c r="C53" s="18">
        <v>500</v>
      </c>
      <c r="D53" s="12"/>
      <c r="E53" s="12"/>
      <c r="F53" s="12"/>
      <c r="G53" s="18">
        <v>2</v>
      </c>
      <c r="H53" t="s" s="19">
        <v>1907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1908</v>
      </c>
      <c r="B54" t="s" s="11">
        <v>1806</v>
      </c>
      <c r="C54" s="18">
        <v>0</v>
      </c>
      <c r="D54" s="12"/>
      <c r="E54" s="12"/>
      <c r="F54" s="12"/>
      <c r="G54" s="18">
        <v>2</v>
      </c>
      <c r="H54" t="s" s="19">
        <v>1909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1910</v>
      </c>
      <c r="B55" t="s" s="11">
        <v>1806</v>
      </c>
      <c r="C55" s="18">
        <v>450</v>
      </c>
      <c r="D55" s="12"/>
      <c r="E55" s="12"/>
      <c r="F55" s="12"/>
      <c r="G55" s="18">
        <v>2</v>
      </c>
      <c r="H55" t="s" s="19">
        <v>1911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1912</v>
      </c>
      <c r="B56" t="s" s="11">
        <v>1806</v>
      </c>
      <c r="C56" s="18">
        <v>450</v>
      </c>
      <c r="D56" s="12"/>
      <c r="E56" s="12"/>
      <c r="F56" s="12"/>
      <c r="G56" s="18">
        <v>2</v>
      </c>
      <c r="H56" t="s" s="19">
        <v>1913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1914</v>
      </c>
      <c r="B57" t="s" s="11">
        <v>1806</v>
      </c>
      <c r="C57" s="18">
        <v>200</v>
      </c>
      <c r="D57" s="12"/>
      <c r="E57" s="12"/>
      <c r="F57" s="12"/>
      <c r="G57" s="18">
        <v>4</v>
      </c>
      <c r="H57" t="s" s="19">
        <v>1915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1916</v>
      </c>
      <c r="B58" t="s" s="11">
        <v>1806</v>
      </c>
      <c r="C58" s="18">
        <v>0</v>
      </c>
      <c r="D58" s="12"/>
      <c r="E58" s="12"/>
      <c r="F58" s="12"/>
      <c r="G58" s="18">
        <v>2</v>
      </c>
      <c r="H58" t="s" s="19">
        <v>1917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1918</v>
      </c>
      <c r="B59" t="s" s="11">
        <v>1806</v>
      </c>
      <c r="C59" s="18">
        <v>1000</v>
      </c>
      <c r="D59" s="12"/>
      <c r="E59" s="12"/>
      <c r="F59" s="12"/>
      <c r="G59" s="18">
        <v>3</v>
      </c>
      <c r="H59" t="s" s="19">
        <v>1919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1920</v>
      </c>
      <c r="B60" t="s" s="11">
        <v>1806</v>
      </c>
      <c r="C60" s="18">
        <v>800</v>
      </c>
      <c r="D60" s="12"/>
      <c r="E60" s="12"/>
      <c r="F60" s="12"/>
      <c r="G60" s="18">
        <v>2</v>
      </c>
      <c r="H60" t="s" s="19">
        <v>1921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1922</v>
      </c>
      <c r="B61" t="s" s="11">
        <v>1806</v>
      </c>
      <c r="C61" s="18">
        <v>1000</v>
      </c>
      <c r="D61" s="12"/>
      <c r="E61" s="12"/>
      <c r="F61" s="12"/>
      <c r="G61" s="18">
        <v>5</v>
      </c>
      <c r="H61" t="s" s="19">
        <v>1923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1924</v>
      </c>
      <c r="B62" t="s" s="11">
        <v>1806</v>
      </c>
      <c r="C62" s="18">
        <v>1500</v>
      </c>
      <c r="D62" s="12"/>
      <c r="E62" s="12"/>
      <c r="F62" s="12"/>
      <c r="G62" s="18">
        <v>3</v>
      </c>
      <c r="H62" t="s" s="19">
        <v>1925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1926</v>
      </c>
      <c r="B63" t="s" s="11">
        <v>1806</v>
      </c>
      <c r="C63" s="18">
        <v>1000</v>
      </c>
      <c r="D63" s="12"/>
      <c r="E63" s="12"/>
      <c r="F63" s="12"/>
      <c r="G63" s="18">
        <v>2</v>
      </c>
      <c r="H63" t="s" s="19">
        <v>1927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1928</v>
      </c>
      <c r="B64" t="s" s="11">
        <v>1806</v>
      </c>
      <c r="C64" s="18">
        <v>2000</v>
      </c>
      <c r="D64" s="12"/>
      <c r="E64" s="12"/>
      <c r="F64" s="12"/>
      <c r="G64" s="18">
        <v>4</v>
      </c>
      <c r="H64" t="s" s="19">
        <v>1929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1930</v>
      </c>
      <c r="B65" t="s" s="11">
        <v>1806</v>
      </c>
      <c r="C65" s="18">
        <v>2000</v>
      </c>
      <c r="D65" s="12"/>
      <c r="E65" s="12"/>
      <c r="F65" s="12"/>
      <c r="G65" s="18">
        <v>5</v>
      </c>
      <c r="H65" t="s" s="19">
        <v>1931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1932</v>
      </c>
      <c r="B66" t="s" s="11">
        <v>1806</v>
      </c>
      <c r="C66" s="18">
        <v>2000</v>
      </c>
      <c r="D66" s="12"/>
      <c r="E66" s="12"/>
      <c r="F66" s="12"/>
      <c r="G66" s="18">
        <v>5</v>
      </c>
      <c r="H66" t="s" s="19">
        <v>1933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1934</v>
      </c>
      <c r="B67" t="s" s="11">
        <v>1806</v>
      </c>
      <c r="C67" s="18">
        <v>2000</v>
      </c>
      <c r="D67" s="12"/>
      <c r="E67" s="12"/>
      <c r="F67" s="12"/>
      <c r="G67" s="18">
        <v>5</v>
      </c>
      <c r="H67" t="s" s="19">
        <v>1935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1936</v>
      </c>
      <c r="B68" t="s" s="11">
        <v>1806</v>
      </c>
      <c r="C68" s="18">
        <v>2000</v>
      </c>
      <c r="D68" s="12"/>
      <c r="E68" s="12"/>
      <c r="F68" s="12"/>
      <c r="G68" s="18">
        <v>5</v>
      </c>
      <c r="H68" t="s" s="19">
        <v>1937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1938</v>
      </c>
      <c r="B69" t="s" s="11">
        <v>1806</v>
      </c>
      <c r="C69" s="18">
        <v>2000</v>
      </c>
      <c r="D69" s="12"/>
      <c r="E69" s="12"/>
      <c r="F69" s="12"/>
      <c r="G69" s="18">
        <v>5</v>
      </c>
      <c r="H69" t="s" s="19">
        <v>1939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1940</v>
      </c>
      <c r="B70" t="s" s="11">
        <v>1806</v>
      </c>
      <c r="C70" s="18">
        <v>2000</v>
      </c>
      <c r="D70" s="12"/>
      <c r="E70" s="12"/>
      <c r="F70" s="12"/>
      <c r="G70" s="18">
        <v>5</v>
      </c>
      <c r="H70" t="s" s="19">
        <v>1941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1942</v>
      </c>
      <c r="B71" t="s" s="11">
        <v>1806</v>
      </c>
      <c r="C71" s="18">
        <v>1200</v>
      </c>
      <c r="D71" s="12"/>
      <c r="E71" s="12"/>
      <c r="F71" s="12"/>
      <c r="G71" s="18">
        <v>4</v>
      </c>
      <c r="H71" t="s" s="19">
        <v>1943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1944</v>
      </c>
      <c r="B72" t="s" s="11">
        <v>1806</v>
      </c>
      <c r="C72" s="18">
        <v>2000</v>
      </c>
      <c r="D72" s="12"/>
      <c r="E72" s="12"/>
      <c r="F72" s="12"/>
      <c r="G72" s="18">
        <v>3</v>
      </c>
      <c r="H72" t="s" s="19">
        <v>1945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1946</v>
      </c>
      <c r="B73" t="s" s="11">
        <v>1806</v>
      </c>
      <c r="C73" s="18">
        <v>1000</v>
      </c>
      <c r="D73" s="12"/>
      <c r="E73" s="12"/>
      <c r="F73" s="12"/>
      <c r="G73" s="18">
        <v>3</v>
      </c>
      <c r="H73" t="s" s="19">
        <v>1947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1948</v>
      </c>
      <c r="B74" t="s" s="11">
        <v>1806</v>
      </c>
      <c r="C74" s="18">
        <v>500</v>
      </c>
      <c r="D74" s="12"/>
      <c r="E74" s="12"/>
      <c r="F74" s="12"/>
      <c r="G74" s="18">
        <v>2</v>
      </c>
      <c r="H74" t="s" s="19">
        <v>1949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1950</v>
      </c>
      <c r="B75" t="s" s="11">
        <v>1806</v>
      </c>
      <c r="C75" s="18">
        <v>250</v>
      </c>
      <c r="D75" s="12"/>
      <c r="E75" s="12"/>
      <c r="F75" s="12"/>
      <c r="G75" s="18">
        <v>1</v>
      </c>
      <c r="H75" t="s" s="19">
        <v>1951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1952</v>
      </c>
      <c r="B76" t="s" s="11">
        <v>1806</v>
      </c>
      <c r="C76" s="18">
        <v>1500</v>
      </c>
      <c r="D76" s="12"/>
      <c r="E76" s="12"/>
      <c r="F76" s="12"/>
      <c r="G76" s="18">
        <v>4</v>
      </c>
      <c r="H76" t="s" s="19">
        <v>1953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1954</v>
      </c>
      <c r="B77" t="s" s="11">
        <v>1806</v>
      </c>
      <c r="C77" s="18">
        <v>1000</v>
      </c>
      <c r="D77" s="12"/>
      <c r="E77" s="12"/>
      <c r="F77" s="12"/>
      <c r="G77" s="18">
        <v>3</v>
      </c>
      <c r="H77" t="s" s="19">
        <v>1955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1956</v>
      </c>
      <c r="B78" t="s" s="11">
        <v>1806</v>
      </c>
      <c r="C78" s="18">
        <v>800</v>
      </c>
      <c r="D78" s="12"/>
      <c r="E78" s="12"/>
      <c r="F78" s="12"/>
      <c r="G78" s="18">
        <v>2</v>
      </c>
      <c r="H78" t="s" s="19">
        <v>1957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1958</v>
      </c>
      <c r="B79" t="s" s="11">
        <v>1806</v>
      </c>
      <c r="C79" s="18">
        <v>200</v>
      </c>
      <c r="D79" s="12"/>
      <c r="E79" s="12"/>
      <c r="F79" s="12"/>
      <c r="G79" s="18">
        <v>2</v>
      </c>
      <c r="H79" t="s" s="19">
        <v>1959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1960</v>
      </c>
      <c r="B80" t="s" s="11">
        <v>1806</v>
      </c>
      <c r="C80" s="18">
        <v>1500</v>
      </c>
      <c r="D80" s="12"/>
      <c r="E80" s="12"/>
      <c r="F80" s="12"/>
      <c r="G80" s="18">
        <v>3</v>
      </c>
      <c r="H80" t="s" s="19">
        <v>1961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1962</v>
      </c>
      <c r="B81" t="s" s="11">
        <v>1806</v>
      </c>
      <c r="C81" s="18">
        <v>500</v>
      </c>
      <c r="D81" s="12"/>
      <c r="E81" s="12"/>
      <c r="F81" s="12"/>
      <c r="G81" s="18">
        <v>5</v>
      </c>
      <c r="H81" t="s" s="19">
        <v>1963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1964</v>
      </c>
      <c r="B82" t="s" s="11">
        <v>1806</v>
      </c>
      <c r="C82" s="18">
        <v>1000</v>
      </c>
      <c r="D82" s="12"/>
      <c r="E82" s="12"/>
      <c r="F82" s="12"/>
      <c r="G82" s="18">
        <v>2</v>
      </c>
      <c r="H82" t="s" s="19">
        <v>1965</v>
      </c>
      <c r="I82" s="12"/>
      <c r="J82" t="s" s="19">
        <v>1966</v>
      </c>
      <c r="K82" s="12"/>
      <c r="L82" s="12"/>
      <c r="M82" s="12"/>
      <c r="N82" s="12"/>
      <c r="O82" s="12"/>
      <c r="P82" s="12"/>
    </row>
    <row r="83" ht="32.05" customHeight="1">
      <c r="A83" t="s" s="10">
        <v>1967</v>
      </c>
      <c r="B83" t="s" s="11">
        <v>1806</v>
      </c>
      <c r="C83" s="18">
        <v>1500</v>
      </c>
      <c r="D83" s="12"/>
      <c r="E83" s="12"/>
      <c r="F83" s="12"/>
      <c r="G83" s="18">
        <v>4</v>
      </c>
      <c r="H83" t="s" s="19">
        <v>1968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1969</v>
      </c>
      <c r="B84" t="s" s="11">
        <v>1806</v>
      </c>
      <c r="C84" s="18">
        <v>300</v>
      </c>
      <c r="D84" s="12"/>
      <c r="E84" s="12"/>
      <c r="F84" s="12"/>
      <c r="G84" s="18">
        <v>1</v>
      </c>
      <c r="H84" t="s" s="19">
        <v>1970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1971</v>
      </c>
      <c r="B85" t="s" s="11">
        <v>1806</v>
      </c>
      <c r="C85" s="18">
        <v>200</v>
      </c>
      <c r="D85" s="12"/>
      <c r="E85" s="12"/>
      <c r="F85" s="12"/>
      <c r="G85" s="18">
        <v>1</v>
      </c>
      <c r="H85" t="s" s="19">
        <v>1972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1973</v>
      </c>
      <c r="B86" t="s" s="11">
        <v>1806</v>
      </c>
      <c r="C86" s="18">
        <v>0</v>
      </c>
      <c r="D86" s="12"/>
      <c r="E86" s="12"/>
      <c r="F86" s="12"/>
      <c r="G86" s="18">
        <v>1</v>
      </c>
      <c r="H86" t="s" s="19">
        <v>1974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1975</v>
      </c>
      <c r="B87" t="s" s="11">
        <v>1806</v>
      </c>
      <c r="C87" s="18">
        <v>0</v>
      </c>
      <c r="D87" s="12"/>
      <c r="E87" s="12"/>
      <c r="F87" s="12"/>
      <c r="G87" s="18">
        <v>1</v>
      </c>
      <c r="H87" t="s" s="19">
        <v>1976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1977</v>
      </c>
      <c r="B88" t="s" s="11">
        <v>1806</v>
      </c>
      <c r="C88" s="18">
        <v>500</v>
      </c>
      <c r="D88" s="12"/>
      <c r="E88" s="12"/>
      <c r="F88" s="12"/>
      <c r="G88" s="18">
        <v>1</v>
      </c>
      <c r="H88" t="s" s="19">
        <v>1978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1979</v>
      </c>
      <c r="B89" t="s" s="11">
        <v>1806</v>
      </c>
      <c r="C89" s="18">
        <v>0</v>
      </c>
      <c r="D89" s="12"/>
      <c r="E89" s="12"/>
      <c r="F89" s="12"/>
      <c r="G89" s="18">
        <v>1</v>
      </c>
      <c r="H89" t="s" s="19">
        <v>1980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1981</v>
      </c>
      <c r="B90" t="s" s="11">
        <v>1806</v>
      </c>
      <c r="C90" s="18">
        <v>500</v>
      </c>
      <c r="D90" s="12"/>
      <c r="E90" s="12"/>
      <c r="F90" s="12"/>
      <c r="G90" s="18">
        <v>2</v>
      </c>
      <c r="H90" t="s" s="19">
        <v>1982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1983</v>
      </c>
      <c r="B91" t="s" s="11">
        <v>1806</v>
      </c>
      <c r="C91" s="18">
        <v>0</v>
      </c>
      <c r="D91" s="12"/>
      <c r="E91" s="12"/>
      <c r="F91" s="12"/>
      <c r="G91" s="18">
        <v>2</v>
      </c>
      <c r="H91" t="s" s="19">
        <v>1984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1985</v>
      </c>
      <c r="B92" t="s" s="11">
        <v>1806</v>
      </c>
      <c r="C92" s="18">
        <v>600</v>
      </c>
      <c r="D92" s="12"/>
      <c r="E92" s="12"/>
      <c r="F92" s="12"/>
      <c r="G92" s="18">
        <v>2</v>
      </c>
      <c r="H92" t="s" s="19">
        <v>1986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1987</v>
      </c>
      <c r="B93" t="s" s="11">
        <v>1806</v>
      </c>
      <c r="C93" s="18">
        <v>500</v>
      </c>
      <c r="D93" s="12"/>
      <c r="E93" s="12"/>
      <c r="F93" s="12"/>
      <c r="G93" s="18">
        <v>2</v>
      </c>
      <c r="H93" t="s" s="19">
        <v>1988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1989</v>
      </c>
      <c r="B94" t="s" s="11">
        <v>1806</v>
      </c>
      <c r="C94" s="18">
        <v>2000</v>
      </c>
      <c r="D94" s="12"/>
      <c r="E94" s="12"/>
      <c r="F94" s="12"/>
      <c r="G94" s="18">
        <v>4</v>
      </c>
      <c r="H94" t="s" s="19">
        <v>1990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1991</v>
      </c>
      <c r="B95" t="s" s="11">
        <v>1806</v>
      </c>
      <c r="C95" s="18">
        <v>1500</v>
      </c>
      <c r="D95" s="12"/>
      <c r="E95" s="12"/>
      <c r="F95" s="12"/>
      <c r="G95" s="18">
        <v>4</v>
      </c>
      <c r="H95" t="s" s="19">
        <v>1992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1993</v>
      </c>
      <c r="B96" t="s" s="11">
        <v>1806</v>
      </c>
      <c r="C96" s="18">
        <v>0</v>
      </c>
      <c r="D96" s="12"/>
      <c r="E96" s="12"/>
      <c r="F96" s="12"/>
      <c r="G96" s="18">
        <v>1</v>
      </c>
      <c r="H96" t="s" s="19">
        <v>1994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1995</v>
      </c>
      <c r="B97" t="s" s="11">
        <v>1806</v>
      </c>
      <c r="C97" s="18">
        <v>2000</v>
      </c>
      <c r="D97" s="12"/>
      <c r="E97" s="12"/>
      <c r="F97" s="12"/>
      <c r="G97" s="18">
        <v>3</v>
      </c>
      <c r="H97" t="s" s="19">
        <v>1996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1997</v>
      </c>
      <c r="B98" t="s" s="11">
        <v>1806</v>
      </c>
      <c r="C98" s="18">
        <v>300</v>
      </c>
      <c r="D98" s="12"/>
      <c r="E98" s="12"/>
      <c r="F98" s="12"/>
      <c r="G98" s="12"/>
      <c r="H98" t="s" s="19">
        <v>1998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1999</v>
      </c>
      <c r="B99" t="s" s="11">
        <v>1806</v>
      </c>
      <c r="C99" s="18">
        <v>800</v>
      </c>
      <c r="D99" s="12"/>
      <c r="E99" s="12"/>
      <c r="F99" s="12"/>
      <c r="G99" s="12"/>
      <c r="H99" t="s" s="19">
        <v>2000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2001</v>
      </c>
      <c r="B100" t="s" s="11">
        <v>1806</v>
      </c>
      <c r="C100" s="18">
        <v>600</v>
      </c>
      <c r="D100" s="12"/>
      <c r="E100" s="12"/>
      <c r="F100" s="12"/>
      <c r="G100" s="12"/>
      <c r="H100" t="s" s="19">
        <v>2002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2003</v>
      </c>
      <c r="B101" t="s" s="11">
        <v>1806</v>
      </c>
      <c r="C101" s="18">
        <v>300</v>
      </c>
      <c r="D101" s="12"/>
      <c r="E101" s="12"/>
      <c r="F101" s="12"/>
      <c r="G101" s="12"/>
      <c r="H101" t="s" s="19">
        <v>2004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2005</v>
      </c>
      <c r="B102" t="s" s="11">
        <v>1806</v>
      </c>
      <c r="C102" s="18">
        <v>500</v>
      </c>
      <c r="D102" s="12"/>
      <c r="E102" s="12"/>
      <c r="F102" s="12"/>
      <c r="G102" s="12"/>
      <c r="H102" t="s" s="19">
        <v>2006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2007</v>
      </c>
      <c r="B103" t="s" s="11">
        <v>1806</v>
      </c>
      <c r="C103" s="18">
        <v>1000</v>
      </c>
      <c r="D103" s="12"/>
      <c r="E103" s="12"/>
      <c r="F103" s="12"/>
      <c r="G103" s="12"/>
      <c r="H103" t="s" s="19">
        <v>2008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2009</v>
      </c>
      <c r="B104" t="s" s="11">
        <v>1806</v>
      </c>
      <c r="C104" s="18">
        <v>1000</v>
      </c>
      <c r="D104" s="12"/>
      <c r="E104" s="12"/>
      <c r="F104" s="12"/>
      <c r="G104" s="12"/>
      <c r="H104" t="s" s="19">
        <v>2010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2011</v>
      </c>
      <c r="B105" t="s" s="11">
        <v>1806</v>
      </c>
      <c r="C105" s="18">
        <v>1500</v>
      </c>
      <c r="D105" s="12"/>
      <c r="E105" s="12"/>
      <c r="F105" s="12"/>
      <c r="G105" s="12"/>
      <c r="H105" t="s" s="19">
        <v>2012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2013</v>
      </c>
      <c r="B106" t="s" s="11">
        <v>1806</v>
      </c>
      <c r="C106" s="18">
        <v>800</v>
      </c>
      <c r="D106" s="12"/>
      <c r="E106" s="12"/>
      <c r="F106" s="12"/>
      <c r="G106" s="12"/>
      <c r="H106" t="s" s="19">
        <v>2014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2015</v>
      </c>
      <c r="B107" t="s" s="11">
        <v>1806</v>
      </c>
      <c r="C107" s="18">
        <v>0</v>
      </c>
      <c r="D107" s="12"/>
      <c r="E107" s="12"/>
      <c r="F107" s="12"/>
      <c r="G107" s="18">
        <v>2</v>
      </c>
      <c r="H107" t="s" s="19">
        <v>2016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2017</v>
      </c>
      <c r="B108" t="s" s="11">
        <v>1806</v>
      </c>
      <c r="C108" s="18">
        <v>0</v>
      </c>
      <c r="D108" s="12"/>
      <c r="E108" s="12"/>
      <c r="F108" s="12"/>
      <c r="G108" s="18">
        <v>2</v>
      </c>
      <c r="H108" t="s" s="19">
        <v>2018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2019</v>
      </c>
      <c r="B109" t="s" s="11">
        <v>1806</v>
      </c>
      <c r="C109" s="18">
        <v>0</v>
      </c>
      <c r="D109" s="12"/>
      <c r="E109" s="12"/>
      <c r="F109" s="12"/>
      <c r="G109" s="18">
        <v>5</v>
      </c>
      <c r="H109" t="s" s="19">
        <v>2020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2021</v>
      </c>
      <c r="B110" t="s" s="11">
        <v>1806</v>
      </c>
      <c r="C110" s="18">
        <v>0</v>
      </c>
      <c r="D110" s="12"/>
      <c r="E110" s="12"/>
      <c r="F110" s="12"/>
      <c r="G110" s="18">
        <v>3</v>
      </c>
      <c r="H110" t="s" s="19">
        <v>2022</v>
      </c>
      <c r="I110" s="12"/>
      <c r="J110" s="12"/>
      <c r="K110" s="12"/>
      <c r="L110" s="12"/>
      <c r="M110" s="12"/>
      <c r="N110" s="12"/>
      <c r="O110" s="12"/>
      <c r="P110" s="12"/>
    </row>
    <row r="111" ht="41.6" customHeight="1">
      <c r="A111" t="s" s="10">
        <v>2023</v>
      </c>
      <c r="B111" t="s" s="11">
        <v>1806</v>
      </c>
      <c r="C111" s="18">
        <v>0</v>
      </c>
      <c r="D111" s="12"/>
      <c r="E111" s="12"/>
      <c r="F111" s="12"/>
      <c r="G111" s="12"/>
      <c r="H111" t="s" s="19">
        <v>2024</v>
      </c>
      <c r="I111" s="12"/>
      <c r="J111" s="12"/>
      <c r="K111" s="12"/>
      <c r="L111" s="12"/>
      <c r="M111" s="12"/>
      <c r="N111" s="12"/>
      <c r="O111" s="12"/>
      <c r="P111" s="12"/>
    </row>
    <row r="112" ht="38.7" customHeight="1">
      <c r="A112" t="s" s="10">
        <v>2025</v>
      </c>
      <c r="B112" t="s" s="11">
        <v>1806</v>
      </c>
      <c r="C112" s="18">
        <v>500</v>
      </c>
      <c r="D112" s="12"/>
      <c r="E112" s="12"/>
      <c r="F112" s="12"/>
      <c r="G112" s="12"/>
      <c r="H112" t="s" s="19">
        <v>2026</v>
      </c>
      <c r="I112" s="12"/>
      <c r="J112" s="12"/>
      <c r="K112" s="12"/>
      <c r="L112" s="12"/>
      <c r="M112" s="12"/>
      <c r="N112" s="12"/>
      <c r="O112" s="12"/>
      <c r="P112" s="12"/>
    </row>
    <row r="113" ht="38.7" customHeight="1">
      <c r="A113" t="s" s="10">
        <v>2027</v>
      </c>
      <c r="B113" t="s" s="11">
        <v>1806</v>
      </c>
      <c r="C113" s="18">
        <v>500</v>
      </c>
      <c r="D113" s="12"/>
      <c r="E113" s="12"/>
      <c r="F113" s="12"/>
      <c r="G113" s="12"/>
      <c r="H113" t="s" s="19">
        <v>2028</v>
      </c>
      <c r="I113" s="12"/>
      <c r="J113" s="12"/>
      <c r="K113" s="12"/>
      <c r="L113" s="12"/>
      <c r="M113" s="12"/>
      <c r="N113" s="12"/>
      <c r="O113" s="12"/>
      <c r="P113" s="12"/>
    </row>
    <row r="114" ht="32.6" customHeight="1">
      <c r="A114" t="s" s="10">
        <v>2029</v>
      </c>
      <c r="B114" t="s" s="11">
        <v>1806</v>
      </c>
      <c r="C114" s="18">
        <v>500</v>
      </c>
      <c r="D114" s="12"/>
      <c r="E114" s="12"/>
      <c r="F114" s="12"/>
      <c r="G114" s="12"/>
      <c r="H114" t="s" s="19">
        <v>2030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2031</v>
      </c>
      <c r="B115" t="s" s="11">
        <v>1806</v>
      </c>
      <c r="C115" s="18">
        <v>300</v>
      </c>
      <c r="D115" s="12"/>
      <c r="E115" s="12"/>
      <c r="F115" s="12"/>
      <c r="G115" s="12"/>
      <c r="H115" t="s" s="19">
        <v>2032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t="s" s="10">
        <v>2033</v>
      </c>
      <c r="B116" t="s" s="11">
        <v>1806</v>
      </c>
      <c r="C116" s="18">
        <v>500</v>
      </c>
      <c r="D116" s="12"/>
      <c r="E116" s="12"/>
      <c r="F116" s="12"/>
      <c r="G116" s="12"/>
      <c r="H116" t="s" s="19">
        <v>2034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t="s" s="10">
        <v>2035</v>
      </c>
      <c r="B117" t="s" s="11">
        <v>1806</v>
      </c>
      <c r="C117" s="18">
        <v>600</v>
      </c>
      <c r="D117" s="12"/>
      <c r="E117" s="12"/>
      <c r="F117" s="12"/>
      <c r="G117" s="12"/>
      <c r="H117" t="s" s="19">
        <v>2036</v>
      </c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t="s" s="10">
        <v>2037</v>
      </c>
      <c r="B118" t="s" s="11">
        <v>1806</v>
      </c>
      <c r="C118" s="18">
        <v>1000</v>
      </c>
      <c r="D118" s="12"/>
      <c r="E118" s="12"/>
      <c r="F118" s="12"/>
      <c r="G118" s="12"/>
      <c r="H118" t="s" s="19">
        <v>2038</v>
      </c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t="s" s="10">
        <v>2039</v>
      </c>
      <c r="B119" t="s" s="11">
        <v>1806</v>
      </c>
      <c r="C119" s="18">
        <v>1000</v>
      </c>
      <c r="D119" s="12"/>
      <c r="E119" s="12"/>
      <c r="F119" s="12"/>
      <c r="G119" s="12"/>
      <c r="H119" t="s" s="19">
        <v>2040</v>
      </c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t="s" s="10">
        <v>2041</v>
      </c>
      <c r="B120" t="s" s="11">
        <v>1806</v>
      </c>
      <c r="C120" s="18">
        <v>1000</v>
      </c>
      <c r="D120" s="12"/>
      <c r="E120" s="12"/>
      <c r="F120" s="12"/>
      <c r="G120" s="12"/>
      <c r="H120" t="s" s="19">
        <v>2042</v>
      </c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t="s" s="10">
        <v>2043</v>
      </c>
      <c r="B121" t="s" s="11">
        <v>1806</v>
      </c>
      <c r="C121" s="18">
        <v>600</v>
      </c>
      <c r="D121" s="12"/>
      <c r="E121" s="12"/>
      <c r="F121" s="12"/>
      <c r="G121" s="12"/>
      <c r="H121" t="s" s="19">
        <v>2044</v>
      </c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t="s" s="10">
        <v>2045</v>
      </c>
      <c r="B122" t="s" s="11">
        <v>1806</v>
      </c>
      <c r="C122" s="18">
        <v>1500</v>
      </c>
      <c r="D122" s="12"/>
      <c r="E122" s="12"/>
      <c r="F122" s="12"/>
      <c r="G122" s="12"/>
      <c r="H122" t="s" s="19">
        <v>2046</v>
      </c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t="s" s="10">
        <v>2047</v>
      </c>
      <c r="B123" t="s" s="11">
        <v>1806</v>
      </c>
      <c r="C123" s="18">
        <v>0</v>
      </c>
      <c r="D123" s="12"/>
      <c r="E123" s="12"/>
      <c r="F123" s="12"/>
      <c r="G123" s="12"/>
      <c r="H123" t="s" s="19">
        <v>2048</v>
      </c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t="s" s="10">
        <v>2049</v>
      </c>
      <c r="B124" t="s" s="11">
        <v>1806</v>
      </c>
      <c r="C124" s="18">
        <v>600</v>
      </c>
      <c r="D124" s="12"/>
      <c r="E124" s="12"/>
      <c r="F124" s="12"/>
      <c r="G124" s="12"/>
      <c r="H124" t="s" s="19">
        <v>2050</v>
      </c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t="s" s="10">
        <v>2051</v>
      </c>
      <c r="B125" t="s" s="11">
        <v>1806</v>
      </c>
      <c r="C125" s="18">
        <v>800</v>
      </c>
      <c r="D125" s="12"/>
      <c r="E125" s="12"/>
      <c r="F125" s="12"/>
      <c r="G125" s="12"/>
      <c r="H125" t="s" s="19">
        <v>2052</v>
      </c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t="s" s="10">
        <v>2053</v>
      </c>
      <c r="B126" t="s" s="11">
        <v>1806</v>
      </c>
      <c r="C126" s="18">
        <v>1000</v>
      </c>
      <c r="D126" s="12"/>
      <c r="E126" s="12"/>
      <c r="F126" s="12"/>
      <c r="G126" s="12"/>
      <c r="H126" t="s" s="19">
        <v>2054</v>
      </c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t="s" s="10">
        <v>2055</v>
      </c>
      <c r="B127" t="s" s="11">
        <v>1806</v>
      </c>
      <c r="C127" s="18">
        <v>800</v>
      </c>
      <c r="D127" s="12"/>
      <c r="E127" s="12"/>
      <c r="F127" s="12"/>
      <c r="G127" s="12"/>
      <c r="H127" t="s" s="19">
        <v>2056</v>
      </c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t="s" s="10">
        <v>2057</v>
      </c>
      <c r="B128" t="s" s="11">
        <v>1806</v>
      </c>
      <c r="C128" s="18">
        <v>800</v>
      </c>
      <c r="D128" s="12"/>
      <c r="E128" s="12"/>
      <c r="F128" s="12"/>
      <c r="G128" s="12"/>
      <c r="H128" t="s" s="19">
        <v>2058</v>
      </c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t="s" s="10">
        <v>2059</v>
      </c>
      <c r="B129" t="s" s="11">
        <v>1806</v>
      </c>
      <c r="C129" s="18">
        <v>0</v>
      </c>
      <c r="D129" s="12"/>
      <c r="E129" s="12"/>
      <c r="F129" s="12"/>
      <c r="G129" s="12"/>
      <c r="H129" t="s" s="19">
        <v>2060</v>
      </c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t="s" s="10">
        <v>2061</v>
      </c>
      <c r="B130" t="s" s="11">
        <v>1806</v>
      </c>
      <c r="C130" s="18">
        <v>0</v>
      </c>
      <c r="D130" s="12"/>
      <c r="E130" s="12"/>
      <c r="F130" s="12"/>
      <c r="G130" s="12"/>
      <c r="H130" t="s" s="19">
        <v>2062</v>
      </c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t="s" s="10">
        <v>2063</v>
      </c>
      <c r="B131" t="s" s="11">
        <v>1806</v>
      </c>
      <c r="C131" s="18">
        <v>0</v>
      </c>
      <c r="D131" s="12"/>
      <c r="E131" s="12"/>
      <c r="F131" s="12"/>
      <c r="G131" s="12"/>
      <c r="H131" t="s" s="19">
        <v>2064</v>
      </c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t="s" s="10">
        <v>2065</v>
      </c>
      <c r="B132" t="s" s="11">
        <v>1806</v>
      </c>
      <c r="C132" s="18">
        <v>400</v>
      </c>
      <c r="D132" s="12"/>
      <c r="E132" s="12"/>
      <c r="F132" s="12"/>
      <c r="G132" s="12"/>
      <c r="H132" t="s" s="19">
        <v>2066</v>
      </c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2067</v>
      </c>
      <c r="C2" t="s" s="37">
        <v>2068</v>
      </c>
      <c r="D2" t="s" s="37">
        <v>2069</v>
      </c>
      <c r="E2" t="s" s="37">
        <v>2070</v>
      </c>
    </row>
    <row r="3" ht="16.55" customHeight="1">
      <c r="A3" t="s" s="38">
        <v>2071</v>
      </c>
      <c r="B3" s="39">
        <v>52</v>
      </c>
      <c r="C3" s="40">
        <v>0.347</v>
      </c>
      <c r="D3" t="s" s="41">
        <v>2072</v>
      </c>
      <c r="E3" s="42">
        <f>_xlfn.COUNTIFS('Unit'!$J$3:$J$599,"Yes",'Unit'!$G$3:$G$599,1)+_xlfn.COUNTIFS('Trap'!$J$3:$J$544,"Yes",'Trap'!$G$3:$G$544,1)+_xlfn.COUNTIFS('Tech'!$J$3:$J$545,"Yes",'Tech'!$G$3:$G$545,1)</f>
        <v>112</v>
      </c>
    </row>
    <row r="4" ht="16.35" customHeight="1">
      <c r="A4" t="s" s="43">
        <v>2073</v>
      </c>
      <c r="B4" s="44">
        <v>48</v>
      </c>
      <c r="C4" s="45">
        <v>0.337</v>
      </c>
      <c r="D4" t="s" s="46">
        <v>2074</v>
      </c>
      <c r="E4" s="47">
        <f>_xlfn.COUNTIFS('Unit'!$J$3:$J$599,"Yes",'Unit'!$G$3:$G$599,2)+_xlfn.COUNTIFS('Trap'!$J$3:$J$544,"Yes",'Trap'!$G$3:$G$544,2)+_xlfn.COUNTIFS('Tech'!$J$3:$J$545,"Yes",'Tech'!$G$3:$G$545,2)</f>
        <v>104</v>
      </c>
    </row>
    <row r="5" ht="16.35" customHeight="1">
      <c r="A5" t="s" s="43">
        <v>2075</v>
      </c>
      <c r="B5" s="44">
        <v>27</v>
      </c>
      <c r="C5" s="45">
        <v>0.167</v>
      </c>
      <c r="D5" t="s" s="46">
        <v>2074</v>
      </c>
      <c r="E5" s="47">
        <f>_xlfn.COUNTIFS('Unit'!$J$3:$J$599,"Yes",'Unit'!$G$3:$G$599,3)+_xlfn.COUNTIFS('Trap'!$J$3:$J$544,"Yes",'Trap'!$G$3:$G$544,3)+_xlfn.COUNTIFS('Tech'!$J$3:$J$545,"Yes",'Tech'!$G$3:$G$545,3)</f>
        <v>99</v>
      </c>
    </row>
    <row r="6" ht="30.35" customHeight="1">
      <c r="A6" t="s" s="43">
        <v>2076</v>
      </c>
      <c r="B6" s="44">
        <v>16</v>
      </c>
      <c r="C6" s="45">
        <v>0.1</v>
      </c>
      <c r="D6" t="s" s="46">
        <v>2077</v>
      </c>
      <c r="E6" s="47">
        <f>_xlfn.COUNTIFS('Unit'!$J$3:$J$599,"Yes",'Unit'!$G$3:$G$599,4)+_xlfn.COUNTIFS('Trap'!$J$3:$J$544,"Yes",'Trap'!$G$3:$G$544,4)+_xlfn.COUNTIFS('Tech'!$J$3:$J$545,"Yes",'Tech'!$G$3:$G$545,4)</f>
        <v>57</v>
      </c>
    </row>
    <row r="7" ht="16.35" customHeight="1">
      <c r="A7" t="s" s="48">
        <v>2078</v>
      </c>
      <c r="B7" s="49">
        <v>9</v>
      </c>
      <c r="C7" s="50">
        <v>0.053</v>
      </c>
      <c r="D7" t="s" s="46">
        <v>2079</v>
      </c>
      <c r="E7" s="47">
        <f>_xlfn.COUNTIFS('Unit'!$J$3:$J$599,"Yes",'Unit'!$G$3:$G$599,5)+_xlfn.COUNTIFS('Trap'!$J$3:$J$544,"Yes",'Trap'!$G$3:$G$544,5)+_xlfn.COUNTIFS('Tech'!$J$3:$J$545,"Yes",'Tech'!$G$3:$G$545,5)</f>
        <v>43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2067</v>
      </c>
      <c r="C11" s="57"/>
      <c r="D11" s="57"/>
      <c r="E11" t="s" s="58">
        <v>2070</v>
      </c>
    </row>
    <row r="12" ht="16.35" customHeight="1">
      <c r="A12" t="s" s="43">
        <v>2080</v>
      </c>
      <c r="B12" s="44">
        <v>60</v>
      </c>
      <c r="C12" s="54"/>
      <c r="D12" s="54"/>
      <c r="E12" s="47">
        <f>_xlfn.COUNTIFS('Unit'!$N$3:$N$599,"Yes")+_xlfn.COUNTIFS('Trap'!$N$3:$N$544,"Yes")+_xlfn.COUNTIFS('Tech'!$N$3:$N$545,"Yes")</f>
        <v>60</v>
      </c>
    </row>
    <row r="13" ht="16.35" customHeight="1">
      <c r="A13" t="s" s="43">
        <v>2081</v>
      </c>
      <c r="B13" s="44">
        <v>60</v>
      </c>
      <c r="C13" s="54"/>
      <c r="D13" s="54"/>
      <c r="E13" s="47">
        <f>_xlfn.COUNTIFS('Unit'!$O$3:$O$599,"Yes")+_xlfn.COUNTIFS('Trap'!$O$3:$O$544,"Yes")+_xlfn.COUNTIFS('Tech'!$O$3:$O$545,"Yes")</f>
        <v>60</v>
      </c>
    </row>
    <row r="14" ht="16.35" customHeight="1">
      <c r="A14" t="s" s="43">
        <v>2082</v>
      </c>
      <c r="B14" s="44">
        <v>60</v>
      </c>
      <c r="C14" s="54"/>
      <c r="D14" s="54"/>
      <c r="E14" s="47">
        <f>_xlfn.COUNTIFS('Unit'!$P$3:$P$599,"Yes")+_xlfn.COUNTIFS('Trap'!$P$3:$P$544,"Yes")+_xlfn.COUNTIFS('Tech'!$P$3:$P$545,"Yes")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2083</v>
      </c>
      <c r="C2" t="s" s="5">
        <v>2084</v>
      </c>
      <c r="D2" s="6"/>
      <c r="E2" s="6"/>
    </row>
    <row r="3" ht="20.25" customHeight="1">
      <c r="A3" s="60">
        <v>1</v>
      </c>
      <c r="B3" t="s" s="8">
        <v>2085</v>
      </c>
      <c r="C3" t="s" s="17">
        <v>2086</v>
      </c>
      <c r="D3" s="9"/>
      <c r="E3" s="9"/>
    </row>
    <row r="4" ht="20.05" customHeight="1">
      <c r="A4" s="61">
        <v>2</v>
      </c>
      <c r="B4" t="s" s="11">
        <v>2087</v>
      </c>
      <c r="C4" t="s" s="19">
        <v>2088</v>
      </c>
      <c r="D4" s="12"/>
      <c r="E4" s="12"/>
    </row>
    <row r="5" ht="20.05" customHeight="1">
      <c r="A5" s="61">
        <v>3</v>
      </c>
      <c r="B5" t="s" s="11">
        <v>2089</v>
      </c>
      <c r="C5" t="s" s="19">
        <v>2090</v>
      </c>
      <c r="D5" s="12"/>
      <c r="E5" s="12"/>
    </row>
    <row r="6" ht="20.05" customHeight="1">
      <c r="A6" s="61">
        <v>4</v>
      </c>
      <c r="B6" t="s" s="11">
        <v>2091</v>
      </c>
      <c r="C6" t="s" s="19">
        <v>2091</v>
      </c>
      <c r="D6" s="12"/>
      <c r="E6" s="12"/>
    </row>
    <row r="7" ht="20.05" customHeight="1">
      <c r="A7" s="61">
        <v>5</v>
      </c>
      <c r="B7" t="s" s="11">
        <v>2092</v>
      </c>
      <c r="C7" t="s" s="19">
        <v>2093</v>
      </c>
      <c r="D7" s="12"/>
      <c r="E7" s="12"/>
    </row>
    <row r="8" ht="20.05" customHeight="1">
      <c r="A8" s="61">
        <v>6</v>
      </c>
      <c r="B8" t="s" s="11">
        <v>2094</v>
      </c>
      <c r="C8" t="s" s="19">
        <v>2095</v>
      </c>
      <c r="D8" s="12"/>
      <c r="E8" s="12"/>
    </row>
    <row r="9" ht="20.05" customHeight="1">
      <c r="A9" s="61">
        <v>7</v>
      </c>
      <c r="B9" t="s" s="11">
        <v>2096</v>
      </c>
      <c r="C9" t="s" s="19">
        <v>2097</v>
      </c>
      <c r="D9" s="12"/>
      <c r="E9" s="12"/>
    </row>
    <row r="10" ht="20.05" customHeight="1">
      <c r="A10" s="61">
        <v>8</v>
      </c>
      <c r="B10" t="s" s="11">
        <v>2098</v>
      </c>
      <c r="C10" t="s" s="19">
        <v>2099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